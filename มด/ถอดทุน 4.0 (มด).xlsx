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ut\Documents\Claude\Projects\Jr-beta\มด\"/>
    </mc:Choice>
  </mc:AlternateContent>
  <xr:revisionPtr revIDLastSave="0" documentId="11_8010F0E2544D46233987BC9B7BF0683741700312" xr6:coauthVersionLast="47" xr6:coauthVersionMax="47" xr10:uidLastSave="{00000000-0000-0000-0000-000000000000}"/>
  <bookViews>
    <workbookView xWindow="2200" yWindow="2200" windowWidth="14400" windowHeight="8170" tabRatio="500" xr2:uid="{00000000-000D-0000-FFFF-FFFF00000000}"/>
  </bookViews>
  <sheets>
    <sheet name="สารบัญ" sheetId="1" r:id="rId1"/>
    <sheet name="อัปเดตราคาอลู" sheetId="2" r:id="rId2"/>
    <sheet name="ราคาสี" sheetId="3" r:id="rId3"/>
    <sheet name="บันทึกราคาขึ้น" sheetId="4" r:id="rId4"/>
    <sheet name="ราคางานเสริม" sheetId="5" r:id="rId5"/>
    <sheet name="ราคาออโต้" sheetId="6" r:id="rId6"/>
    <sheet name="ราคาวัสดุ" sheetId="7" r:id="rId7"/>
    <sheet name="ค่าแรง" sheetId="8" r:id="rId8"/>
    <sheet name="ราคามุ้ง" sheetId="9" r:id="rId9"/>
    <sheet name="log กระจก" sheetId="10" r:id="rId10"/>
    <sheet name="LUT_ฝ้าไม้เทียม" sheetId="11" r:id="rId11"/>
    <sheet name="น้ำหนักโปรไฟล์" sheetId="12" r:id="rId12"/>
    <sheet name="ราคาวัสดุกลาง" sheetId="13" r:id="rId13"/>
    <sheet name="คิดทุน SMS" sheetId="14" r:id="rId14"/>
    <sheet name="คิดทุน ยูโร" sheetId="15" r:id="rId15"/>
    <sheet name="คิดทุน SlimLux" sheetId="16" r:id="rId16"/>
    <sheet name="คิดทุน บานเลื่อนรางบน" sheetId="17" r:id="rId17"/>
    <sheet name="คิดทุน บานเปิด" sheetId="18" r:id="rId18"/>
    <sheet name="คิดทุน กระทุ้ง" sheetId="19" r:id="rId19"/>
    <sheet name="คิดทุน เฟี้ยม" sheetId="20" r:id="rId20"/>
    <sheet name="คิดทุน ติดตาย" sheetId="21" r:id="rId21"/>
    <sheet name="คิดทุน Velora" sheetId="22" r:id="rId22"/>
    <sheet name="คิดทุน E-series" sheetId="23" r:id="rId23"/>
    <sheet name="คิดทุน PC Door" sheetId="24" r:id="rId24"/>
    <sheet name="คิดทุน บานยก" sheetId="25" r:id="rId25"/>
    <sheet name="คิดทุน เฟี้ยมยูโร" sheetId="26" r:id="rId26"/>
    <sheet name="คิดทุน ตายดัดโค้ง" sheetId="27" r:id="rId27"/>
    <sheet name="คิดทุน เปิดดัดโค้ง" sheetId="28" r:id="rId28"/>
    <sheet name="คิดทุน ระแนง" sheetId="29" r:id="rId29"/>
    <sheet name="คิดทุน ระแนงสลับ" sheetId="30" r:id="rId30"/>
    <sheet name="คิดทุน ประตูรั้ว" sheetId="31" r:id="rId31"/>
    <sheet name="คิดทุน บานเกล็ด" sheetId="32" r:id="rId32"/>
    <sheet name="คิดทุน ระแนงหมุน" sheetId="33" r:id="rId33"/>
    <sheet name="คิดทุน หลังคา (รวม)" sheetId="34" r:id="rId34"/>
    <sheet name="ฝ้ายิปซัม" sheetId="35" r:id="rId35"/>
    <sheet name="งานไฟ" sheetId="36" r:id="rId36"/>
    <sheet name="สมาร์ทบอร์ด" sheetId="37" r:id="rId37"/>
    <sheet name="ไอโซวอล" sheetId="38" r:id="rId38"/>
    <sheet name="คิดทุนฝ้าไม้เทียม" sheetId="39" r:id="rId39"/>
    <sheet name="หน้าตารางรวม" sheetId="40" r:id="rId40"/>
    <sheet name="สรุปค่าแรง" sheetId="41" r:id="rId41"/>
    <sheet name="สรุปงานเสริม" sheetId="42" r:id="rId42"/>
    <sheet name="เทียบ R3.9 SMS" sheetId="43" r:id="rId43"/>
    <sheet name="เทียบ R3.9 ยูโร" sheetId="44" r:id="rId44"/>
    <sheet name="เทียบ E-series" sheetId="45" r:id="rId45"/>
    <sheet name="เทียบ เฟี้ยมยูโร" sheetId="46" r:id="rId46"/>
    <sheet name="ทุนไวนิล" sheetId="47" r:id="rId47"/>
    <sheet name="ทุนดีไลท์" sheetId="48" r:id="rId48"/>
    <sheet name="ทุนโพลีตัน" sheetId="49" r:id="rId49"/>
    <sheet name="ทุนชินโคร์ HC" sheetId="50" r:id="rId50"/>
    <sheet name="ทุนชินโคร์ Sup" sheetId="51" r:id="rId51"/>
    <sheet name="ทุนเมทัลชีท" sheetId="52" r:id="rId52"/>
    <sheet name="ทุนกระจก 4+4" sheetId="53" r:id="rId53"/>
    <sheet name="ทุนกระจก 5+5" sheetId="54" r:id="rId54"/>
    <sheet name="เทียบ R3.9" sheetId="55" r:id="rId55"/>
    <sheet name="สีฝ้าไม้เทียม" sheetId="56" r:id="rId56"/>
    <sheet name="เช็กขนาดกระจก" sheetId="57" r:id="rId57"/>
    <sheet name="คิดทุน หลังคา" sheetId="58" state="hidden" r:id="rId58"/>
    <sheet name="คิดทุน หลังคาจั่ว" sheetId="59" state="hidden" r:id="rId59"/>
    <sheet name="คิดทุน หลังคาเลื่อน" sheetId="60" state="hidden" r:id="rId60"/>
    <sheet name="ระแนงสลับ_ประตู" sheetId="61" r:id="rId61"/>
  </sheets>
  <definedNames>
    <definedName name="ClothList">ราคามุ้ง!$I$2:$I$5</definedName>
    <definedName name="GlassNames">ราคาวัสดุกลาง!$H$2:$H$106</definedName>
    <definedName name="mult_euro">อัปเดตราคาอลู!$C$5</definedName>
    <definedName name="mult_mtong">อัปเดตราคาอลู!$C$8</definedName>
    <definedName name="mult_slim">อัปเดตราคาอลู!$C$6</definedName>
    <definedName name="mult_sms">อัปเดตราคาอลู!$C$4</definedName>
    <definedName name="mult_velora">อัปเดตราคาอลู!$C$7</definedName>
    <definedName name="mult_wood">อัปเดตราคาอลู!$C$20</definedName>
    <definedName name="MungList">ราคามุ้ง!$G$1:$G$15</definedName>
    <definedName name="MungReady">ราคามุ้ง!$G$1:$G$12</definedName>
    <definedName name="rate_grey">อัปเดตราคาอลู!$B$13</definedName>
    <definedName name="rate_special">อัปเดตราคาอลู!$B$14</definedName>
    <definedName name="rate_woodbake">อัปเดตราคาอลู!$B$15</definedName>
    <definedName name="rate_woodstock">อัปเดตราคาอลู!$B$16</definedName>
    <definedName name="SlimLuxGlass">'คิดทุน SlimLux'!$AA$1:$AA$21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1" l="1"/>
  <c r="E16" i="61"/>
  <c r="B24" i="61" s="1"/>
  <c r="B15" i="61"/>
  <c r="B11" i="61"/>
  <c r="E15" i="61" s="1"/>
  <c r="B10" i="61"/>
  <c r="H2" i="61" s="1"/>
  <c r="B9" i="61"/>
  <c r="B8" i="61"/>
  <c r="B7" i="61"/>
  <c r="N184" i="61" s="1"/>
  <c r="O184" i="61" s="1"/>
  <c r="B6" i="61"/>
  <c r="E4" i="61" s="1"/>
  <c r="B5" i="61"/>
  <c r="A22" i="61" s="1"/>
  <c r="AF4" i="61"/>
  <c r="B4" i="61"/>
  <c r="N145" i="61" s="1"/>
  <c r="O145" i="61" s="1"/>
  <c r="AF3" i="61"/>
  <c r="B3" i="61"/>
  <c r="E3" i="61" s="1"/>
  <c r="AF2" i="61"/>
  <c r="B2" i="61"/>
  <c r="A21" i="61" s="1"/>
  <c r="AF1" i="61"/>
  <c r="D18" i="60"/>
  <c r="B8" i="60"/>
  <c r="C7" i="60"/>
  <c r="B7" i="60"/>
  <c r="H6" i="60"/>
  <c r="C6" i="60"/>
  <c r="B6" i="60"/>
  <c r="B5" i="60"/>
  <c r="D13" i="60" s="1"/>
  <c r="B4" i="60"/>
  <c r="H3" i="60"/>
  <c r="E3" i="60"/>
  <c r="B3" i="60"/>
  <c r="B2" i="60"/>
  <c r="J1" i="60"/>
  <c r="C15" i="59"/>
  <c r="C14" i="59"/>
  <c r="B13" i="59"/>
  <c r="B11" i="59"/>
  <c r="E7" i="59"/>
  <c r="D18" i="59" s="1"/>
  <c r="B7" i="59"/>
  <c r="D8" i="59" s="1"/>
  <c r="B6" i="59"/>
  <c r="B5" i="59"/>
  <c r="B4" i="59"/>
  <c r="B3" i="59"/>
  <c r="E2" i="59" s="1"/>
  <c r="B2" i="59"/>
  <c r="E1" i="59"/>
  <c r="B25" i="58"/>
  <c r="D16" i="58"/>
  <c r="C15" i="58"/>
  <c r="C14" i="58"/>
  <c r="B13" i="58"/>
  <c r="B12" i="58"/>
  <c r="E8" i="58"/>
  <c r="E7" i="58"/>
  <c r="E6" i="58"/>
  <c r="B6" i="58"/>
  <c r="D9" i="58" s="1"/>
  <c r="E5" i="58"/>
  <c r="B11" i="58" s="1"/>
  <c r="B5" i="58"/>
  <c r="B4" i="58"/>
  <c r="E3" i="58"/>
  <c r="B3" i="58"/>
  <c r="B2" i="58"/>
  <c r="E9" i="58" s="1"/>
  <c r="D17" i="58" s="1"/>
  <c r="D33" i="34" s="1"/>
  <c r="E1" i="58"/>
  <c r="E2" i="58" s="1"/>
  <c r="B12" i="57"/>
  <c r="B10" i="57"/>
  <c r="B9" i="57"/>
  <c r="B8" i="57"/>
  <c r="N65" i="55"/>
  <c r="M65" i="55"/>
  <c r="N64" i="55"/>
  <c r="M64" i="55"/>
  <c r="N63" i="55"/>
  <c r="M63" i="55"/>
  <c r="N62" i="55"/>
  <c r="M62" i="55"/>
  <c r="N61" i="55"/>
  <c r="M61" i="55"/>
  <c r="N60" i="55"/>
  <c r="M60" i="55"/>
  <c r="N57" i="55"/>
  <c r="M57" i="55"/>
  <c r="N56" i="55"/>
  <c r="M56" i="55"/>
  <c r="N55" i="55"/>
  <c r="M55" i="55"/>
  <c r="N54" i="55"/>
  <c r="M54" i="55"/>
  <c r="N53" i="55"/>
  <c r="M53" i="55"/>
  <c r="N52" i="55"/>
  <c r="M52" i="55"/>
  <c r="N49" i="55"/>
  <c r="M49" i="55"/>
  <c r="N48" i="55"/>
  <c r="M48" i="55"/>
  <c r="N47" i="55"/>
  <c r="M47" i="55"/>
  <c r="N46" i="55"/>
  <c r="M46" i="55"/>
  <c r="N45" i="55"/>
  <c r="M45" i="55"/>
  <c r="N44" i="55"/>
  <c r="M44" i="55"/>
  <c r="N41" i="55"/>
  <c r="M41" i="55"/>
  <c r="N40" i="55"/>
  <c r="M40" i="55"/>
  <c r="N39" i="55"/>
  <c r="M39" i="55"/>
  <c r="N38" i="55"/>
  <c r="M38" i="55"/>
  <c r="N37" i="55"/>
  <c r="M37" i="55"/>
  <c r="N36" i="55"/>
  <c r="M36" i="55"/>
  <c r="N33" i="55"/>
  <c r="M33" i="55"/>
  <c r="N32" i="55"/>
  <c r="M32" i="55"/>
  <c r="N31" i="55"/>
  <c r="M31" i="55"/>
  <c r="N30" i="55"/>
  <c r="M30" i="55"/>
  <c r="N29" i="55"/>
  <c r="M29" i="55"/>
  <c r="N28" i="55"/>
  <c r="M28" i="55"/>
  <c r="N25" i="55"/>
  <c r="M25" i="55"/>
  <c r="N24" i="55"/>
  <c r="M24" i="55"/>
  <c r="N23" i="55"/>
  <c r="M23" i="55"/>
  <c r="N22" i="55"/>
  <c r="M22" i="55"/>
  <c r="N21" i="55"/>
  <c r="M21" i="55"/>
  <c r="N20" i="55"/>
  <c r="M20" i="55"/>
  <c r="N17" i="55"/>
  <c r="M17" i="55"/>
  <c r="N16" i="55"/>
  <c r="M16" i="55"/>
  <c r="N15" i="55"/>
  <c r="M15" i="55"/>
  <c r="N14" i="55"/>
  <c r="M14" i="55"/>
  <c r="N13" i="55"/>
  <c r="M13" i="55"/>
  <c r="N12" i="55"/>
  <c r="M12" i="55"/>
  <c r="N9" i="55"/>
  <c r="M9" i="55"/>
  <c r="N8" i="55"/>
  <c r="M8" i="55"/>
  <c r="N7" i="55"/>
  <c r="M7" i="55"/>
  <c r="N6" i="55"/>
  <c r="M6" i="55"/>
  <c r="N5" i="55"/>
  <c r="M5" i="55"/>
  <c r="N4" i="55"/>
  <c r="M4" i="55"/>
  <c r="F67" i="54"/>
  <c r="D67" i="54"/>
  <c r="F66" i="54"/>
  <c r="D66" i="54"/>
  <c r="F65" i="54"/>
  <c r="D65" i="54"/>
  <c r="F56" i="54"/>
  <c r="D56" i="54"/>
  <c r="F55" i="54"/>
  <c r="D55" i="54"/>
  <c r="F54" i="54"/>
  <c r="D54" i="54"/>
  <c r="F45" i="54"/>
  <c r="D45" i="54"/>
  <c r="F44" i="54"/>
  <c r="D44" i="54"/>
  <c r="F43" i="54"/>
  <c r="D43" i="54"/>
  <c r="F34" i="54"/>
  <c r="D34" i="54"/>
  <c r="F33" i="54"/>
  <c r="D33" i="54"/>
  <c r="F32" i="54"/>
  <c r="D32" i="54"/>
  <c r="F23" i="54"/>
  <c r="D23" i="54"/>
  <c r="F22" i="54"/>
  <c r="D22" i="54"/>
  <c r="F21" i="54"/>
  <c r="D21" i="54"/>
  <c r="F12" i="54"/>
  <c r="D12" i="54"/>
  <c r="F11" i="54"/>
  <c r="D11" i="54"/>
  <c r="F10" i="54"/>
  <c r="D10" i="54"/>
  <c r="F67" i="53"/>
  <c r="D67" i="53"/>
  <c r="F66" i="53"/>
  <c r="D66" i="53"/>
  <c r="F65" i="53"/>
  <c r="D65" i="53"/>
  <c r="F56" i="53"/>
  <c r="D56" i="53"/>
  <c r="F55" i="53"/>
  <c r="D55" i="53"/>
  <c r="F54" i="53"/>
  <c r="D54" i="53"/>
  <c r="F45" i="53"/>
  <c r="D45" i="53"/>
  <c r="F44" i="53"/>
  <c r="D44" i="53"/>
  <c r="F43" i="53"/>
  <c r="D43" i="53"/>
  <c r="F34" i="53"/>
  <c r="D34" i="53"/>
  <c r="F33" i="53"/>
  <c r="D33" i="53"/>
  <c r="F32" i="53"/>
  <c r="D32" i="53"/>
  <c r="F23" i="53"/>
  <c r="D23" i="53"/>
  <c r="F22" i="53"/>
  <c r="D22" i="53"/>
  <c r="F21" i="53"/>
  <c r="D21" i="53"/>
  <c r="F12" i="53"/>
  <c r="D12" i="53"/>
  <c r="F11" i="53"/>
  <c r="D11" i="53"/>
  <c r="F10" i="53"/>
  <c r="D10" i="53"/>
  <c r="F67" i="52"/>
  <c r="D67" i="52"/>
  <c r="F66" i="52"/>
  <c r="D66" i="52"/>
  <c r="F65" i="52"/>
  <c r="D65" i="52"/>
  <c r="F56" i="52"/>
  <c r="D56" i="52"/>
  <c r="F55" i="52"/>
  <c r="D55" i="52"/>
  <c r="F54" i="52"/>
  <c r="D54" i="52"/>
  <c r="F45" i="52"/>
  <c r="D45" i="52"/>
  <c r="F44" i="52"/>
  <c r="D44" i="52"/>
  <c r="F43" i="52"/>
  <c r="D43" i="52"/>
  <c r="F34" i="52"/>
  <c r="D34" i="52"/>
  <c r="F33" i="52"/>
  <c r="D33" i="52"/>
  <c r="F32" i="52"/>
  <c r="D32" i="52"/>
  <c r="F23" i="52"/>
  <c r="D23" i="52"/>
  <c r="F22" i="52"/>
  <c r="D22" i="52"/>
  <c r="F21" i="52"/>
  <c r="D21" i="52"/>
  <c r="F12" i="52"/>
  <c r="D12" i="52"/>
  <c r="F11" i="52"/>
  <c r="D11" i="52"/>
  <c r="F10" i="52"/>
  <c r="D10" i="52"/>
  <c r="F67" i="51"/>
  <c r="D67" i="51"/>
  <c r="F66" i="51"/>
  <c r="D66" i="51"/>
  <c r="F65" i="51"/>
  <c r="D65" i="51"/>
  <c r="F56" i="51"/>
  <c r="D56" i="51"/>
  <c r="F55" i="51"/>
  <c r="D55" i="51"/>
  <c r="F54" i="51"/>
  <c r="D54" i="51"/>
  <c r="F45" i="51"/>
  <c r="D45" i="51"/>
  <c r="F44" i="51"/>
  <c r="D44" i="51"/>
  <c r="F43" i="51"/>
  <c r="D43" i="51"/>
  <c r="F34" i="51"/>
  <c r="D34" i="51"/>
  <c r="F33" i="51"/>
  <c r="D33" i="51"/>
  <c r="F32" i="51"/>
  <c r="D32" i="51"/>
  <c r="F23" i="51"/>
  <c r="D23" i="51"/>
  <c r="F22" i="51"/>
  <c r="D22" i="51"/>
  <c r="F21" i="51"/>
  <c r="D21" i="51"/>
  <c r="F12" i="51"/>
  <c r="D12" i="51"/>
  <c r="F11" i="51"/>
  <c r="D11" i="51"/>
  <c r="F10" i="51"/>
  <c r="D10" i="51"/>
  <c r="F67" i="50"/>
  <c r="D67" i="50"/>
  <c r="F66" i="50"/>
  <c r="D66" i="50"/>
  <c r="F65" i="50"/>
  <c r="D65" i="50"/>
  <c r="F56" i="50"/>
  <c r="D56" i="50"/>
  <c r="F55" i="50"/>
  <c r="D55" i="50"/>
  <c r="F54" i="50"/>
  <c r="D54" i="50"/>
  <c r="F45" i="50"/>
  <c r="D45" i="50"/>
  <c r="F44" i="50"/>
  <c r="D44" i="50"/>
  <c r="F43" i="50"/>
  <c r="D43" i="50"/>
  <c r="F34" i="50"/>
  <c r="D34" i="50"/>
  <c r="F33" i="50"/>
  <c r="D33" i="50"/>
  <c r="F32" i="50"/>
  <c r="D32" i="50"/>
  <c r="F23" i="50"/>
  <c r="D23" i="50"/>
  <c r="F22" i="50"/>
  <c r="D22" i="50"/>
  <c r="F21" i="50"/>
  <c r="D21" i="50"/>
  <c r="F12" i="50"/>
  <c r="D12" i="50"/>
  <c r="F11" i="50"/>
  <c r="D11" i="50"/>
  <c r="F10" i="50"/>
  <c r="D10" i="50"/>
  <c r="F73" i="49"/>
  <c r="D73" i="49"/>
  <c r="F72" i="49"/>
  <c r="D72" i="49"/>
  <c r="F71" i="49"/>
  <c r="D71" i="49"/>
  <c r="F70" i="49"/>
  <c r="D70" i="49"/>
  <c r="F61" i="49"/>
  <c r="D61" i="49"/>
  <c r="F60" i="49"/>
  <c r="D60" i="49"/>
  <c r="F59" i="49"/>
  <c r="D59" i="49"/>
  <c r="F58" i="49"/>
  <c r="D58" i="49"/>
  <c r="F49" i="49"/>
  <c r="D49" i="49"/>
  <c r="F48" i="49"/>
  <c r="D48" i="49"/>
  <c r="F47" i="49"/>
  <c r="D47" i="49"/>
  <c r="F46" i="49"/>
  <c r="D46" i="49"/>
  <c r="F37" i="49"/>
  <c r="D37" i="49"/>
  <c r="F36" i="49"/>
  <c r="D36" i="49"/>
  <c r="F35" i="49"/>
  <c r="D35" i="49"/>
  <c r="F34" i="49"/>
  <c r="D34" i="49"/>
  <c r="F25" i="49"/>
  <c r="D25" i="49"/>
  <c r="F24" i="49"/>
  <c r="D24" i="49"/>
  <c r="F23" i="49"/>
  <c r="D23" i="49"/>
  <c r="F22" i="49"/>
  <c r="D22" i="49"/>
  <c r="F13" i="49"/>
  <c r="D13" i="49"/>
  <c r="F12" i="49"/>
  <c r="D12" i="49"/>
  <c r="F11" i="49"/>
  <c r="D11" i="49"/>
  <c r="F10" i="49"/>
  <c r="D10" i="49"/>
  <c r="F72" i="48"/>
  <c r="D72" i="48"/>
  <c r="F71" i="48"/>
  <c r="D71" i="48"/>
  <c r="F70" i="48"/>
  <c r="D70" i="48"/>
  <c r="F60" i="48"/>
  <c r="D60" i="48"/>
  <c r="F59" i="48"/>
  <c r="D59" i="48"/>
  <c r="F58" i="48"/>
  <c r="D58" i="48"/>
  <c r="F48" i="48"/>
  <c r="D48" i="48"/>
  <c r="F47" i="48"/>
  <c r="D47" i="48"/>
  <c r="F46" i="48"/>
  <c r="D46" i="48"/>
  <c r="F36" i="48"/>
  <c r="D36" i="48"/>
  <c r="F35" i="48"/>
  <c r="D35" i="48"/>
  <c r="F34" i="48"/>
  <c r="D34" i="48"/>
  <c r="F24" i="48"/>
  <c r="D24" i="48"/>
  <c r="F23" i="48"/>
  <c r="D23" i="48"/>
  <c r="F22" i="48"/>
  <c r="D22" i="48"/>
  <c r="F12" i="48"/>
  <c r="D12" i="48"/>
  <c r="F11" i="48"/>
  <c r="D11" i="48"/>
  <c r="F10" i="48"/>
  <c r="D10" i="48"/>
  <c r="F73" i="47"/>
  <c r="D73" i="47"/>
  <c r="F72" i="47"/>
  <c r="D72" i="47"/>
  <c r="F71" i="47"/>
  <c r="D71" i="47"/>
  <c r="F70" i="47"/>
  <c r="D70" i="47"/>
  <c r="F61" i="47"/>
  <c r="D61" i="47"/>
  <c r="F60" i="47"/>
  <c r="D60" i="47"/>
  <c r="F59" i="47"/>
  <c r="D59" i="47"/>
  <c r="F58" i="47"/>
  <c r="D58" i="47"/>
  <c r="F49" i="47"/>
  <c r="D49" i="47"/>
  <c r="F48" i="47"/>
  <c r="D48" i="47"/>
  <c r="F47" i="47"/>
  <c r="D47" i="47"/>
  <c r="F46" i="47"/>
  <c r="D46" i="47"/>
  <c r="F37" i="47"/>
  <c r="D37" i="47"/>
  <c r="F36" i="47"/>
  <c r="D36" i="47"/>
  <c r="F35" i="47"/>
  <c r="D35" i="47"/>
  <c r="F34" i="47"/>
  <c r="D34" i="47"/>
  <c r="F25" i="47"/>
  <c r="D25" i="47"/>
  <c r="F24" i="47"/>
  <c r="D24" i="47"/>
  <c r="F23" i="47"/>
  <c r="D23" i="47"/>
  <c r="F22" i="47"/>
  <c r="D22" i="47"/>
  <c r="F13" i="47"/>
  <c r="D13" i="47"/>
  <c r="F12" i="47"/>
  <c r="D12" i="47"/>
  <c r="F11" i="47"/>
  <c r="D11" i="47"/>
  <c r="F10" i="47"/>
  <c r="D10" i="47"/>
  <c r="O18" i="46"/>
  <c r="Q18" i="46" s="1"/>
  <c r="N18" i="46"/>
  <c r="M18" i="46"/>
  <c r="R18" i="46" s="1"/>
  <c r="L18" i="46"/>
  <c r="K18" i="46"/>
  <c r="C18" i="46"/>
  <c r="B18" i="46"/>
  <c r="R17" i="46"/>
  <c r="Q17" i="46"/>
  <c r="O17" i="46"/>
  <c r="N17" i="46"/>
  <c r="L17" i="46"/>
  <c r="K17" i="46"/>
  <c r="M17" i="46" s="1"/>
  <c r="C17" i="46"/>
  <c r="B17" i="46"/>
  <c r="Q16" i="46"/>
  <c r="N16" i="46"/>
  <c r="L16" i="46"/>
  <c r="O16" i="46" s="1"/>
  <c r="K16" i="46"/>
  <c r="C16" i="46"/>
  <c r="B16" i="46"/>
  <c r="N15" i="46"/>
  <c r="L15" i="46"/>
  <c r="O15" i="46" s="1"/>
  <c r="Q15" i="46" s="1"/>
  <c r="K15" i="46"/>
  <c r="C15" i="46"/>
  <c r="B15" i="46"/>
  <c r="Q14" i="46"/>
  <c r="O14" i="46"/>
  <c r="N14" i="46"/>
  <c r="L14" i="46"/>
  <c r="K14" i="46"/>
  <c r="C14" i="46"/>
  <c r="B14" i="46"/>
  <c r="R13" i="46"/>
  <c r="Q13" i="46"/>
  <c r="O13" i="46"/>
  <c r="N13" i="46"/>
  <c r="P13" i="46" s="1"/>
  <c r="D13" i="46" s="1"/>
  <c r="E13" i="46" s="1"/>
  <c r="F13" i="46" s="1"/>
  <c r="L13" i="46"/>
  <c r="K13" i="46"/>
  <c r="M13" i="46" s="1"/>
  <c r="C13" i="46"/>
  <c r="B13" i="46"/>
  <c r="Q12" i="46"/>
  <c r="N12" i="46"/>
  <c r="L12" i="46"/>
  <c r="O12" i="46" s="1"/>
  <c r="K12" i="46"/>
  <c r="C12" i="46"/>
  <c r="B12" i="46"/>
  <c r="E3" i="46"/>
  <c r="P18" i="46" s="1"/>
  <c r="C23" i="45"/>
  <c r="C22" i="45"/>
  <c r="C21" i="45"/>
  <c r="C20" i="45"/>
  <c r="C19" i="45"/>
  <c r="C18" i="45"/>
  <c r="C17" i="45"/>
  <c r="C16" i="45"/>
  <c r="C15" i="45"/>
  <c r="C14" i="45"/>
  <c r="H11" i="45"/>
  <c r="H10" i="45"/>
  <c r="H9" i="45"/>
  <c r="H8" i="45"/>
  <c r="H7" i="45"/>
  <c r="H6" i="45"/>
  <c r="E6" i="45"/>
  <c r="H5" i="45"/>
  <c r="E5" i="45"/>
  <c r="H4" i="45"/>
  <c r="E4" i="45"/>
  <c r="H3" i="45"/>
  <c r="E3" i="45"/>
  <c r="X11" i="44"/>
  <c r="W11" i="44"/>
  <c r="V11" i="44"/>
  <c r="U11" i="44"/>
  <c r="T11" i="44"/>
  <c r="S11" i="44"/>
  <c r="R11" i="44"/>
  <c r="Q11" i="44"/>
  <c r="P11" i="44"/>
  <c r="O11" i="44"/>
  <c r="N11" i="44"/>
  <c r="E11" i="44"/>
  <c r="X10" i="44"/>
  <c r="W10" i="44"/>
  <c r="V10" i="44"/>
  <c r="U10" i="44"/>
  <c r="T10" i="44"/>
  <c r="S10" i="44"/>
  <c r="R10" i="44"/>
  <c r="Q10" i="44"/>
  <c r="P10" i="44"/>
  <c r="O10" i="44"/>
  <c r="N10" i="44"/>
  <c r="E10" i="44"/>
  <c r="X9" i="44"/>
  <c r="W9" i="44"/>
  <c r="V9" i="44"/>
  <c r="U9" i="44"/>
  <c r="T9" i="44"/>
  <c r="S9" i="44"/>
  <c r="R9" i="44"/>
  <c r="Q9" i="44"/>
  <c r="P9" i="44"/>
  <c r="O9" i="44"/>
  <c r="N9" i="44"/>
  <c r="E9" i="44"/>
  <c r="X8" i="44"/>
  <c r="W8" i="44"/>
  <c r="V8" i="44"/>
  <c r="U8" i="44"/>
  <c r="T8" i="44"/>
  <c r="S8" i="44"/>
  <c r="R8" i="44"/>
  <c r="Q8" i="44"/>
  <c r="P8" i="44"/>
  <c r="O8" i="44"/>
  <c r="N8" i="44"/>
  <c r="E8" i="44"/>
  <c r="X7" i="44"/>
  <c r="W7" i="44"/>
  <c r="V7" i="44"/>
  <c r="U7" i="44"/>
  <c r="T7" i="44"/>
  <c r="S7" i="44"/>
  <c r="R7" i="44"/>
  <c r="Q7" i="44"/>
  <c r="P7" i="44"/>
  <c r="O7" i="44"/>
  <c r="N7" i="44"/>
  <c r="E7" i="44"/>
  <c r="X6" i="44"/>
  <c r="W6" i="44"/>
  <c r="V6" i="44"/>
  <c r="U6" i="44"/>
  <c r="T6" i="44"/>
  <c r="S6" i="44"/>
  <c r="R6" i="44"/>
  <c r="Q6" i="44"/>
  <c r="P6" i="44"/>
  <c r="O6" i="44"/>
  <c r="N6" i="44"/>
  <c r="E6" i="44"/>
  <c r="X5" i="44"/>
  <c r="W5" i="44"/>
  <c r="V5" i="44"/>
  <c r="U5" i="44"/>
  <c r="T5" i="44"/>
  <c r="S5" i="44"/>
  <c r="R5" i="44"/>
  <c r="Q5" i="44"/>
  <c r="P5" i="44"/>
  <c r="O5" i="44"/>
  <c r="N5" i="44"/>
  <c r="E5" i="44"/>
  <c r="X4" i="44"/>
  <c r="W4" i="44"/>
  <c r="V4" i="44"/>
  <c r="U4" i="44"/>
  <c r="T4" i="44"/>
  <c r="S4" i="44"/>
  <c r="R4" i="44"/>
  <c r="Q4" i="44"/>
  <c r="P4" i="44"/>
  <c r="O4" i="44"/>
  <c r="N4" i="44"/>
  <c r="E4" i="44"/>
  <c r="V11" i="43"/>
  <c r="U11" i="43"/>
  <c r="T11" i="43"/>
  <c r="S11" i="43"/>
  <c r="R11" i="43"/>
  <c r="Q11" i="43"/>
  <c r="P11" i="43"/>
  <c r="O11" i="43"/>
  <c r="N11" i="43"/>
  <c r="M11" i="43"/>
  <c r="E11" i="43"/>
  <c r="V10" i="43"/>
  <c r="U10" i="43"/>
  <c r="T10" i="43"/>
  <c r="S10" i="43"/>
  <c r="R10" i="43"/>
  <c r="Q10" i="43"/>
  <c r="P10" i="43"/>
  <c r="O10" i="43"/>
  <c r="N10" i="43"/>
  <c r="M10" i="43"/>
  <c r="E10" i="43"/>
  <c r="V9" i="43"/>
  <c r="U9" i="43"/>
  <c r="T9" i="43"/>
  <c r="S9" i="43"/>
  <c r="R9" i="43"/>
  <c r="Q9" i="43"/>
  <c r="P9" i="43"/>
  <c r="O9" i="43"/>
  <c r="N9" i="43"/>
  <c r="M9" i="43"/>
  <c r="E9" i="43"/>
  <c r="V8" i="43"/>
  <c r="U8" i="43"/>
  <c r="T8" i="43"/>
  <c r="S8" i="43"/>
  <c r="R8" i="43"/>
  <c r="Q8" i="43"/>
  <c r="P8" i="43"/>
  <c r="O8" i="43"/>
  <c r="N8" i="43"/>
  <c r="M8" i="43"/>
  <c r="E8" i="43"/>
  <c r="V7" i="43"/>
  <c r="U7" i="43"/>
  <c r="T7" i="43"/>
  <c r="S7" i="43"/>
  <c r="R7" i="43"/>
  <c r="Q7" i="43"/>
  <c r="P7" i="43"/>
  <c r="O7" i="43"/>
  <c r="N7" i="43"/>
  <c r="M7" i="43"/>
  <c r="E7" i="43"/>
  <c r="V6" i="43"/>
  <c r="U6" i="43"/>
  <c r="T6" i="43"/>
  <c r="S6" i="43"/>
  <c r="R6" i="43"/>
  <c r="Q6" i="43"/>
  <c r="P6" i="43"/>
  <c r="O6" i="43"/>
  <c r="N6" i="43"/>
  <c r="M6" i="43"/>
  <c r="E6" i="43"/>
  <c r="V5" i="43"/>
  <c r="U5" i="43"/>
  <c r="T5" i="43"/>
  <c r="S5" i="43"/>
  <c r="R5" i="43"/>
  <c r="Q5" i="43"/>
  <c r="P5" i="43"/>
  <c r="O5" i="43"/>
  <c r="N5" i="43"/>
  <c r="M5" i="43"/>
  <c r="E5" i="43"/>
  <c r="V4" i="43"/>
  <c r="U4" i="43"/>
  <c r="T4" i="43"/>
  <c r="S4" i="43"/>
  <c r="R4" i="43"/>
  <c r="Q4" i="43"/>
  <c r="P4" i="43"/>
  <c r="O4" i="43"/>
  <c r="N4" i="43"/>
  <c r="M4" i="43"/>
  <c r="E4" i="43"/>
  <c r="D19" i="41"/>
  <c r="C19" i="41"/>
  <c r="B19" i="41"/>
  <c r="E18" i="39"/>
  <c r="E17" i="39"/>
  <c r="C17" i="39"/>
  <c r="E15" i="39"/>
  <c r="C15" i="39"/>
  <c r="F15" i="39" s="1"/>
  <c r="I10" i="39"/>
  <c r="C10" i="39"/>
  <c r="I9" i="39"/>
  <c r="C9" i="39"/>
  <c r="C18" i="39" s="1"/>
  <c r="F18" i="39" s="1"/>
  <c r="I8" i="39"/>
  <c r="I7" i="39"/>
  <c r="I6" i="39"/>
  <c r="I5" i="39"/>
  <c r="E14" i="39" s="1"/>
  <c r="I4" i="39"/>
  <c r="I3" i="39"/>
  <c r="I1" i="39"/>
  <c r="E19" i="38"/>
  <c r="E18" i="38"/>
  <c r="E17" i="38"/>
  <c r="C17" i="38"/>
  <c r="F17" i="38" s="1"/>
  <c r="E16" i="38"/>
  <c r="C16" i="38"/>
  <c r="E15" i="38"/>
  <c r="E14" i="38"/>
  <c r="F13" i="38"/>
  <c r="E13" i="38"/>
  <c r="C13" i="38"/>
  <c r="C9" i="38"/>
  <c r="C8" i="38"/>
  <c r="C7" i="38"/>
  <c r="C6" i="38"/>
  <c r="F29" i="37"/>
  <c r="F6" i="42" s="1"/>
  <c r="E21" i="37"/>
  <c r="C21" i="37"/>
  <c r="F21" i="37" s="1"/>
  <c r="E20" i="37"/>
  <c r="C20" i="37"/>
  <c r="E19" i="37"/>
  <c r="F19" i="37" s="1"/>
  <c r="E18" i="37"/>
  <c r="C18" i="37"/>
  <c r="F18" i="37" s="1"/>
  <c r="E17" i="37"/>
  <c r="C17" i="37"/>
  <c r="F17" i="37" s="1"/>
  <c r="E16" i="37"/>
  <c r="F16" i="37" s="1"/>
  <c r="C16" i="37"/>
  <c r="E15" i="37"/>
  <c r="E14" i="37"/>
  <c r="C14" i="37"/>
  <c r="F13" i="37"/>
  <c r="E13" i="37"/>
  <c r="C13" i="37"/>
  <c r="E12" i="37"/>
  <c r="C12" i="37"/>
  <c r="F12" i="37" s="1"/>
  <c r="E11" i="37"/>
  <c r="C6" i="37"/>
  <c r="C19" i="37" s="1"/>
  <c r="E20" i="36"/>
  <c r="C20" i="36"/>
  <c r="F20" i="36" s="1"/>
  <c r="E19" i="36"/>
  <c r="C19" i="36"/>
  <c r="F19" i="36" s="1"/>
  <c r="F24" i="36" s="1"/>
  <c r="E18" i="36"/>
  <c r="C18" i="36"/>
  <c r="F18" i="36" s="1"/>
  <c r="E17" i="36"/>
  <c r="F17" i="36" s="1"/>
  <c r="C17" i="36"/>
  <c r="E16" i="36"/>
  <c r="C16" i="36"/>
  <c r="F16" i="36" s="1"/>
  <c r="F15" i="36"/>
  <c r="E15" i="36"/>
  <c r="C15" i="36"/>
  <c r="E14" i="36"/>
  <c r="C14" i="36"/>
  <c r="F14" i="36" s="1"/>
  <c r="E13" i="36"/>
  <c r="F13" i="36" s="1"/>
  <c r="C13" i="36"/>
  <c r="E12" i="36"/>
  <c r="C12" i="36"/>
  <c r="F29" i="35"/>
  <c r="F4" i="42" s="1"/>
  <c r="E22" i="35"/>
  <c r="E21" i="35"/>
  <c r="C21" i="35"/>
  <c r="F21" i="35" s="1"/>
  <c r="E20" i="35"/>
  <c r="C20" i="35"/>
  <c r="F20" i="35" s="1"/>
  <c r="E19" i="35"/>
  <c r="C19" i="35"/>
  <c r="F19" i="35" s="1"/>
  <c r="E18" i="35"/>
  <c r="F17" i="35"/>
  <c r="E17" i="35"/>
  <c r="C17" i="35"/>
  <c r="E16" i="35"/>
  <c r="C16" i="35"/>
  <c r="F16" i="35" s="1"/>
  <c r="E15" i="35"/>
  <c r="C15" i="35"/>
  <c r="F15" i="35" s="1"/>
  <c r="E14" i="35"/>
  <c r="E13" i="35"/>
  <c r="F13" i="35" s="1"/>
  <c r="C13" i="35"/>
  <c r="E12" i="35"/>
  <c r="F12" i="35" s="1"/>
  <c r="C12" i="35"/>
  <c r="C7" i="35"/>
  <c r="C6" i="35"/>
  <c r="D45" i="34"/>
  <c r="B45" i="34"/>
  <c r="A45" i="34"/>
  <c r="D44" i="34"/>
  <c r="B44" i="34"/>
  <c r="A44" i="34"/>
  <c r="D43" i="34"/>
  <c r="B43" i="34"/>
  <c r="A43" i="34"/>
  <c r="D42" i="34"/>
  <c r="B42" i="34"/>
  <c r="A42" i="34"/>
  <c r="D41" i="34"/>
  <c r="B41" i="34"/>
  <c r="A41" i="34"/>
  <c r="D40" i="34"/>
  <c r="B40" i="34"/>
  <c r="A40" i="34"/>
  <c r="D39" i="34"/>
  <c r="B39" i="34"/>
  <c r="A39" i="34"/>
  <c r="D38" i="34"/>
  <c r="B38" i="34"/>
  <c r="A38" i="34"/>
  <c r="D37" i="34"/>
  <c r="B37" i="34"/>
  <c r="A37" i="34"/>
  <c r="D36" i="34"/>
  <c r="B36" i="34"/>
  <c r="A36" i="34"/>
  <c r="D35" i="34"/>
  <c r="B35" i="34"/>
  <c r="A35" i="34"/>
  <c r="B33" i="34"/>
  <c r="A33" i="34"/>
  <c r="D32" i="34"/>
  <c r="B32" i="34"/>
  <c r="A32" i="34"/>
  <c r="D31" i="34"/>
  <c r="B31" i="34"/>
  <c r="A31" i="34"/>
  <c r="A30" i="34"/>
  <c r="A29" i="34"/>
  <c r="B28" i="34"/>
  <c r="A28" i="34"/>
  <c r="B27" i="34"/>
  <c r="A27" i="34"/>
  <c r="B26" i="34"/>
  <c r="A26" i="34"/>
  <c r="A25" i="34"/>
  <c r="D24" i="34"/>
  <c r="B24" i="34"/>
  <c r="A24" i="34"/>
  <c r="C15" i="34"/>
  <c r="A15" i="34"/>
  <c r="C14" i="34"/>
  <c r="A14" i="34"/>
  <c r="C13" i="34"/>
  <c r="A13" i="34"/>
  <c r="C12" i="34"/>
  <c r="A12" i="34"/>
  <c r="C11" i="34"/>
  <c r="A11" i="34"/>
  <c r="A10" i="34"/>
  <c r="A9" i="34"/>
  <c r="C22" i="33"/>
  <c r="C19" i="33"/>
  <c r="B19" i="33"/>
  <c r="D19" i="33" s="1"/>
  <c r="B18" i="33"/>
  <c r="H17" i="33"/>
  <c r="A16" i="33"/>
  <c r="H15" i="33"/>
  <c r="H14" i="33"/>
  <c r="H13" i="33"/>
  <c r="H11" i="33"/>
  <c r="E11" i="33"/>
  <c r="E12" i="33" s="1"/>
  <c r="E13" i="33" s="1"/>
  <c r="H10" i="33"/>
  <c r="H12" i="33" s="1"/>
  <c r="H16" i="33" s="1"/>
  <c r="E6" i="33"/>
  <c r="H4" i="33"/>
  <c r="B21" i="33" s="1"/>
  <c r="D21" i="33" s="1"/>
  <c r="E4" i="33"/>
  <c r="E3" i="33"/>
  <c r="AF2" i="33"/>
  <c r="H2" i="33"/>
  <c r="B17" i="33" s="1"/>
  <c r="AF1" i="33"/>
  <c r="D33" i="32"/>
  <c r="C20" i="41" s="1"/>
  <c r="D32" i="32"/>
  <c r="B20" i="41" s="1"/>
  <c r="D20" i="41" s="1"/>
  <c r="D31" i="32"/>
  <c r="B29" i="32"/>
  <c r="D29" i="32" s="1"/>
  <c r="C28" i="32"/>
  <c r="B28" i="32"/>
  <c r="B25" i="32"/>
  <c r="B15" i="32" s="1"/>
  <c r="B24" i="32"/>
  <c r="E20" i="32"/>
  <c r="C29" i="32" s="1"/>
  <c r="E19" i="32"/>
  <c r="E17" i="32"/>
  <c r="E18" i="32" s="1"/>
  <c r="E9" i="32"/>
  <c r="B14" i="32" s="1"/>
  <c r="E8" i="32"/>
  <c r="E16" i="32" s="1"/>
  <c r="E7" i="32"/>
  <c r="E6" i="32"/>
  <c r="E5" i="32"/>
  <c r="E4" i="32"/>
  <c r="E3" i="32"/>
  <c r="E2" i="32"/>
  <c r="D45" i="31"/>
  <c r="D44" i="31"/>
  <c r="B33" i="31"/>
  <c r="D33" i="31" s="1"/>
  <c r="D32" i="31"/>
  <c r="B32" i="31"/>
  <c r="B31" i="31"/>
  <c r="B30" i="31"/>
  <c r="D30" i="31" s="1"/>
  <c r="D29" i="31"/>
  <c r="B29" i="31"/>
  <c r="D27" i="31"/>
  <c r="C26" i="31"/>
  <c r="D26" i="31" s="1"/>
  <c r="B26" i="31"/>
  <c r="D25" i="31"/>
  <c r="B23" i="31"/>
  <c r="D22" i="31"/>
  <c r="C22" i="31"/>
  <c r="B22" i="31"/>
  <c r="A22" i="31"/>
  <c r="D21" i="31"/>
  <c r="C21" i="31"/>
  <c r="B21" i="31"/>
  <c r="A21" i="31"/>
  <c r="D20" i="31"/>
  <c r="C20" i="31"/>
  <c r="B20" i="31"/>
  <c r="A20" i="31"/>
  <c r="A19" i="31"/>
  <c r="H18" i="31"/>
  <c r="H19" i="31" s="1"/>
  <c r="H23" i="31" s="1"/>
  <c r="H24" i="31" s="1"/>
  <c r="E17" i="31"/>
  <c r="E16" i="31"/>
  <c r="E15" i="31"/>
  <c r="B28" i="31" s="1"/>
  <c r="D28" i="31" s="1"/>
  <c r="C13" i="31"/>
  <c r="E12" i="31"/>
  <c r="E11" i="31"/>
  <c r="C33" i="31" s="1"/>
  <c r="H9" i="31"/>
  <c r="H6" i="31"/>
  <c r="E6" i="31"/>
  <c r="H5" i="31"/>
  <c r="H7" i="31" s="1"/>
  <c r="E4" i="31"/>
  <c r="E7" i="31" s="1"/>
  <c r="H3" i="31"/>
  <c r="E3" i="31"/>
  <c r="AF2" i="31"/>
  <c r="H2" i="31"/>
  <c r="H4" i="31" s="1"/>
  <c r="H8" i="31" s="1"/>
  <c r="AF1" i="31"/>
  <c r="N201" i="30"/>
  <c r="O201" i="30" s="1"/>
  <c r="N200" i="30"/>
  <c r="N199" i="30"/>
  <c r="N198" i="30"/>
  <c r="N197" i="30"/>
  <c r="O196" i="30"/>
  <c r="N196" i="30"/>
  <c r="O195" i="30"/>
  <c r="N195" i="30"/>
  <c r="O194" i="30"/>
  <c r="N194" i="30"/>
  <c r="O193" i="30"/>
  <c r="N193" i="30"/>
  <c r="N192" i="30"/>
  <c r="N191" i="30"/>
  <c r="O191" i="30" s="1"/>
  <c r="N190" i="30"/>
  <c r="O190" i="30" s="1"/>
  <c r="N189" i="30"/>
  <c r="N188" i="30"/>
  <c r="N187" i="30"/>
  <c r="O187" i="30" s="1"/>
  <c r="N186" i="30"/>
  <c r="O186" i="30" s="1"/>
  <c r="N185" i="30"/>
  <c r="N184" i="30"/>
  <c r="O184" i="30" s="1"/>
  <c r="N183" i="30"/>
  <c r="N182" i="30"/>
  <c r="N181" i="30"/>
  <c r="O181" i="30" s="1"/>
  <c r="N180" i="30"/>
  <c r="O179" i="30"/>
  <c r="N179" i="30"/>
  <c r="N178" i="30"/>
  <c r="O178" i="30" s="1"/>
  <c r="N177" i="30"/>
  <c r="O177" i="30" s="1"/>
  <c r="N176" i="30"/>
  <c r="O176" i="30" s="1"/>
  <c r="N175" i="30"/>
  <c r="O175" i="30" s="1"/>
  <c r="N174" i="30"/>
  <c r="N173" i="30"/>
  <c r="O172" i="30"/>
  <c r="N172" i="30"/>
  <c r="O171" i="30"/>
  <c r="N171" i="30"/>
  <c r="N170" i="30"/>
  <c r="N169" i="30"/>
  <c r="N168" i="30"/>
  <c r="N167" i="30"/>
  <c r="N166" i="30"/>
  <c r="O166" i="30" s="1"/>
  <c r="N165" i="30"/>
  <c r="N164" i="30"/>
  <c r="O164" i="30" s="1"/>
  <c r="N163" i="30"/>
  <c r="O163" i="30" s="1"/>
  <c r="O162" i="30"/>
  <c r="N162" i="30"/>
  <c r="O161" i="30"/>
  <c r="N161" i="30"/>
  <c r="N160" i="30"/>
  <c r="N159" i="30"/>
  <c r="N158" i="30"/>
  <c r="N157" i="30"/>
  <c r="O157" i="30" s="1"/>
  <c r="N156" i="30"/>
  <c r="O156" i="30" s="1"/>
  <c r="N155" i="30"/>
  <c r="O155" i="30" s="1"/>
  <c r="N154" i="30"/>
  <c r="O154" i="30" s="1"/>
  <c r="O153" i="30"/>
  <c r="N153" i="30"/>
  <c r="N152" i="30"/>
  <c r="N151" i="30"/>
  <c r="O151" i="30" s="1"/>
  <c r="N150" i="30"/>
  <c r="O150" i="30" s="1"/>
  <c r="N149" i="30"/>
  <c r="O148" i="30"/>
  <c r="N148" i="30"/>
  <c r="O147" i="30"/>
  <c r="N147" i="30"/>
  <c r="O146" i="30"/>
  <c r="N146" i="30"/>
  <c r="O145" i="30"/>
  <c r="N145" i="30"/>
  <c r="N144" i="30"/>
  <c r="N143" i="30"/>
  <c r="O143" i="30" s="1"/>
  <c r="O142" i="30"/>
  <c r="N142" i="30"/>
  <c r="N141" i="30"/>
  <c r="N140" i="30"/>
  <c r="N139" i="30"/>
  <c r="O139" i="30" s="1"/>
  <c r="N138" i="30"/>
  <c r="O138" i="30" s="1"/>
  <c r="N137" i="30"/>
  <c r="N136" i="30"/>
  <c r="O136" i="30" s="1"/>
  <c r="O135" i="30"/>
  <c r="N135" i="30"/>
  <c r="N134" i="30"/>
  <c r="O133" i="30"/>
  <c r="N133" i="30"/>
  <c r="N132" i="30"/>
  <c r="O132" i="30" s="1"/>
  <c r="N131" i="30"/>
  <c r="O131" i="30" s="1"/>
  <c r="N130" i="30"/>
  <c r="O130" i="30" s="1"/>
  <c r="N129" i="30"/>
  <c r="O129" i="30" s="1"/>
  <c r="N128" i="30"/>
  <c r="N127" i="30"/>
  <c r="N126" i="30"/>
  <c r="O126" i="30" s="1"/>
  <c r="N125" i="30"/>
  <c r="N124" i="30"/>
  <c r="O123" i="30"/>
  <c r="N123" i="30"/>
  <c r="O122" i="30"/>
  <c r="N122" i="30"/>
  <c r="O121" i="30"/>
  <c r="N121" i="30"/>
  <c r="N120" i="30"/>
  <c r="N119" i="30"/>
  <c r="N118" i="30"/>
  <c r="O118" i="30" s="1"/>
  <c r="N117" i="30"/>
  <c r="O117" i="30" s="1"/>
  <c r="N116" i="30"/>
  <c r="O116" i="30" s="1"/>
  <c r="N115" i="30"/>
  <c r="O115" i="30" s="1"/>
  <c r="N114" i="30"/>
  <c r="O114" i="30" s="1"/>
  <c r="N113" i="30"/>
  <c r="N112" i="30"/>
  <c r="O112" i="30" s="1"/>
  <c r="O111" i="30"/>
  <c r="N111" i="30"/>
  <c r="N110" i="30"/>
  <c r="N109" i="30"/>
  <c r="O109" i="30" s="1"/>
  <c r="N108" i="30"/>
  <c r="O108" i="30" s="1"/>
  <c r="N107" i="30"/>
  <c r="O107" i="30" s="1"/>
  <c r="N106" i="30"/>
  <c r="N105" i="30"/>
  <c r="O105" i="30" s="1"/>
  <c r="N104" i="30"/>
  <c r="N103" i="30"/>
  <c r="O103" i="30" s="1"/>
  <c r="N102" i="30"/>
  <c r="O102" i="30" s="1"/>
  <c r="N101" i="30"/>
  <c r="O101" i="30" s="1"/>
  <c r="O100" i="30"/>
  <c r="N100" i="30"/>
  <c r="O99" i="30"/>
  <c r="N99" i="30"/>
  <c r="O98" i="30"/>
  <c r="N98" i="30"/>
  <c r="N97" i="30"/>
  <c r="N96" i="30"/>
  <c r="O96" i="30" s="1"/>
  <c r="N95" i="30"/>
  <c r="N94" i="30"/>
  <c r="O94" i="30" s="1"/>
  <c r="N93" i="30"/>
  <c r="O93" i="30" s="1"/>
  <c r="N92" i="30"/>
  <c r="N91" i="30"/>
  <c r="O91" i="30" s="1"/>
  <c r="N90" i="30"/>
  <c r="O90" i="30" s="1"/>
  <c r="N89" i="30"/>
  <c r="N88" i="30"/>
  <c r="O87" i="30"/>
  <c r="N87" i="30"/>
  <c r="N86" i="30"/>
  <c r="N85" i="30"/>
  <c r="O85" i="30" s="1"/>
  <c r="N84" i="30"/>
  <c r="O84" i="30" s="1"/>
  <c r="N83" i="30"/>
  <c r="O83" i="30" s="1"/>
  <c r="N82" i="30"/>
  <c r="O82" i="30" s="1"/>
  <c r="N81" i="30"/>
  <c r="O81" i="30" s="1"/>
  <c r="N80" i="30"/>
  <c r="N79" i="30"/>
  <c r="N78" i="30"/>
  <c r="N77" i="30"/>
  <c r="O77" i="30" s="1"/>
  <c r="O76" i="30"/>
  <c r="N76" i="30"/>
  <c r="O75" i="30"/>
  <c r="N75" i="30"/>
  <c r="N74" i="30"/>
  <c r="O73" i="30"/>
  <c r="N73" i="30"/>
  <c r="N72" i="30"/>
  <c r="O72" i="30" s="1"/>
  <c r="N71" i="30"/>
  <c r="O70" i="30"/>
  <c r="N70" i="30"/>
  <c r="N69" i="30"/>
  <c r="O69" i="30" s="1"/>
  <c r="N68" i="30"/>
  <c r="N67" i="30"/>
  <c r="O66" i="30"/>
  <c r="N66" i="30"/>
  <c r="N65" i="30"/>
  <c r="N64" i="30"/>
  <c r="O64" i="30" s="1"/>
  <c r="N63" i="30"/>
  <c r="N62" i="30"/>
  <c r="O61" i="30"/>
  <c r="N61" i="30"/>
  <c r="N60" i="30"/>
  <c r="O60" i="30" s="1"/>
  <c r="O59" i="30"/>
  <c r="N59" i="30"/>
  <c r="N58" i="30"/>
  <c r="O58" i="30" s="1"/>
  <c r="O57" i="30"/>
  <c r="N57" i="30"/>
  <c r="N56" i="30"/>
  <c r="O56" i="30" s="1"/>
  <c r="N55" i="30"/>
  <c r="N54" i="30"/>
  <c r="O54" i="30" s="1"/>
  <c r="N53" i="30"/>
  <c r="O53" i="30" s="1"/>
  <c r="O52" i="30"/>
  <c r="N52" i="30"/>
  <c r="N51" i="30"/>
  <c r="N50" i="30"/>
  <c r="N49" i="30"/>
  <c r="N48" i="30"/>
  <c r="O48" i="30" s="1"/>
  <c r="N47" i="30"/>
  <c r="N46" i="30"/>
  <c r="O46" i="30" s="1"/>
  <c r="N45" i="30"/>
  <c r="N44" i="30"/>
  <c r="O44" i="30" s="1"/>
  <c r="N43" i="30"/>
  <c r="O43" i="30" s="1"/>
  <c r="N42" i="30"/>
  <c r="O42" i="30" s="1"/>
  <c r="O41" i="30"/>
  <c r="N41" i="30"/>
  <c r="N40" i="30"/>
  <c r="O39" i="30"/>
  <c r="N39" i="30"/>
  <c r="N38" i="30"/>
  <c r="N37" i="30"/>
  <c r="O37" i="30" s="1"/>
  <c r="N36" i="30"/>
  <c r="O36" i="30" s="1"/>
  <c r="O35" i="30"/>
  <c r="N35" i="30"/>
  <c r="N34" i="30"/>
  <c r="O34" i="30" s="1"/>
  <c r="N33" i="30"/>
  <c r="O33" i="30" s="1"/>
  <c r="O32" i="30"/>
  <c r="N32" i="30"/>
  <c r="N31" i="30"/>
  <c r="O31" i="30" s="1"/>
  <c r="N30" i="30"/>
  <c r="O30" i="30" s="1"/>
  <c r="O29" i="30"/>
  <c r="N29" i="30"/>
  <c r="N28" i="30"/>
  <c r="O28" i="30" s="1"/>
  <c r="O27" i="30"/>
  <c r="N27" i="30"/>
  <c r="N26" i="30"/>
  <c r="C26" i="30"/>
  <c r="N25" i="30"/>
  <c r="O25" i="30" s="1"/>
  <c r="C25" i="30"/>
  <c r="B25" i="30"/>
  <c r="N24" i="30"/>
  <c r="O24" i="30" s="1"/>
  <c r="B24" i="30"/>
  <c r="N23" i="30"/>
  <c r="O22" i="30"/>
  <c r="N22" i="30"/>
  <c r="A22" i="30"/>
  <c r="N21" i="30"/>
  <c r="O21" i="30" s="1"/>
  <c r="A21" i="30"/>
  <c r="N20" i="30"/>
  <c r="O19" i="30"/>
  <c r="N19" i="30"/>
  <c r="N18" i="30"/>
  <c r="O18" i="30" s="1"/>
  <c r="N17" i="30"/>
  <c r="E17" i="30"/>
  <c r="C24" i="30" s="1"/>
  <c r="N16" i="30"/>
  <c r="O16" i="30" s="1"/>
  <c r="E16" i="30"/>
  <c r="N15" i="30"/>
  <c r="O15" i="30" s="1"/>
  <c r="E15" i="30"/>
  <c r="O14" i="30"/>
  <c r="N14" i="30"/>
  <c r="N13" i="30"/>
  <c r="O13" i="30" s="1"/>
  <c r="O12" i="30"/>
  <c r="N12" i="30"/>
  <c r="O11" i="30"/>
  <c r="N11" i="30"/>
  <c r="N10" i="30"/>
  <c r="O10" i="30" s="1"/>
  <c r="N9" i="30"/>
  <c r="N8" i="30"/>
  <c r="O8" i="30" s="1"/>
  <c r="N7" i="30"/>
  <c r="O7" i="30" s="1"/>
  <c r="E7" i="30"/>
  <c r="C22" i="30" s="1"/>
  <c r="N6" i="30"/>
  <c r="E6" i="30"/>
  <c r="C21" i="30" s="1"/>
  <c r="N5" i="30"/>
  <c r="O5" i="30" s="1"/>
  <c r="E5" i="30"/>
  <c r="AF4" i="30"/>
  <c r="N4" i="30"/>
  <c r="O4" i="30" s="1"/>
  <c r="H4" i="30"/>
  <c r="E4" i="30"/>
  <c r="AF3" i="30"/>
  <c r="N3" i="30"/>
  <c r="O3" i="30" s="1"/>
  <c r="H3" i="30"/>
  <c r="E3" i="30"/>
  <c r="O50" i="30" s="1"/>
  <c r="AF2" i="30"/>
  <c r="O2" i="30"/>
  <c r="P2" i="30" s="1"/>
  <c r="N2" i="30"/>
  <c r="H2" i="30"/>
  <c r="AF1" i="30"/>
  <c r="C19" i="29"/>
  <c r="B18" i="29"/>
  <c r="D18" i="29" s="1"/>
  <c r="H17" i="29"/>
  <c r="B17" i="29"/>
  <c r="A16" i="29"/>
  <c r="H15" i="29"/>
  <c r="H14" i="29"/>
  <c r="H13" i="29"/>
  <c r="H11" i="29"/>
  <c r="E11" i="29"/>
  <c r="E12" i="29" s="1"/>
  <c r="E13" i="29" s="1"/>
  <c r="H10" i="29"/>
  <c r="H12" i="29" s="1"/>
  <c r="H16" i="29" s="1"/>
  <c r="E6" i="29"/>
  <c r="H4" i="29"/>
  <c r="E3" i="29"/>
  <c r="E4" i="29" s="1"/>
  <c r="AF2" i="29"/>
  <c r="H2" i="29"/>
  <c r="AF1" i="29"/>
  <c r="D16" i="28"/>
  <c r="B36" i="28" s="1"/>
  <c r="C14" i="28"/>
  <c r="D12" i="28"/>
  <c r="B11" i="28"/>
  <c r="B8" i="28"/>
  <c r="E3" i="28"/>
  <c r="E2" i="28"/>
  <c r="G1" i="28"/>
  <c r="B36" i="27"/>
  <c r="D14" i="27"/>
  <c r="C13" i="27"/>
  <c r="B13" i="27"/>
  <c r="D13" i="27" s="1"/>
  <c r="C12" i="27"/>
  <c r="B12" i="27"/>
  <c r="D12" i="27" s="1"/>
  <c r="B35" i="27" s="1"/>
  <c r="D11" i="27"/>
  <c r="B6" i="27"/>
  <c r="B5" i="27"/>
  <c r="E54" i="26"/>
  <c r="E38" i="26"/>
  <c r="E37" i="26"/>
  <c r="D36" i="26"/>
  <c r="B36" i="26"/>
  <c r="C36" i="26" s="1"/>
  <c r="B33" i="26"/>
  <c r="C33" i="26" s="1"/>
  <c r="E33" i="26" s="1"/>
  <c r="C30" i="26"/>
  <c r="E30" i="26" s="1"/>
  <c r="C29" i="26"/>
  <c r="E29" i="26" s="1"/>
  <c r="E28" i="26"/>
  <c r="C28" i="26"/>
  <c r="E27" i="26"/>
  <c r="C27" i="26"/>
  <c r="C26" i="26"/>
  <c r="E26" i="26" s="1"/>
  <c r="C25" i="26"/>
  <c r="E25" i="26" s="1"/>
  <c r="E24" i="26"/>
  <c r="C24" i="26"/>
  <c r="C23" i="26"/>
  <c r="E23" i="26" s="1"/>
  <c r="C22" i="26"/>
  <c r="E22" i="26" s="1"/>
  <c r="D19" i="26"/>
  <c r="B19" i="26"/>
  <c r="C19" i="26" s="1"/>
  <c r="B18" i="26"/>
  <c r="C18" i="26" s="1"/>
  <c r="B16" i="26"/>
  <c r="C16" i="26" s="1"/>
  <c r="B15" i="26"/>
  <c r="C15" i="26" s="1"/>
  <c r="B14" i="26"/>
  <c r="C14" i="26" s="1"/>
  <c r="C10" i="26"/>
  <c r="E36" i="26" s="1"/>
  <c r="E7" i="26"/>
  <c r="B7" i="26"/>
  <c r="E6" i="26"/>
  <c r="B13" i="26" s="1"/>
  <c r="C13" i="26" s="1"/>
  <c r="E5" i="26"/>
  <c r="E4" i="26"/>
  <c r="B4" i="26"/>
  <c r="B17" i="26" s="1"/>
  <c r="C17" i="26" s="1"/>
  <c r="E3" i="26"/>
  <c r="E2" i="26"/>
  <c r="H60" i="25"/>
  <c r="H59" i="25"/>
  <c r="H58" i="25"/>
  <c r="C58" i="25"/>
  <c r="C57" i="25"/>
  <c r="H56" i="25"/>
  <c r="C56" i="25"/>
  <c r="H55" i="25"/>
  <c r="H54" i="25"/>
  <c r="C59" i="25" s="1"/>
  <c r="D54" i="25"/>
  <c r="C54" i="25"/>
  <c r="D51" i="25"/>
  <c r="D30" i="25"/>
  <c r="B30" i="25"/>
  <c r="C29" i="25"/>
  <c r="D29" i="25" s="1"/>
  <c r="B29" i="25"/>
  <c r="C28" i="25"/>
  <c r="D28" i="25" s="1"/>
  <c r="B72" i="25" s="1"/>
  <c r="B28" i="25"/>
  <c r="B27" i="25"/>
  <c r="D27" i="25" s="1"/>
  <c r="B26" i="25"/>
  <c r="D26" i="25" s="1"/>
  <c r="D25" i="25"/>
  <c r="B25" i="25"/>
  <c r="B24" i="25"/>
  <c r="D24" i="25" s="1"/>
  <c r="D23" i="25"/>
  <c r="B23" i="25"/>
  <c r="B22" i="25"/>
  <c r="D22" i="25" s="1"/>
  <c r="B21" i="25"/>
  <c r="D21" i="25" s="1"/>
  <c r="C20" i="25"/>
  <c r="B20" i="25"/>
  <c r="D20" i="25" s="1"/>
  <c r="C19" i="25"/>
  <c r="B19" i="25"/>
  <c r="B18" i="25"/>
  <c r="D18" i="25" s="1"/>
  <c r="D17" i="25"/>
  <c r="C17" i="25"/>
  <c r="B17" i="25"/>
  <c r="D16" i="25"/>
  <c r="B16" i="25"/>
  <c r="C15" i="25"/>
  <c r="B15" i="25"/>
  <c r="C14" i="25"/>
  <c r="B14" i="25"/>
  <c r="C13" i="25"/>
  <c r="D13" i="25" s="1"/>
  <c r="B13" i="25"/>
  <c r="C12" i="25"/>
  <c r="B12" i="25"/>
  <c r="G10" i="25"/>
  <c r="C10" i="25"/>
  <c r="B7" i="25"/>
  <c r="D58" i="24"/>
  <c r="D43" i="24"/>
  <c r="B42" i="24"/>
  <c r="B33" i="24"/>
  <c r="D33" i="24" s="1"/>
  <c r="C32" i="24"/>
  <c r="D32" i="24" s="1"/>
  <c r="B32" i="24"/>
  <c r="B31" i="24"/>
  <c r="B30" i="24"/>
  <c r="D30" i="24" s="1"/>
  <c r="D29" i="24"/>
  <c r="B29" i="24"/>
  <c r="D28" i="24"/>
  <c r="D26" i="24"/>
  <c r="C26" i="24"/>
  <c r="B26" i="24"/>
  <c r="B25" i="24"/>
  <c r="D25" i="24" s="1"/>
  <c r="C24" i="24"/>
  <c r="B24" i="24"/>
  <c r="C23" i="24"/>
  <c r="C22" i="24"/>
  <c r="C21" i="24"/>
  <c r="B21" i="24"/>
  <c r="C20" i="24"/>
  <c r="B20" i="24"/>
  <c r="C19" i="24"/>
  <c r="B19" i="24"/>
  <c r="C18" i="24"/>
  <c r="B18" i="24"/>
  <c r="B14" i="24"/>
  <c r="C31" i="24" s="1"/>
  <c r="B13" i="24"/>
  <c r="B12" i="24"/>
  <c r="B23" i="24" s="1"/>
  <c r="F6" i="24"/>
  <c r="H49" i="23"/>
  <c r="H48" i="23"/>
  <c r="C48" i="23"/>
  <c r="C47" i="23"/>
  <c r="H46" i="23"/>
  <c r="C46" i="23"/>
  <c r="H45" i="23"/>
  <c r="H44" i="23"/>
  <c r="C49" i="23" s="1"/>
  <c r="D44" i="23"/>
  <c r="C44" i="23"/>
  <c r="D28" i="23"/>
  <c r="B28" i="23"/>
  <c r="C27" i="23"/>
  <c r="D27" i="23" s="1"/>
  <c r="B27" i="23"/>
  <c r="B26" i="23"/>
  <c r="D26" i="23" s="1"/>
  <c r="B24" i="23"/>
  <c r="D24" i="23" s="1"/>
  <c r="B22" i="23"/>
  <c r="D22" i="23" s="1"/>
  <c r="B62" i="23" s="1"/>
  <c r="C21" i="23"/>
  <c r="C20" i="23"/>
  <c r="B20" i="23"/>
  <c r="D20" i="23" s="1"/>
  <c r="D19" i="23"/>
  <c r="C19" i="23"/>
  <c r="B19" i="23"/>
  <c r="C18" i="23"/>
  <c r="C17" i="23"/>
  <c r="C16" i="23"/>
  <c r="B16" i="23"/>
  <c r="D16" i="23" s="1"/>
  <c r="D15" i="23"/>
  <c r="C15" i="23"/>
  <c r="B15" i="23"/>
  <c r="C14" i="23"/>
  <c r="B14" i="23"/>
  <c r="C13" i="23"/>
  <c r="B13" i="23"/>
  <c r="B11" i="23"/>
  <c r="C7" i="23"/>
  <c r="C22" i="23" s="1"/>
  <c r="F5" i="23"/>
  <c r="F4" i="23"/>
  <c r="B18" i="23" s="1"/>
  <c r="D18" i="23" s="1"/>
  <c r="F3" i="23"/>
  <c r="F2" i="23"/>
  <c r="B23" i="23" s="1"/>
  <c r="D23" i="23" s="1"/>
  <c r="D47" i="22"/>
  <c r="H46" i="22"/>
  <c r="D46" i="22"/>
  <c r="H45" i="22"/>
  <c r="C45" i="22"/>
  <c r="D45" i="22" s="1"/>
  <c r="B45" i="22"/>
  <c r="H44" i="22"/>
  <c r="C44" i="22"/>
  <c r="C43" i="22"/>
  <c r="B43" i="22"/>
  <c r="D43" i="22" s="1"/>
  <c r="H42" i="22"/>
  <c r="B42" i="22" s="1"/>
  <c r="D42" i="22" s="1"/>
  <c r="C42" i="22"/>
  <c r="H41" i="22"/>
  <c r="H40" i="22"/>
  <c r="D40" i="22"/>
  <c r="C40" i="22"/>
  <c r="D33" i="22"/>
  <c r="C11" i="41" s="1"/>
  <c r="C22" i="22"/>
  <c r="B22" i="22"/>
  <c r="D22" i="22" s="1"/>
  <c r="B21" i="22"/>
  <c r="D20" i="22"/>
  <c r="B20" i="22"/>
  <c r="C19" i="22"/>
  <c r="B19" i="22"/>
  <c r="D19" i="22" s="1"/>
  <c r="D18" i="22"/>
  <c r="B18" i="22"/>
  <c r="C17" i="22"/>
  <c r="D17" i="22" s="1"/>
  <c r="B59" i="22" s="1"/>
  <c r="C16" i="22"/>
  <c r="B16" i="22"/>
  <c r="B10" i="22"/>
  <c r="B9" i="22"/>
  <c r="C21" i="22" s="1"/>
  <c r="E5" i="22"/>
  <c r="E3" i="22"/>
  <c r="E2" i="22"/>
  <c r="B15" i="22" s="1"/>
  <c r="B19" i="21"/>
  <c r="D19" i="21" s="1"/>
  <c r="B41" i="21" s="1"/>
  <c r="D18" i="21"/>
  <c r="C18" i="21"/>
  <c r="B18" i="21"/>
  <c r="C17" i="21"/>
  <c r="D16" i="21"/>
  <c r="B16" i="21"/>
  <c r="B15" i="21"/>
  <c r="D15" i="21" s="1"/>
  <c r="B14" i="21"/>
  <c r="B13" i="21"/>
  <c r="B8" i="21"/>
  <c r="B7" i="21"/>
  <c r="D128" i="20"/>
  <c r="B25" i="20"/>
  <c r="D25" i="20" s="1"/>
  <c r="C24" i="20"/>
  <c r="B24" i="20"/>
  <c r="D24" i="20" s="1"/>
  <c r="D23" i="20"/>
  <c r="C23" i="20"/>
  <c r="D22" i="20"/>
  <c r="C22" i="20"/>
  <c r="B22" i="20"/>
  <c r="B21" i="20"/>
  <c r="D21" i="20" s="1"/>
  <c r="C20" i="20"/>
  <c r="C19" i="20"/>
  <c r="C18" i="20"/>
  <c r="C17" i="20"/>
  <c r="B17" i="20"/>
  <c r="C16" i="20"/>
  <c r="B16" i="20"/>
  <c r="D16" i="20" s="1"/>
  <c r="C15" i="20"/>
  <c r="B15" i="20"/>
  <c r="M14" i="20"/>
  <c r="C14" i="20"/>
  <c r="B14" i="20"/>
  <c r="C13" i="20"/>
  <c r="B13" i="20"/>
  <c r="D13" i="20" s="1"/>
  <c r="C12" i="20"/>
  <c r="B12" i="20"/>
  <c r="G10" i="20"/>
  <c r="C10" i="20"/>
  <c r="B7" i="20"/>
  <c r="B4" i="20"/>
  <c r="H63" i="19"/>
  <c r="H62" i="19"/>
  <c r="D62" i="19"/>
  <c r="B62" i="19"/>
  <c r="H61" i="19"/>
  <c r="C61" i="19"/>
  <c r="B61" i="19"/>
  <c r="C60" i="19"/>
  <c r="H59" i="19"/>
  <c r="C59" i="19"/>
  <c r="H58" i="19"/>
  <c r="H57" i="19"/>
  <c r="C62" i="19" s="1"/>
  <c r="D57" i="19"/>
  <c r="C57" i="19"/>
  <c r="D54" i="19"/>
  <c r="B52" i="19"/>
  <c r="B32" i="19"/>
  <c r="D32" i="19" s="1"/>
  <c r="D31" i="19"/>
  <c r="C31" i="19"/>
  <c r="B31" i="19"/>
  <c r="C30" i="19"/>
  <c r="B30" i="19"/>
  <c r="D30" i="19" s="1"/>
  <c r="B29" i="19"/>
  <c r="D29" i="19" s="1"/>
  <c r="D28" i="19"/>
  <c r="B28" i="19"/>
  <c r="B27" i="19"/>
  <c r="D27" i="19" s="1"/>
  <c r="B75" i="19" s="1"/>
  <c r="D26" i="19"/>
  <c r="B26" i="19"/>
  <c r="B25" i="19"/>
  <c r="D25" i="19" s="1"/>
  <c r="B24" i="19"/>
  <c r="D24" i="19" s="1"/>
  <c r="D23" i="19"/>
  <c r="B23" i="19"/>
  <c r="B22" i="19"/>
  <c r="D22" i="19" s="1"/>
  <c r="D21" i="19"/>
  <c r="B21" i="19"/>
  <c r="D20" i="19"/>
  <c r="B20" i="19"/>
  <c r="D19" i="19"/>
  <c r="B19" i="19"/>
  <c r="B18" i="19"/>
  <c r="D18" i="19" s="1"/>
  <c r="B17" i="19"/>
  <c r="D17" i="19" s="1"/>
  <c r="C16" i="19"/>
  <c r="B16" i="19"/>
  <c r="C15" i="19"/>
  <c r="D15" i="19" s="1"/>
  <c r="B15" i="19"/>
  <c r="C14" i="19"/>
  <c r="B14" i="19"/>
  <c r="C13" i="19"/>
  <c r="B13" i="19"/>
  <c r="C12" i="19"/>
  <c r="B12" i="19"/>
  <c r="D12" i="19" s="1"/>
  <c r="G10" i="19"/>
  <c r="C10" i="19"/>
  <c r="B7" i="19"/>
  <c r="H50" i="18"/>
  <c r="H49" i="18"/>
  <c r="H48" i="18"/>
  <c r="C48" i="18"/>
  <c r="C47" i="18"/>
  <c r="H46" i="18"/>
  <c r="C46" i="18"/>
  <c r="H45" i="18"/>
  <c r="H44" i="18"/>
  <c r="C49" i="18" s="1"/>
  <c r="D44" i="18"/>
  <c r="C44" i="18"/>
  <c r="B26" i="18"/>
  <c r="D26" i="18" s="1"/>
  <c r="C25" i="18"/>
  <c r="D25" i="18" s="1"/>
  <c r="B25" i="18"/>
  <c r="C24" i="18"/>
  <c r="D23" i="18"/>
  <c r="B23" i="18"/>
  <c r="B22" i="18"/>
  <c r="D22" i="18" s="1"/>
  <c r="B21" i="18"/>
  <c r="D21" i="18" s="1"/>
  <c r="D20" i="18"/>
  <c r="B20" i="18"/>
  <c r="D19" i="18"/>
  <c r="B19" i="18"/>
  <c r="C18" i="18"/>
  <c r="B18" i="18"/>
  <c r="C17" i="18"/>
  <c r="B17" i="18"/>
  <c r="C16" i="18"/>
  <c r="B16" i="18"/>
  <c r="C15" i="18"/>
  <c r="D15" i="18" s="1"/>
  <c r="B15" i="18"/>
  <c r="C14" i="18"/>
  <c r="B14" i="18"/>
  <c r="C13" i="18"/>
  <c r="B13" i="18"/>
  <c r="C12" i="18"/>
  <c r="B12" i="18"/>
  <c r="G10" i="18"/>
  <c r="C10" i="18"/>
  <c r="B7" i="18"/>
  <c r="B22" i="17"/>
  <c r="D22" i="17" s="1"/>
  <c r="C21" i="17"/>
  <c r="B21" i="17"/>
  <c r="D21" i="17" s="1"/>
  <c r="D20" i="17"/>
  <c r="B20" i="17"/>
  <c r="B19" i="17"/>
  <c r="D19" i="17" s="1"/>
  <c r="B18" i="17"/>
  <c r="B17" i="17"/>
  <c r="C16" i="17"/>
  <c r="B16" i="17"/>
  <c r="D16" i="17" s="1"/>
  <c r="B43" i="17" s="1"/>
  <c r="B15" i="17"/>
  <c r="B14" i="17"/>
  <c r="B13" i="17"/>
  <c r="B12" i="17"/>
  <c r="D12" i="17" s="1"/>
  <c r="D11" i="17"/>
  <c r="F7" i="17"/>
  <c r="C15" i="17" s="1"/>
  <c r="F6" i="17"/>
  <c r="F5" i="17"/>
  <c r="F4" i="17"/>
  <c r="B11" i="17" s="1"/>
  <c r="F3" i="17"/>
  <c r="F2" i="17"/>
  <c r="D68" i="16"/>
  <c r="AC67" i="16"/>
  <c r="AC65" i="16" s="1"/>
  <c r="D67" i="16"/>
  <c r="AC66" i="16"/>
  <c r="C66" i="16"/>
  <c r="B66" i="16"/>
  <c r="D66" i="16" s="1"/>
  <c r="C65" i="16"/>
  <c r="C64" i="16"/>
  <c r="AC63" i="16"/>
  <c r="C63" i="16"/>
  <c r="AC62" i="16"/>
  <c r="AC61" i="16"/>
  <c r="D61" i="16"/>
  <c r="C61" i="16"/>
  <c r="D58" i="16"/>
  <c r="D31" i="16"/>
  <c r="B31" i="16"/>
  <c r="C30" i="16"/>
  <c r="B30" i="16"/>
  <c r="D30" i="16" s="1"/>
  <c r="B79" i="16" s="1"/>
  <c r="D29" i="16"/>
  <c r="C29" i="16"/>
  <c r="B29" i="16"/>
  <c r="C28" i="16"/>
  <c r="B25" i="16"/>
  <c r="D25" i="16" s="1"/>
  <c r="B23" i="16"/>
  <c r="D23" i="16" s="1"/>
  <c r="C20" i="16"/>
  <c r="C19" i="16"/>
  <c r="B19" i="16"/>
  <c r="D19" i="16" s="1"/>
  <c r="C18" i="16"/>
  <c r="C17" i="16"/>
  <c r="C15" i="16"/>
  <c r="C14" i="16"/>
  <c r="C13" i="16"/>
  <c r="C12" i="16"/>
  <c r="G10" i="16"/>
  <c r="C10" i="16"/>
  <c r="B6" i="16"/>
  <c r="E2" i="16"/>
  <c r="B24" i="16" s="1"/>
  <c r="D24" i="16" s="1"/>
  <c r="H67" i="15"/>
  <c r="H66" i="15"/>
  <c r="C66" i="15"/>
  <c r="B66" i="15"/>
  <c r="D66" i="15" s="1"/>
  <c r="H65" i="15"/>
  <c r="C65" i="15"/>
  <c r="H64" i="15"/>
  <c r="C64" i="15"/>
  <c r="H63" i="15"/>
  <c r="H62" i="15"/>
  <c r="C67" i="15" s="1"/>
  <c r="D62" i="15"/>
  <c r="C62" i="15"/>
  <c r="G59" i="15"/>
  <c r="G58" i="15"/>
  <c r="G57" i="15"/>
  <c r="D57" i="15"/>
  <c r="G56" i="15"/>
  <c r="G55" i="15"/>
  <c r="G54" i="15"/>
  <c r="G53" i="15"/>
  <c r="G52" i="15"/>
  <c r="G51" i="15"/>
  <c r="B35" i="15"/>
  <c r="D35" i="15" s="1"/>
  <c r="C34" i="15"/>
  <c r="B34" i="15"/>
  <c r="D34" i="15" s="1"/>
  <c r="D33" i="15"/>
  <c r="B33" i="15"/>
  <c r="B31" i="15"/>
  <c r="D31" i="15" s="1"/>
  <c r="B30" i="15"/>
  <c r="D30" i="15" s="1"/>
  <c r="D29" i="15"/>
  <c r="B29" i="15"/>
  <c r="B28" i="15"/>
  <c r="D28" i="15" s="1"/>
  <c r="D26" i="15"/>
  <c r="C26" i="15"/>
  <c r="B26" i="15"/>
  <c r="C25" i="15"/>
  <c r="B25" i="15"/>
  <c r="C24" i="15"/>
  <c r="B24" i="15"/>
  <c r="C23" i="15"/>
  <c r="B23" i="15"/>
  <c r="C22" i="15"/>
  <c r="B22" i="15"/>
  <c r="C21" i="15"/>
  <c r="C20" i="15"/>
  <c r="B20" i="15"/>
  <c r="D20" i="15" s="1"/>
  <c r="C19" i="15"/>
  <c r="D19" i="15" s="1"/>
  <c r="B19" i="15"/>
  <c r="C18" i="15"/>
  <c r="C17" i="15"/>
  <c r="B17" i="15"/>
  <c r="C16" i="15"/>
  <c r="B16" i="15"/>
  <c r="D16" i="15" s="1"/>
  <c r="C15" i="15"/>
  <c r="D15" i="15" s="1"/>
  <c r="B15" i="15"/>
  <c r="C14" i="15"/>
  <c r="B14" i="15"/>
  <c r="C13" i="15"/>
  <c r="B13" i="15"/>
  <c r="C12" i="15"/>
  <c r="B12" i="15"/>
  <c r="C11" i="15"/>
  <c r="B11" i="15"/>
  <c r="G9" i="15"/>
  <c r="C9" i="15"/>
  <c r="F6" i="15"/>
  <c r="B18" i="15" s="1"/>
  <c r="D18" i="15" s="1"/>
  <c r="B6" i="15"/>
  <c r="F5" i="15"/>
  <c r="B32" i="15" s="1"/>
  <c r="D32" i="15" s="1"/>
  <c r="F4" i="15"/>
  <c r="F3" i="15"/>
  <c r="F2" i="15"/>
  <c r="G59" i="14"/>
  <c r="G58" i="14"/>
  <c r="G57" i="14"/>
  <c r="D57" i="14"/>
  <c r="G56" i="14"/>
  <c r="G55" i="14"/>
  <c r="G54" i="14"/>
  <c r="G53" i="14"/>
  <c r="G52" i="14"/>
  <c r="G51" i="14"/>
  <c r="D44" i="14"/>
  <c r="C3" i="41" s="1"/>
  <c r="D41" i="14"/>
  <c r="H39" i="14"/>
  <c r="H38" i="14"/>
  <c r="C38" i="14"/>
  <c r="B38" i="14"/>
  <c r="D38" i="14" s="1"/>
  <c r="C37" i="14"/>
  <c r="H36" i="14"/>
  <c r="C36" i="14"/>
  <c r="B36" i="14"/>
  <c r="D36" i="14" s="1"/>
  <c r="H35" i="14"/>
  <c r="B37" i="14" s="1"/>
  <c r="D37" i="14" s="1"/>
  <c r="H34" i="14"/>
  <c r="C39" i="14" s="1"/>
  <c r="D34" i="14"/>
  <c r="C34" i="14"/>
  <c r="B27" i="14"/>
  <c r="D27" i="14" s="1"/>
  <c r="C26" i="14"/>
  <c r="B26" i="14"/>
  <c r="D26" i="14" s="1"/>
  <c r="D25" i="14"/>
  <c r="B25" i="14"/>
  <c r="D22" i="14"/>
  <c r="B22" i="14"/>
  <c r="B21" i="14"/>
  <c r="D21" i="14" s="1"/>
  <c r="C20" i="14"/>
  <c r="B20" i="14"/>
  <c r="D20" i="14" s="1"/>
  <c r="G30" i="14" s="1"/>
  <c r="C19" i="14"/>
  <c r="C18" i="14"/>
  <c r="B18" i="14"/>
  <c r="D18" i="14" s="1"/>
  <c r="C17" i="14"/>
  <c r="B17" i="14"/>
  <c r="D17" i="14" s="1"/>
  <c r="C16" i="14"/>
  <c r="B16" i="14"/>
  <c r="D15" i="14"/>
  <c r="C15" i="14"/>
  <c r="B15" i="14"/>
  <c r="C14" i="14"/>
  <c r="C13" i="14"/>
  <c r="D13" i="14" s="1"/>
  <c r="B13" i="14"/>
  <c r="C12" i="14"/>
  <c r="B12" i="14"/>
  <c r="D12" i="14" s="1"/>
  <c r="D11" i="14"/>
  <c r="C11" i="14"/>
  <c r="B11" i="14"/>
  <c r="G9" i="14"/>
  <c r="C9" i="14"/>
  <c r="F6" i="14"/>
  <c r="B6" i="14"/>
  <c r="F5" i="14"/>
  <c r="B24" i="14" s="1"/>
  <c r="D24" i="14" s="1"/>
  <c r="F4" i="14"/>
  <c r="B23" i="14" s="1"/>
  <c r="D23" i="14" s="1"/>
  <c r="F3" i="14"/>
  <c r="F2" i="14"/>
  <c r="H40" i="14" s="1"/>
  <c r="E52" i="13"/>
  <c r="D52" i="13"/>
  <c r="E51" i="13"/>
  <c r="D51" i="13"/>
  <c r="E50" i="13"/>
  <c r="D50" i="13"/>
  <c r="E49" i="13"/>
  <c r="D49" i="13"/>
  <c r="E48" i="13"/>
  <c r="X2" i="44" s="1"/>
  <c r="D48" i="13"/>
  <c r="E47" i="13"/>
  <c r="W2" i="44" s="1"/>
  <c r="D47" i="13"/>
  <c r="E46" i="13"/>
  <c r="V2" i="44" s="1"/>
  <c r="D46" i="13"/>
  <c r="E45" i="13"/>
  <c r="U2" i="44" s="1"/>
  <c r="D45" i="13"/>
  <c r="E44" i="13"/>
  <c r="T2" i="44" s="1"/>
  <c r="D44" i="13"/>
  <c r="E43" i="13"/>
  <c r="S2" i="44" s="1"/>
  <c r="D43" i="13"/>
  <c r="E42" i="13"/>
  <c r="O2" i="44" s="1"/>
  <c r="D42" i="13"/>
  <c r="E41" i="13"/>
  <c r="N2" i="44" s="1"/>
  <c r="D41" i="13"/>
  <c r="E40" i="13"/>
  <c r="D40" i="13"/>
  <c r="E39" i="13"/>
  <c r="R2" i="44" s="1"/>
  <c r="D39" i="13"/>
  <c r="E38" i="13"/>
  <c r="D38" i="13"/>
  <c r="E23" i="13"/>
  <c r="V2" i="43" s="1"/>
  <c r="D23" i="13"/>
  <c r="E22" i="13"/>
  <c r="U2" i="43" s="1"/>
  <c r="D22" i="13"/>
  <c r="E21" i="13"/>
  <c r="T2" i="43" s="1"/>
  <c r="D21" i="13"/>
  <c r="E20" i="13"/>
  <c r="S2" i="43" s="1"/>
  <c r="D20" i="13"/>
  <c r="E19" i="13"/>
  <c r="R2" i="43" s="1"/>
  <c r="D19" i="13"/>
  <c r="E18" i="13"/>
  <c r="Q2" i="43" s="1"/>
  <c r="D18" i="13"/>
  <c r="E17" i="13"/>
  <c r="P2" i="43" s="1"/>
  <c r="D17" i="13"/>
  <c r="E16" i="13"/>
  <c r="D16" i="13"/>
  <c r="E15" i="13"/>
  <c r="O2" i="43" s="1"/>
  <c r="D15" i="13"/>
  <c r="E14" i="13"/>
  <c r="N2" i="43" s="1"/>
  <c r="D14" i="13"/>
  <c r="E13" i="13"/>
  <c r="M2" i="43" s="1"/>
  <c r="D13" i="13"/>
  <c r="F21" i="9"/>
  <c r="E21" i="9"/>
  <c r="D21" i="9"/>
  <c r="F20" i="9"/>
  <c r="E20" i="9"/>
  <c r="D20" i="9"/>
  <c r="F19" i="9"/>
  <c r="E19" i="9"/>
  <c r="J5" i="9"/>
  <c r="J4" i="9"/>
  <c r="C19" i="9" s="1"/>
  <c r="J3" i="9"/>
  <c r="J2" i="9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E47" i="26" s="1"/>
  <c r="C13" i="41" s="1"/>
  <c r="C24" i="8"/>
  <c r="B24" i="8"/>
  <c r="E46" i="26" s="1"/>
  <c r="B13" i="41" s="1"/>
  <c r="D13" i="41" s="1"/>
  <c r="E23" i="8"/>
  <c r="D23" i="8"/>
  <c r="C23" i="8"/>
  <c r="B23" i="8"/>
  <c r="D50" i="24" s="1"/>
  <c r="B10" i="41" s="1"/>
  <c r="E22" i="8"/>
  <c r="D22" i="8"/>
  <c r="C22" i="8"/>
  <c r="B22" i="8"/>
  <c r="D21" i="27" s="1"/>
  <c r="B15" i="41" s="1"/>
  <c r="E21" i="8"/>
  <c r="D21" i="8"/>
  <c r="C21" i="8"/>
  <c r="B21" i="8"/>
  <c r="E20" i="8"/>
  <c r="D20" i="8"/>
  <c r="C20" i="8"/>
  <c r="B20" i="8"/>
  <c r="E19" i="8"/>
  <c r="D19" i="8"/>
  <c r="C19" i="8"/>
  <c r="B19" i="8"/>
  <c r="D40" i="25" s="1"/>
  <c r="B9" i="41" s="1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D32" i="22" s="1"/>
  <c r="B11" i="41" s="1"/>
  <c r="D11" i="41" s="1"/>
  <c r="E14" i="8"/>
  <c r="D14" i="8"/>
  <c r="D41" i="16" s="1"/>
  <c r="C5" i="41" s="1"/>
  <c r="C14" i="8"/>
  <c r="B14" i="8"/>
  <c r="D40" i="16" s="1"/>
  <c r="B5" i="41" s="1"/>
  <c r="E13" i="8"/>
  <c r="D13" i="8"/>
  <c r="C13" i="8"/>
  <c r="B13" i="8"/>
  <c r="E12" i="8"/>
  <c r="D12" i="8"/>
  <c r="D37" i="23" s="1"/>
  <c r="C6" i="41" s="1"/>
  <c r="C12" i="8"/>
  <c r="B12" i="8"/>
  <c r="D36" i="23" s="1"/>
  <c r="B6" i="41" s="1"/>
  <c r="D6" i="41" s="1"/>
  <c r="B6" i="8"/>
  <c r="I8" i="7"/>
  <c r="I7" i="7"/>
  <c r="I6" i="7"/>
  <c r="I5" i="7"/>
  <c r="I4" i="7"/>
  <c r="E15" i="4"/>
  <c r="E12" i="4"/>
  <c r="E11" i="4"/>
  <c r="F6" i="4"/>
  <c r="E6" i="4"/>
  <c r="D6" i="4"/>
  <c r="C6" i="4"/>
  <c r="B6" i="4"/>
  <c r="M191" i="3"/>
  <c r="L191" i="3"/>
  <c r="J191" i="3"/>
  <c r="H191" i="3"/>
  <c r="I191" i="3" s="1"/>
  <c r="N191" i="3" s="1"/>
  <c r="M190" i="3"/>
  <c r="L190" i="3"/>
  <c r="M189" i="3"/>
  <c r="L189" i="3"/>
  <c r="H189" i="3"/>
  <c r="J189" i="3" s="1"/>
  <c r="M188" i="3"/>
  <c r="L188" i="3"/>
  <c r="M187" i="3"/>
  <c r="L187" i="3"/>
  <c r="H187" i="3"/>
  <c r="J187" i="3" s="1"/>
  <c r="M186" i="3"/>
  <c r="L186" i="3"/>
  <c r="M185" i="3"/>
  <c r="L185" i="3"/>
  <c r="H185" i="3"/>
  <c r="M184" i="3"/>
  <c r="L184" i="3"/>
  <c r="M183" i="3"/>
  <c r="L183" i="3"/>
  <c r="H183" i="3"/>
  <c r="J183" i="3" s="1"/>
  <c r="N182" i="3"/>
  <c r="M182" i="3"/>
  <c r="L182" i="3"/>
  <c r="H182" i="3"/>
  <c r="I182" i="3" s="1"/>
  <c r="M181" i="3"/>
  <c r="L181" i="3"/>
  <c r="M180" i="3"/>
  <c r="L180" i="3"/>
  <c r="H180" i="3"/>
  <c r="I180" i="3" s="1"/>
  <c r="N180" i="3" s="1"/>
  <c r="M179" i="3"/>
  <c r="L179" i="3"/>
  <c r="M178" i="3"/>
  <c r="L178" i="3"/>
  <c r="J178" i="3"/>
  <c r="H178" i="3"/>
  <c r="I178" i="3" s="1"/>
  <c r="N178" i="3" s="1"/>
  <c r="M177" i="3"/>
  <c r="L177" i="3"/>
  <c r="M176" i="3"/>
  <c r="L176" i="3"/>
  <c r="H176" i="3"/>
  <c r="I176" i="3" s="1"/>
  <c r="N176" i="3" s="1"/>
  <c r="M175" i="3"/>
  <c r="L175" i="3"/>
  <c r="M174" i="3"/>
  <c r="L174" i="3"/>
  <c r="H174" i="3"/>
  <c r="M173" i="3"/>
  <c r="L173" i="3"/>
  <c r="M172" i="3"/>
  <c r="L172" i="3"/>
  <c r="H172" i="3"/>
  <c r="I172" i="3" s="1"/>
  <c r="N172" i="3" s="1"/>
  <c r="M171" i="3"/>
  <c r="L171" i="3"/>
  <c r="M170" i="3"/>
  <c r="L170" i="3"/>
  <c r="M168" i="3"/>
  <c r="L168" i="3"/>
  <c r="M167" i="3"/>
  <c r="L167" i="3"/>
  <c r="M165" i="3"/>
  <c r="L165" i="3"/>
  <c r="H165" i="3"/>
  <c r="J165" i="3" s="1"/>
  <c r="M164" i="3"/>
  <c r="L164" i="3"/>
  <c r="M163" i="3"/>
  <c r="L163" i="3"/>
  <c r="H163" i="3"/>
  <c r="J163" i="3" s="1"/>
  <c r="M162" i="3"/>
  <c r="L162" i="3"/>
  <c r="M161" i="3"/>
  <c r="L161" i="3"/>
  <c r="H161" i="3"/>
  <c r="J161" i="3" s="1"/>
  <c r="M160" i="3"/>
  <c r="L160" i="3"/>
  <c r="M159" i="3"/>
  <c r="L159" i="3"/>
  <c r="M158" i="3"/>
  <c r="L158" i="3"/>
  <c r="M157" i="3"/>
  <c r="L157" i="3"/>
  <c r="N156" i="3"/>
  <c r="M156" i="3"/>
  <c r="L156" i="3"/>
  <c r="H156" i="3"/>
  <c r="I156" i="3" s="1"/>
  <c r="M155" i="3"/>
  <c r="L155" i="3"/>
  <c r="M154" i="3"/>
  <c r="L154" i="3"/>
  <c r="H154" i="3"/>
  <c r="I154" i="3" s="1"/>
  <c r="N154" i="3" s="1"/>
  <c r="M153" i="3"/>
  <c r="L153" i="3"/>
  <c r="M152" i="3"/>
  <c r="L152" i="3"/>
  <c r="M151" i="3"/>
  <c r="L151" i="3"/>
  <c r="L149" i="3"/>
  <c r="L148" i="3"/>
  <c r="L147" i="3"/>
  <c r="L146" i="3"/>
  <c r="L145" i="3"/>
  <c r="K145" i="3"/>
  <c r="M145" i="3" s="1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K120" i="3"/>
  <c r="M120" i="3" s="1"/>
  <c r="L119" i="3"/>
  <c r="L118" i="3"/>
  <c r="L117" i="3"/>
  <c r="L116" i="3"/>
  <c r="L115" i="3"/>
  <c r="L114" i="3"/>
  <c r="L113" i="3"/>
  <c r="L112" i="3"/>
  <c r="L111" i="3"/>
  <c r="L110" i="3"/>
  <c r="L108" i="3"/>
  <c r="L107" i="3"/>
  <c r="L106" i="3"/>
  <c r="L105" i="3"/>
  <c r="L104" i="3"/>
  <c r="L103" i="3"/>
  <c r="L102" i="3"/>
  <c r="L101" i="3"/>
  <c r="L100" i="3"/>
  <c r="L99" i="3"/>
  <c r="H99" i="3"/>
  <c r="J99" i="3" s="1"/>
  <c r="L98" i="3"/>
  <c r="L97" i="3"/>
  <c r="H97" i="3"/>
  <c r="J97" i="3" s="1"/>
  <c r="L96" i="3"/>
  <c r="L95" i="3"/>
  <c r="L94" i="3"/>
  <c r="L93" i="3"/>
  <c r="L92" i="3"/>
  <c r="H92" i="3"/>
  <c r="J92" i="3" s="1"/>
  <c r="L91" i="3"/>
  <c r="L90" i="3"/>
  <c r="H90" i="3"/>
  <c r="I90" i="3" s="1"/>
  <c r="N90" i="3" s="1"/>
  <c r="L89" i="3"/>
  <c r="L88" i="3"/>
  <c r="L87" i="3"/>
  <c r="H87" i="3"/>
  <c r="J87" i="3" s="1"/>
  <c r="L86" i="3"/>
  <c r="L85" i="3"/>
  <c r="H85" i="3"/>
  <c r="J85" i="3" s="1"/>
  <c r="L84" i="3"/>
  <c r="L83" i="3"/>
  <c r="L82" i="3"/>
  <c r="L81" i="3"/>
  <c r="L80" i="3"/>
  <c r="H80" i="3"/>
  <c r="J80" i="3" s="1"/>
  <c r="L79" i="3"/>
  <c r="L78" i="3"/>
  <c r="H78" i="3"/>
  <c r="I78" i="3" s="1"/>
  <c r="N78" i="3" s="1"/>
  <c r="L77" i="3"/>
  <c r="L76" i="3"/>
  <c r="L75" i="3"/>
  <c r="H75" i="3"/>
  <c r="J75" i="3" s="1"/>
  <c r="L74" i="3"/>
  <c r="L73" i="3"/>
  <c r="H73" i="3"/>
  <c r="J73" i="3" s="1"/>
  <c r="L72" i="3"/>
  <c r="L71" i="3"/>
  <c r="I71" i="3"/>
  <c r="N71" i="3" s="1"/>
  <c r="H71" i="3"/>
  <c r="J71" i="3" s="1"/>
  <c r="L70" i="3"/>
  <c r="L69" i="3"/>
  <c r="L68" i="3"/>
  <c r="H68" i="3"/>
  <c r="J68" i="3" s="1"/>
  <c r="L67" i="3"/>
  <c r="L66" i="3"/>
  <c r="H66" i="3"/>
  <c r="I66" i="3" s="1"/>
  <c r="N66" i="3" s="1"/>
  <c r="L65" i="3"/>
  <c r="L64" i="3"/>
  <c r="M63" i="3"/>
  <c r="L63" i="3"/>
  <c r="H63" i="3"/>
  <c r="L62" i="3"/>
  <c r="L61" i="3"/>
  <c r="H61" i="3"/>
  <c r="J61" i="3" s="1"/>
  <c r="L60" i="3"/>
  <c r="L59" i="3"/>
  <c r="H59" i="3"/>
  <c r="J59" i="3" s="1"/>
  <c r="L58" i="3"/>
  <c r="L57" i="3"/>
  <c r="L56" i="3"/>
  <c r="L55" i="3"/>
  <c r="L54" i="3"/>
  <c r="H54" i="3"/>
  <c r="I54" i="3" s="1"/>
  <c r="N54" i="3" s="1"/>
  <c r="L53" i="3"/>
  <c r="L52" i="3"/>
  <c r="L51" i="3"/>
  <c r="H51" i="3"/>
  <c r="L50" i="3"/>
  <c r="L49" i="3"/>
  <c r="H49" i="3"/>
  <c r="J49" i="3" s="1"/>
  <c r="L48" i="3"/>
  <c r="L47" i="3"/>
  <c r="H47" i="3"/>
  <c r="J47" i="3" s="1"/>
  <c r="L46" i="3"/>
  <c r="L45" i="3"/>
  <c r="L44" i="3"/>
  <c r="L43" i="3"/>
  <c r="L42" i="3"/>
  <c r="H42" i="3"/>
  <c r="J42" i="3" s="1"/>
  <c r="L41" i="3"/>
  <c r="L40" i="3"/>
  <c r="L39" i="3"/>
  <c r="H39" i="3"/>
  <c r="L38" i="3"/>
  <c r="L37" i="3"/>
  <c r="H37" i="3"/>
  <c r="J37" i="3" s="1"/>
  <c r="L36" i="3"/>
  <c r="L35" i="3"/>
  <c r="H35" i="3"/>
  <c r="J35" i="3" s="1"/>
  <c r="N34" i="3"/>
  <c r="L34" i="3"/>
  <c r="I34" i="3"/>
  <c r="H34" i="3"/>
  <c r="J34" i="3" s="1"/>
  <c r="L33" i="3"/>
  <c r="K33" i="3"/>
  <c r="M33" i="3" s="1"/>
  <c r="L32" i="3"/>
  <c r="H32" i="3"/>
  <c r="J32" i="3" s="1"/>
  <c r="L31" i="3"/>
  <c r="L30" i="3"/>
  <c r="J30" i="3"/>
  <c r="H30" i="3"/>
  <c r="I30" i="3" s="1"/>
  <c r="N30" i="3" s="1"/>
  <c r="L29" i="3"/>
  <c r="H29" i="3"/>
  <c r="J29" i="3" s="1"/>
  <c r="L28" i="3"/>
  <c r="H28" i="3"/>
  <c r="I28" i="3" s="1"/>
  <c r="N28" i="3" s="1"/>
  <c r="L27" i="3"/>
  <c r="H27" i="3"/>
  <c r="L26" i="3"/>
  <c r="L25" i="3"/>
  <c r="H25" i="3"/>
  <c r="J25" i="3" s="1"/>
  <c r="L24" i="3"/>
  <c r="H24" i="3"/>
  <c r="J24" i="3" s="1"/>
  <c r="L23" i="3"/>
  <c r="H23" i="3"/>
  <c r="J23" i="3" s="1"/>
  <c r="N22" i="3"/>
  <c r="L22" i="3"/>
  <c r="I22" i="3"/>
  <c r="H22" i="3"/>
  <c r="J22" i="3" s="1"/>
  <c r="L21" i="3"/>
  <c r="L20" i="3"/>
  <c r="I20" i="3"/>
  <c r="N20" i="3" s="1"/>
  <c r="H20" i="3"/>
  <c r="J20" i="3" s="1"/>
  <c r="L19" i="3"/>
  <c r="L18" i="3"/>
  <c r="J18" i="3"/>
  <c r="I18" i="3"/>
  <c r="N18" i="3" s="1"/>
  <c r="H18" i="3"/>
  <c r="L17" i="3"/>
  <c r="H17" i="3"/>
  <c r="I17" i="3" s="1"/>
  <c r="N17" i="3" s="1"/>
  <c r="L16" i="3"/>
  <c r="H16" i="3"/>
  <c r="J16" i="3" s="1"/>
  <c r="L15" i="3"/>
  <c r="H15" i="3"/>
  <c r="L14" i="3"/>
  <c r="L13" i="3"/>
  <c r="H13" i="3"/>
  <c r="J13" i="3" s="1"/>
  <c r="L12" i="3"/>
  <c r="H12" i="3"/>
  <c r="J12" i="3" s="1"/>
  <c r="L11" i="3"/>
  <c r="H11" i="3"/>
  <c r="I11" i="3" s="1"/>
  <c r="N11" i="3" s="1"/>
  <c r="N10" i="3"/>
  <c r="L10" i="3"/>
  <c r="I10" i="3"/>
  <c r="H10" i="3"/>
  <c r="J10" i="3" s="1"/>
  <c r="L9" i="3"/>
  <c r="L8" i="3"/>
  <c r="I8" i="3"/>
  <c r="N8" i="3" s="1"/>
  <c r="H8" i="3"/>
  <c r="J8" i="3" s="1"/>
  <c r="L7" i="3"/>
  <c r="L6" i="3"/>
  <c r="H6" i="3"/>
  <c r="J6" i="3" s="1"/>
  <c r="N5" i="3"/>
  <c r="L5" i="3"/>
  <c r="H5" i="3"/>
  <c r="I5" i="3" s="1"/>
  <c r="L4" i="3"/>
  <c r="H4" i="3"/>
  <c r="J4" i="3" s="1"/>
  <c r="L3" i="3"/>
  <c r="H3" i="3"/>
  <c r="C20" i="2"/>
  <c r="K147" i="3" s="1"/>
  <c r="M147" i="3" s="1"/>
  <c r="C8" i="2"/>
  <c r="H129" i="3" s="1"/>
  <c r="C7" i="2"/>
  <c r="E14" i="4" s="1"/>
  <c r="C6" i="2"/>
  <c r="H159" i="3" s="1"/>
  <c r="C5" i="2"/>
  <c r="H56" i="3" s="1"/>
  <c r="C4" i="2"/>
  <c r="H184" i="3" s="1"/>
  <c r="I184" i="3" s="1"/>
  <c r="N184" i="3" s="1"/>
  <c r="J129" i="3" l="1"/>
  <c r="I129" i="3"/>
  <c r="N129" i="3" s="1"/>
  <c r="I159" i="3"/>
  <c r="N159" i="3" s="1"/>
  <c r="J159" i="3"/>
  <c r="G31" i="14"/>
  <c r="K29" i="20"/>
  <c r="J56" i="3"/>
  <c r="I56" i="3"/>
  <c r="N56" i="3" s="1"/>
  <c r="D5" i="41"/>
  <c r="H117" i="3"/>
  <c r="J39" i="3"/>
  <c r="I39" i="3"/>
  <c r="N39" i="3" s="1"/>
  <c r="I42" i="3"/>
  <c r="N42" i="3" s="1"/>
  <c r="K93" i="3"/>
  <c r="M93" i="3" s="1"/>
  <c r="I99" i="3"/>
  <c r="N99" i="3" s="1"/>
  <c r="K102" i="3"/>
  <c r="M102" i="3" s="1"/>
  <c r="K127" i="3"/>
  <c r="M127" i="3" s="1"/>
  <c r="J11" i="3"/>
  <c r="K14" i="3"/>
  <c r="M14" i="3" s="1"/>
  <c r="I25" i="3"/>
  <c r="N25" i="3" s="1"/>
  <c r="J28" i="3"/>
  <c r="K45" i="3"/>
  <c r="M45" i="3" s="1"/>
  <c r="J54" i="3"/>
  <c r="K57" i="3"/>
  <c r="M57" i="3" s="1"/>
  <c r="J66" i="3"/>
  <c r="I75" i="3"/>
  <c r="N75" i="3" s="1"/>
  <c r="J78" i="3"/>
  <c r="I87" i="3"/>
  <c r="N87" i="3" s="1"/>
  <c r="J90" i="3"/>
  <c r="H142" i="3"/>
  <c r="K149" i="3"/>
  <c r="M149" i="3" s="1"/>
  <c r="I161" i="3"/>
  <c r="N161" i="3" s="1"/>
  <c r="D18" i="18"/>
  <c r="B17" i="21"/>
  <c r="D17" i="21" s="1"/>
  <c r="D27" i="21"/>
  <c r="C14" i="41" s="1"/>
  <c r="D26" i="21"/>
  <c r="B14" i="41" s="1"/>
  <c r="E7" i="29"/>
  <c r="E14" i="29" s="1"/>
  <c r="I6" i="3"/>
  <c r="N6" i="3" s="1"/>
  <c r="K11" i="3"/>
  <c r="M11" i="3" s="1"/>
  <c r="K28" i="3"/>
  <c r="M28" i="3" s="1"/>
  <c r="K31" i="3"/>
  <c r="M31" i="3" s="1"/>
  <c r="H40" i="3"/>
  <c r="K42" i="3"/>
  <c r="M42" i="3" s="1"/>
  <c r="H52" i="3"/>
  <c r="K54" i="3"/>
  <c r="M54" i="3" s="1"/>
  <c r="K66" i="3"/>
  <c r="M66" i="3" s="1"/>
  <c r="K78" i="3"/>
  <c r="M78" i="3" s="1"/>
  <c r="K90" i="3"/>
  <c r="M90" i="3" s="1"/>
  <c r="H107" i="3"/>
  <c r="K111" i="3"/>
  <c r="M111" i="3" s="1"/>
  <c r="J154" i="3"/>
  <c r="J180" i="3"/>
  <c r="I187" i="3"/>
  <c r="N187" i="3" s="1"/>
  <c r="D13" i="19"/>
  <c r="D61" i="19"/>
  <c r="D12" i="20"/>
  <c r="D24" i="24"/>
  <c r="E2" i="29"/>
  <c r="E5" i="29"/>
  <c r="D41" i="31"/>
  <c r="D46" i="31" s="1"/>
  <c r="B76" i="19"/>
  <c r="B73" i="25"/>
  <c r="K118" i="3"/>
  <c r="M118" i="3" s="1"/>
  <c r="H7" i="29"/>
  <c r="H5" i="29"/>
  <c r="H6" i="29"/>
  <c r="I4" i="3"/>
  <c r="N4" i="3" s="1"/>
  <c r="K6" i="3"/>
  <c r="M6" i="3" s="1"/>
  <c r="I23" i="3"/>
  <c r="N23" i="3" s="1"/>
  <c r="I37" i="3"/>
  <c r="N37" i="3" s="1"/>
  <c r="K43" i="3"/>
  <c r="M43" i="3" s="1"/>
  <c r="I49" i="3"/>
  <c r="N49" i="3" s="1"/>
  <c r="K55" i="3"/>
  <c r="M55" i="3" s="1"/>
  <c r="I61" i="3"/>
  <c r="N61" i="3" s="1"/>
  <c r="H70" i="3"/>
  <c r="I73" i="3"/>
  <c r="N73" i="3" s="1"/>
  <c r="H82" i="3"/>
  <c r="I85" i="3"/>
  <c r="N85" i="3" s="1"/>
  <c r="H94" i="3"/>
  <c r="I97" i="3"/>
  <c r="N97" i="3" s="1"/>
  <c r="K100" i="3"/>
  <c r="M100" i="3" s="1"/>
  <c r="H122" i="3"/>
  <c r="K125" i="3"/>
  <c r="M125" i="3" s="1"/>
  <c r="K143" i="3"/>
  <c r="M143" i="3" s="1"/>
  <c r="I165" i="3"/>
  <c r="N165" i="3" s="1"/>
  <c r="E13" i="4"/>
  <c r="D11" i="7"/>
  <c r="C16" i="59" s="1"/>
  <c r="H57" i="25"/>
  <c r="H47" i="23"/>
  <c r="AC64" i="16"/>
  <c r="H37" i="14"/>
  <c r="C20" i="9"/>
  <c r="H43" i="22"/>
  <c r="H60" i="19"/>
  <c r="H47" i="18"/>
  <c r="P2" i="44"/>
  <c r="Y4" i="44" s="1"/>
  <c r="F4" i="44" s="1"/>
  <c r="G4" i="44" s="1"/>
  <c r="Q2" i="44"/>
  <c r="D16" i="14"/>
  <c r="B14" i="16"/>
  <c r="D14" i="16" s="1"/>
  <c r="B63" i="16"/>
  <c r="D63" i="16" s="1"/>
  <c r="B65" i="16"/>
  <c r="D65" i="16" s="1"/>
  <c r="B63" i="18"/>
  <c r="D18" i="28"/>
  <c r="C16" i="41" s="1"/>
  <c r="D17" i="28"/>
  <c r="D15" i="28"/>
  <c r="B37" i="28" s="1"/>
  <c r="H138" i="3"/>
  <c r="E3" i="21"/>
  <c r="C14" i="21" s="1"/>
  <c r="D14" i="21" s="1"/>
  <c r="B40" i="21" s="1"/>
  <c r="B48" i="23"/>
  <c r="D48" i="23" s="1"/>
  <c r="D50" i="23"/>
  <c r="B47" i="23"/>
  <c r="D47" i="23" s="1"/>
  <c r="D51" i="23"/>
  <c r="B49" i="23"/>
  <c r="D49" i="23" s="1"/>
  <c r="B25" i="23"/>
  <c r="D25" i="23" s="1"/>
  <c r="B63" i="23" s="1"/>
  <c r="B17" i="23"/>
  <c r="D17" i="23" s="1"/>
  <c r="H115" i="3"/>
  <c r="K132" i="3"/>
  <c r="M132" i="3" s="1"/>
  <c r="J15" i="3"/>
  <c r="I15" i="3"/>
  <c r="N15" i="3" s="1"/>
  <c r="K26" i="3"/>
  <c r="M26" i="3" s="1"/>
  <c r="K40" i="3"/>
  <c r="M40" i="3" s="1"/>
  <c r="K52" i="3"/>
  <c r="M52" i="3" s="1"/>
  <c r="K64" i="3"/>
  <c r="M64" i="3" s="1"/>
  <c r="K76" i="3"/>
  <c r="M76" i="3" s="1"/>
  <c r="K88" i="3"/>
  <c r="M88" i="3" s="1"/>
  <c r="H104" i="3"/>
  <c r="K107" i="3"/>
  <c r="M107" i="3" s="1"/>
  <c r="I174" i="3"/>
  <c r="N174" i="3" s="1"/>
  <c r="J174" i="3"/>
  <c r="B5" i="8"/>
  <c r="B7" i="8" s="1"/>
  <c r="D43" i="14"/>
  <c r="B3" i="41" s="1"/>
  <c r="D11" i="15"/>
  <c r="B64" i="16"/>
  <c r="D64" i="16" s="1"/>
  <c r="D14" i="18"/>
  <c r="D15" i="27"/>
  <c r="B34" i="27"/>
  <c r="B37" i="27" s="1"/>
  <c r="C18" i="38"/>
  <c r="F18" i="38" s="1"/>
  <c r="F23" i="38" s="1"/>
  <c r="C19" i="38"/>
  <c r="F19" i="38" s="1"/>
  <c r="F27" i="38"/>
  <c r="F7" i="42" s="1"/>
  <c r="K12" i="33"/>
  <c r="K14" i="33"/>
  <c r="K14" i="31"/>
  <c r="K13" i="33"/>
  <c r="K13" i="31"/>
  <c r="K15" i="29"/>
  <c r="K15" i="33"/>
  <c r="K11" i="29"/>
  <c r="E9" i="29" s="1"/>
  <c r="K12" i="31"/>
  <c r="K11" i="31"/>
  <c r="E9" i="31" s="1"/>
  <c r="K14" i="29"/>
  <c r="H139" i="3"/>
  <c r="K11" i="33"/>
  <c r="E9" i="33" s="1"/>
  <c r="K13" i="29"/>
  <c r="C24" i="32"/>
  <c r="K15" i="31"/>
  <c r="K12" i="29"/>
  <c r="E23" i="4"/>
  <c r="H145" i="3"/>
  <c r="H134" i="3"/>
  <c r="H132" i="3"/>
  <c r="H125" i="3"/>
  <c r="H113" i="3"/>
  <c r="H133" i="3"/>
  <c r="D8" i="7"/>
  <c r="E22" i="4"/>
  <c r="H143" i="3"/>
  <c r="H130" i="3"/>
  <c r="H118" i="3"/>
  <c r="H141" i="3"/>
  <c r="H123" i="3"/>
  <c r="H111" i="3"/>
  <c r="H146" i="3"/>
  <c r="D7" i="7"/>
  <c r="H137" i="3"/>
  <c r="H128" i="3"/>
  <c r="H116" i="3"/>
  <c r="H144" i="3"/>
  <c r="H148" i="3"/>
  <c r="H121" i="3"/>
  <c r="D6" i="7"/>
  <c r="H135" i="3"/>
  <c r="H126" i="3"/>
  <c r="H114" i="3"/>
  <c r="H119" i="3"/>
  <c r="H149" i="3"/>
  <c r="K30" i="3"/>
  <c r="M30" i="3" s="1"/>
  <c r="J63" i="3"/>
  <c r="I63" i="3"/>
  <c r="N63" i="3" s="1"/>
  <c r="K69" i="3"/>
  <c r="M69" i="3" s="1"/>
  <c r="H131" i="3"/>
  <c r="K9" i="3"/>
  <c r="M9" i="3" s="1"/>
  <c r="H147" i="3"/>
  <c r="K4" i="3"/>
  <c r="M4" i="3" s="1"/>
  <c r="K7" i="3"/>
  <c r="M7" i="3" s="1"/>
  <c r="K23" i="3"/>
  <c r="M23" i="3" s="1"/>
  <c r="K73" i="3"/>
  <c r="M73" i="3" s="1"/>
  <c r="H83" i="3"/>
  <c r="K85" i="3"/>
  <c r="M85" i="3" s="1"/>
  <c r="H95" i="3"/>
  <c r="H112" i="3"/>
  <c r="K115" i="3"/>
  <c r="M115" i="3" s="1"/>
  <c r="K136" i="3"/>
  <c r="M136" i="3" s="1"/>
  <c r="H140" i="3"/>
  <c r="H152" i="3"/>
  <c r="D43" i="19"/>
  <c r="C8" i="41" s="1"/>
  <c r="H10" i="60"/>
  <c r="D51" i="24"/>
  <c r="C10" i="41" s="1"/>
  <c r="D10" i="41" s="1"/>
  <c r="W11" i="43"/>
  <c r="F11" i="43" s="1"/>
  <c r="G11" i="43" s="1"/>
  <c r="W9" i="43"/>
  <c r="F9" i="43" s="1"/>
  <c r="G9" i="43" s="1"/>
  <c r="I9" i="43" s="1"/>
  <c r="W5" i="43"/>
  <c r="F5" i="43" s="1"/>
  <c r="G5" i="43" s="1"/>
  <c r="W8" i="43"/>
  <c r="F8" i="43" s="1"/>
  <c r="G8" i="43" s="1"/>
  <c r="W4" i="43"/>
  <c r="F4" i="43" s="1"/>
  <c r="G4" i="43" s="1"/>
  <c r="I4" i="43" s="1"/>
  <c r="W6" i="43"/>
  <c r="F6" i="43" s="1"/>
  <c r="G6" i="43" s="1"/>
  <c r="D12" i="15"/>
  <c r="B80" i="15" s="1"/>
  <c r="D17" i="15"/>
  <c r="D23" i="15"/>
  <c r="D14" i="19"/>
  <c r="B74" i="19" s="1"/>
  <c r="B77" i="19" s="1"/>
  <c r="E5" i="33"/>
  <c r="E2" i="33"/>
  <c r="B22" i="33" s="1"/>
  <c r="D22" i="33" s="1"/>
  <c r="K142" i="3"/>
  <c r="M142" i="3" s="1"/>
  <c r="K130" i="3"/>
  <c r="M130" i="3" s="1"/>
  <c r="K139" i="3"/>
  <c r="M139" i="3" s="1"/>
  <c r="K128" i="3"/>
  <c r="M128" i="3" s="1"/>
  <c r="K116" i="3"/>
  <c r="M116" i="3" s="1"/>
  <c r="K103" i="3"/>
  <c r="M103" i="3" s="1"/>
  <c r="K91" i="3"/>
  <c r="M91" i="3" s="1"/>
  <c r="K79" i="3"/>
  <c r="M79" i="3" s="1"/>
  <c r="K67" i="3"/>
  <c r="M67" i="3" s="1"/>
  <c r="K60" i="3"/>
  <c r="M60" i="3" s="1"/>
  <c r="K48" i="3"/>
  <c r="M48" i="3" s="1"/>
  <c r="K36" i="3"/>
  <c r="M36" i="3" s="1"/>
  <c r="K24" i="3"/>
  <c r="M24" i="3" s="1"/>
  <c r="K12" i="3"/>
  <c r="M12" i="3" s="1"/>
  <c r="K39" i="3"/>
  <c r="M39" i="3" s="1"/>
  <c r="K15" i="3"/>
  <c r="M15" i="3" s="1"/>
  <c r="K112" i="3"/>
  <c r="M112" i="3" s="1"/>
  <c r="K44" i="3"/>
  <c r="M44" i="3" s="1"/>
  <c r="K20" i="3"/>
  <c r="M20" i="3" s="1"/>
  <c r="K97" i="3"/>
  <c r="M97" i="3" s="1"/>
  <c r="K148" i="3"/>
  <c r="M148" i="3" s="1"/>
  <c r="K137" i="3"/>
  <c r="M137" i="3" s="1"/>
  <c r="K121" i="3"/>
  <c r="M121" i="3" s="1"/>
  <c r="K108" i="3"/>
  <c r="M108" i="3" s="1"/>
  <c r="K96" i="3"/>
  <c r="M96" i="3" s="1"/>
  <c r="K84" i="3"/>
  <c r="M84" i="3" s="1"/>
  <c r="K72" i="3"/>
  <c r="M72" i="3" s="1"/>
  <c r="K53" i="3"/>
  <c r="M53" i="3" s="1"/>
  <c r="K41" i="3"/>
  <c r="M41" i="3" s="1"/>
  <c r="K29" i="3"/>
  <c r="M29" i="3" s="1"/>
  <c r="K17" i="3"/>
  <c r="M17" i="3" s="1"/>
  <c r="K5" i="3"/>
  <c r="M5" i="3" s="1"/>
  <c r="K10" i="3"/>
  <c r="M10" i="3" s="1"/>
  <c r="K3" i="3"/>
  <c r="M3" i="3" s="1"/>
  <c r="K8" i="3"/>
  <c r="M8" i="3" s="1"/>
  <c r="K138" i="3"/>
  <c r="M138" i="3" s="1"/>
  <c r="K110" i="3"/>
  <c r="M110" i="3" s="1"/>
  <c r="K135" i="3"/>
  <c r="M135" i="3" s="1"/>
  <c r="K126" i="3"/>
  <c r="M126" i="3" s="1"/>
  <c r="K114" i="3"/>
  <c r="M114" i="3" s="1"/>
  <c r="K101" i="3"/>
  <c r="M101" i="3" s="1"/>
  <c r="K89" i="3"/>
  <c r="M89" i="3" s="1"/>
  <c r="K77" i="3"/>
  <c r="M77" i="3" s="1"/>
  <c r="K65" i="3"/>
  <c r="M65" i="3" s="1"/>
  <c r="K58" i="3"/>
  <c r="M58" i="3" s="1"/>
  <c r="K46" i="3"/>
  <c r="M46" i="3" s="1"/>
  <c r="K34" i="3"/>
  <c r="M34" i="3" s="1"/>
  <c r="K22" i="3"/>
  <c r="M22" i="3" s="1"/>
  <c r="K82" i="3"/>
  <c r="M82" i="3" s="1"/>
  <c r="K70" i="3"/>
  <c r="M70" i="3" s="1"/>
  <c r="K51" i="3"/>
  <c r="M51" i="3" s="1"/>
  <c r="K99" i="3"/>
  <c r="M99" i="3" s="1"/>
  <c r="K75" i="3"/>
  <c r="M75" i="3" s="1"/>
  <c r="K56" i="3"/>
  <c r="M56" i="3" s="1"/>
  <c r="K32" i="3"/>
  <c r="M32" i="3" s="1"/>
  <c r="K146" i="3"/>
  <c r="M146" i="3" s="1"/>
  <c r="K133" i="3"/>
  <c r="M133" i="3" s="1"/>
  <c r="K119" i="3"/>
  <c r="M119" i="3" s="1"/>
  <c r="K106" i="3"/>
  <c r="M106" i="3" s="1"/>
  <c r="K94" i="3"/>
  <c r="M94" i="3" s="1"/>
  <c r="K27" i="3"/>
  <c r="M27" i="3" s="1"/>
  <c r="K144" i="3"/>
  <c r="M144" i="3" s="1"/>
  <c r="K131" i="3"/>
  <c r="M131" i="3" s="1"/>
  <c r="K124" i="3"/>
  <c r="M124" i="3" s="1"/>
  <c r="K87" i="3"/>
  <c r="M87" i="3" s="1"/>
  <c r="K140" i="3"/>
  <c r="M140" i="3" s="1"/>
  <c r="K129" i="3"/>
  <c r="M129" i="3" s="1"/>
  <c r="K117" i="3"/>
  <c r="M117" i="3" s="1"/>
  <c r="K104" i="3"/>
  <c r="M104" i="3" s="1"/>
  <c r="K92" i="3"/>
  <c r="M92" i="3" s="1"/>
  <c r="K80" i="3"/>
  <c r="M80" i="3" s="1"/>
  <c r="K68" i="3"/>
  <c r="M68" i="3" s="1"/>
  <c r="K61" i="3"/>
  <c r="M61" i="3" s="1"/>
  <c r="K49" i="3"/>
  <c r="M49" i="3" s="1"/>
  <c r="K37" i="3"/>
  <c r="M37" i="3" s="1"/>
  <c r="K25" i="3"/>
  <c r="M25" i="3" s="1"/>
  <c r="K13" i="3"/>
  <c r="M13" i="3" s="1"/>
  <c r="K122" i="3"/>
  <c r="M122" i="3" s="1"/>
  <c r="K81" i="3"/>
  <c r="M81" i="3" s="1"/>
  <c r="J3" i="3"/>
  <c r="I3" i="3"/>
  <c r="N3" i="3" s="1"/>
  <c r="K98" i="3"/>
  <c r="M98" i="3" s="1"/>
  <c r="I185" i="3"/>
  <c r="N185" i="3" s="1"/>
  <c r="J185" i="3"/>
  <c r="E24" i="4"/>
  <c r="H68" i="15"/>
  <c r="B27" i="15"/>
  <c r="D27" i="15" s="1"/>
  <c r="B81" i="15" s="1"/>
  <c r="B21" i="15"/>
  <c r="D21" i="15" s="1"/>
  <c r="D24" i="15"/>
  <c r="D69" i="15"/>
  <c r="D68" i="15"/>
  <c r="B65" i="15"/>
  <c r="D65" i="15" s="1"/>
  <c r="B67" i="15"/>
  <c r="D67" i="15" s="1"/>
  <c r="B64" i="15"/>
  <c r="D64" i="15" s="1"/>
  <c r="D14" i="20"/>
  <c r="D20" i="24"/>
  <c r="H7" i="33"/>
  <c r="H8" i="33" s="1"/>
  <c r="H6" i="33"/>
  <c r="H5" i="33"/>
  <c r="H124" i="3"/>
  <c r="I32" i="3"/>
  <c r="N32" i="3" s="1"/>
  <c r="I59" i="3"/>
  <c r="N59" i="3" s="1"/>
  <c r="K62" i="3"/>
  <c r="M62" i="3" s="1"/>
  <c r="I68" i="3"/>
  <c r="N68" i="3" s="1"/>
  <c r="K74" i="3"/>
  <c r="M74" i="3" s="1"/>
  <c r="I80" i="3"/>
  <c r="N80" i="3" s="1"/>
  <c r="K86" i="3"/>
  <c r="M86" i="3" s="1"/>
  <c r="I92" i="3"/>
  <c r="N92" i="3" s="1"/>
  <c r="H120" i="3"/>
  <c r="K123" i="3"/>
  <c r="M123" i="3" s="1"/>
  <c r="J156" i="3"/>
  <c r="I163" i="3"/>
  <c r="N163" i="3" s="1"/>
  <c r="J182" i="3"/>
  <c r="E25" i="4"/>
  <c r="D37" i="18"/>
  <c r="C7" i="41" s="1"/>
  <c r="B24" i="18"/>
  <c r="D24" i="18" s="1"/>
  <c r="B62" i="18" s="1"/>
  <c r="D36" i="18"/>
  <c r="B7" i="41" s="1"/>
  <c r="D7" i="41" s="1"/>
  <c r="E2" i="31"/>
  <c r="E5" i="31"/>
  <c r="D5" i="7"/>
  <c r="J51" i="3"/>
  <c r="I51" i="3"/>
  <c r="N51" i="3" s="1"/>
  <c r="J176" i="3"/>
  <c r="J184" i="3"/>
  <c r="K21" i="3"/>
  <c r="M21" i="3" s="1"/>
  <c r="E19" i="4"/>
  <c r="D22" i="15"/>
  <c r="D14" i="15"/>
  <c r="H100" i="3"/>
  <c r="H88" i="3"/>
  <c r="H76" i="3"/>
  <c r="H64" i="3"/>
  <c r="H57" i="3"/>
  <c r="H45" i="3"/>
  <c r="H36" i="3"/>
  <c r="H108" i="3"/>
  <c r="H41" i="3"/>
  <c r="H105" i="3"/>
  <c r="H93" i="3"/>
  <c r="H81" i="3"/>
  <c r="H69" i="3"/>
  <c r="H62" i="3"/>
  <c r="H50" i="3"/>
  <c r="H38" i="3"/>
  <c r="H67" i="3"/>
  <c r="E21" i="4"/>
  <c r="H98" i="3"/>
  <c r="H86" i="3"/>
  <c r="H74" i="3"/>
  <c r="H55" i="3"/>
  <c r="H43" i="3"/>
  <c r="H79" i="3"/>
  <c r="H48" i="3"/>
  <c r="H96" i="3"/>
  <c r="H72" i="3"/>
  <c r="H53" i="3"/>
  <c r="E16" i="4"/>
  <c r="D18" i="24"/>
  <c r="E20" i="4"/>
  <c r="H103" i="3"/>
  <c r="H91" i="3"/>
  <c r="H60" i="3"/>
  <c r="E18" i="4"/>
  <c r="H84" i="3"/>
  <c r="H106" i="3"/>
  <c r="D14" i="25"/>
  <c r="E17" i="4"/>
  <c r="H101" i="3"/>
  <c r="H89" i="3"/>
  <c r="H77" i="3"/>
  <c r="H65" i="3"/>
  <c r="H58" i="3"/>
  <c r="H46" i="3"/>
  <c r="I35" i="3"/>
  <c r="N35" i="3" s="1"/>
  <c r="K38" i="3"/>
  <c r="M38" i="3" s="1"/>
  <c r="K71" i="3"/>
  <c r="M71" i="3" s="1"/>
  <c r="K83" i="3"/>
  <c r="M83" i="3" s="1"/>
  <c r="K95" i="3"/>
  <c r="M95" i="3" s="1"/>
  <c r="H102" i="3"/>
  <c r="K105" i="3"/>
  <c r="M105" i="3" s="1"/>
  <c r="H127" i="3"/>
  <c r="K141" i="3"/>
  <c r="M141" i="3" s="1"/>
  <c r="I189" i="3"/>
  <c r="N189" i="3" s="1"/>
  <c r="D4" i="7"/>
  <c r="D13" i="15"/>
  <c r="B13" i="16"/>
  <c r="D13" i="16" s="1"/>
  <c r="B15" i="16"/>
  <c r="D15" i="16" s="1"/>
  <c r="B22" i="16"/>
  <c r="D22" i="16" s="1"/>
  <c r="B28" i="16"/>
  <c r="D28" i="16" s="1"/>
  <c r="B17" i="16"/>
  <c r="D17" i="16" s="1"/>
  <c r="B21" i="16"/>
  <c r="D21" i="16" s="1"/>
  <c r="B16" i="16"/>
  <c r="D16" i="16" s="1"/>
  <c r="B12" i="16"/>
  <c r="D12" i="16" s="1"/>
  <c r="B27" i="16"/>
  <c r="D27" i="16" s="1"/>
  <c r="B26" i="16"/>
  <c r="D26" i="16" s="1"/>
  <c r="B20" i="16"/>
  <c r="D20" i="16" s="1"/>
  <c r="B18" i="16"/>
  <c r="D18" i="16" s="1"/>
  <c r="F8" i="17"/>
  <c r="D16" i="18"/>
  <c r="B49" i="18"/>
  <c r="D49" i="18" s="1"/>
  <c r="B46" i="18"/>
  <c r="D46" i="18" s="1"/>
  <c r="B48" i="18"/>
  <c r="D48" i="18" s="1"/>
  <c r="D51" i="18"/>
  <c r="B47" i="18"/>
  <c r="D47" i="18" s="1"/>
  <c r="D50" i="18"/>
  <c r="D42" i="19"/>
  <c r="B8" i="41" s="1"/>
  <c r="D64" i="20"/>
  <c r="B12" i="41" s="1"/>
  <c r="B20" i="20"/>
  <c r="D20" i="20" s="1"/>
  <c r="B19" i="20"/>
  <c r="D19" i="20" s="1"/>
  <c r="K28" i="20" s="1"/>
  <c r="B18" i="20"/>
  <c r="D18" i="20" s="1"/>
  <c r="D65" i="20"/>
  <c r="C12" i="41" s="1"/>
  <c r="D15" i="20"/>
  <c r="B21" i="23"/>
  <c r="D21" i="23" s="1"/>
  <c r="B46" i="23"/>
  <c r="D46" i="23" s="1"/>
  <c r="H136" i="3"/>
  <c r="I16" i="3"/>
  <c r="N16" i="3" s="1"/>
  <c r="K18" i="3"/>
  <c r="M18" i="3" s="1"/>
  <c r="H44" i="3"/>
  <c r="I47" i="3"/>
  <c r="N47" i="3" s="1"/>
  <c r="K50" i="3"/>
  <c r="M50" i="3" s="1"/>
  <c r="H158" i="3"/>
  <c r="H157" i="3"/>
  <c r="H160" i="3"/>
  <c r="H162" i="3"/>
  <c r="H164" i="3"/>
  <c r="H151" i="3"/>
  <c r="H153" i="3"/>
  <c r="H155" i="3"/>
  <c r="I13" i="3"/>
  <c r="N13" i="3" s="1"/>
  <c r="J27" i="3"/>
  <c r="I27" i="3"/>
  <c r="N27" i="3" s="1"/>
  <c r="C15" i="22"/>
  <c r="D15" i="22" s="1"/>
  <c r="H167" i="3"/>
  <c r="K16" i="3"/>
  <c r="M16" i="3" s="1"/>
  <c r="K19" i="3"/>
  <c r="M19" i="3" s="1"/>
  <c r="K35" i="3"/>
  <c r="M35" i="3" s="1"/>
  <c r="K47" i="3"/>
  <c r="M47" i="3" s="1"/>
  <c r="K59" i="3"/>
  <c r="M59" i="3" s="1"/>
  <c r="H110" i="3"/>
  <c r="K113" i="3"/>
  <c r="M113" i="3" s="1"/>
  <c r="K134" i="3"/>
  <c r="M134" i="3" s="1"/>
  <c r="H168" i="3"/>
  <c r="D25" i="15"/>
  <c r="D16" i="19"/>
  <c r="D63" i="19"/>
  <c r="B60" i="19"/>
  <c r="D60" i="19" s="1"/>
  <c r="D64" i="19"/>
  <c r="B59" i="19"/>
  <c r="D59" i="19" s="1"/>
  <c r="E2" i="21"/>
  <c r="C13" i="21" s="1"/>
  <c r="D23" i="24"/>
  <c r="D21" i="24"/>
  <c r="E4" i="22"/>
  <c r="D29" i="22" s="1"/>
  <c r="E14" i="26"/>
  <c r="H170" i="3"/>
  <c r="J172" i="3"/>
  <c r="H181" i="3"/>
  <c r="I183" i="3"/>
  <c r="N183" i="3" s="1"/>
  <c r="B39" i="14"/>
  <c r="D39" i="14" s="1"/>
  <c r="F41" i="14" s="1"/>
  <c r="D12" i="18"/>
  <c r="D17" i="18"/>
  <c r="E15" i="26"/>
  <c r="H179" i="3"/>
  <c r="D17" i="20"/>
  <c r="B59" i="25"/>
  <c r="D59" i="25" s="1"/>
  <c r="B56" i="25"/>
  <c r="D56" i="25" s="1"/>
  <c r="D61" i="25"/>
  <c r="B57" i="25"/>
  <c r="D57" i="25" s="1"/>
  <c r="D60" i="25"/>
  <c r="E16" i="26"/>
  <c r="P3" i="30"/>
  <c r="Q2" i="30"/>
  <c r="I29" i="3"/>
  <c r="N29" i="3" s="1"/>
  <c r="H177" i="3"/>
  <c r="H190" i="3"/>
  <c r="D43" i="15"/>
  <c r="B4" i="41" s="1"/>
  <c r="D4" i="41" s="1"/>
  <c r="D31" i="17"/>
  <c r="D13" i="18"/>
  <c r="D21" i="22"/>
  <c r="B58" i="22" s="1"/>
  <c r="D15" i="25"/>
  <c r="D13" i="21"/>
  <c r="J5" i="3"/>
  <c r="J17" i="3"/>
  <c r="H19" i="3"/>
  <c r="I24" i="3"/>
  <c r="N24" i="3" s="1"/>
  <c r="H31" i="3"/>
  <c r="H175" i="3"/>
  <c r="H188" i="3"/>
  <c r="B14" i="14"/>
  <c r="D14" i="14" s="1"/>
  <c r="G29" i="14" s="1"/>
  <c r="G32" i="14" s="1"/>
  <c r="D13" i="23"/>
  <c r="D19" i="24"/>
  <c r="D35" i="24" s="1"/>
  <c r="D31" i="24"/>
  <c r="B68" i="24" s="1"/>
  <c r="D20" i="26"/>
  <c r="D17" i="26"/>
  <c r="E17" i="26" s="1"/>
  <c r="D14" i="26"/>
  <c r="D13" i="26"/>
  <c r="E13" i="26" s="1"/>
  <c r="D16" i="26"/>
  <c r="D12" i="26"/>
  <c r="D15" i="26"/>
  <c r="D18" i="26"/>
  <c r="H7" i="3"/>
  <c r="I12" i="3"/>
  <c r="N12" i="3" s="1"/>
  <c r="H14" i="3"/>
  <c r="H26" i="3"/>
  <c r="H173" i="3"/>
  <c r="H186" i="3"/>
  <c r="D41" i="25"/>
  <c r="C9" i="41" s="1"/>
  <c r="D9" i="41" s="1"/>
  <c r="D22" i="27"/>
  <c r="C15" i="41" s="1"/>
  <c r="D15" i="41" s="1"/>
  <c r="D40" i="14"/>
  <c r="D15" i="17"/>
  <c r="D32" i="17"/>
  <c r="B44" i="22"/>
  <c r="D44" i="22" s="1"/>
  <c r="D48" i="22" s="1"/>
  <c r="B35" i="26"/>
  <c r="C35" i="26" s="1"/>
  <c r="E35" i="26" s="1"/>
  <c r="B34" i="26"/>
  <c r="C34" i="26" s="1"/>
  <c r="E34" i="26" s="1"/>
  <c r="E18" i="26"/>
  <c r="H9" i="3"/>
  <c r="H21" i="3"/>
  <c r="H33" i="3"/>
  <c r="H171" i="3"/>
  <c r="B19" i="14"/>
  <c r="D19" i="14" s="1"/>
  <c r="D44" i="15"/>
  <c r="C4" i="41" s="1"/>
  <c r="D16" i="22"/>
  <c r="D14" i="23"/>
  <c r="B58" i="25"/>
  <c r="D58" i="25" s="1"/>
  <c r="E19" i="26"/>
  <c r="H5" i="30"/>
  <c r="H6" i="30" s="1"/>
  <c r="D24" i="32"/>
  <c r="C14" i="38"/>
  <c r="F14" i="38" s="1"/>
  <c r="F20" i="38" s="1"/>
  <c r="F24" i="38" s="1"/>
  <c r="C15" i="38"/>
  <c r="F15" i="38" s="1"/>
  <c r="G13" i="46"/>
  <c r="H13" i="46" s="1"/>
  <c r="D43" i="31"/>
  <c r="C31" i="31"/>
  <c r="D31" i="31" s="1"/>
  <c r="D44" i="24"/>
  <c r="O182" i="30"/>
  <c r="O158" i="30"/>
  <c r="O134" i="30"/>
  <c r="O110" i="30"/>
  <c r="O86" i="30"/>
  <c r="O62" i="30"/>
  <c r="O38" i="30"/>
  <c r="D25" i="30"/>
  <c r="O45" i="30"/>
  <c r="O63" i="30"/>
  <c r="O78" i="30"/>
  <c r="O160" i="30"/>
  <c r="O169" i="30"/>
  <c r="O199" i="30"/>
  <c r="D12" i="25"/>
  <c r="B71" i="25" s="1"/>
  <c r="B74" i="25" s="1"/>
  <c r="B32" i="26"/>
  <c r="C32" i="26" s="1"/>
  <c r="E32" i="26" s="1"/>
  <c r="B65" i="26" s="1"/>
  <c r="B22" i="24"/>
  <c r="D22" i="24" s="1"/>
  <c r="E10" i="32"/>
  <c r="Y9" i="44"/>
  <c r="F9" i="44" s="1"/>
  <c r="G9" i="44" s="1"/>
  <c r="H50" i="23"/>
  <c r="B27" i="24"/>
  <c r="D27" i="24" s="1"/>
  <c r="B69" i="24" s="1"/>
  <c r="B12" i="26"/>
  <c r="C12" i="26" s="1"/>
  <c r="E12" i="26" s="1"/>
  <c r="O51" i="30"/>
  <c r="O67" i="30"/>
  <c r="O88" i="30"/>
  <c r="O97" i="30"/>
  <c r="O106" i="30"/>
  <c r="O124" i="30"/>
  <c r="O127" i="30"/>
  <c r="O167" i="30"/>
  <c r="O170" i="30"/>
  <c r="O185" i="30"/>
  <c r="O188" i="30"/>
  <c r="O200" i="30"/>
  <c r="E11" i="32"/>
  <c r="F14" i="37"/>
  <c r="F20" i="37"/>
  <c r="F25" i="37" s="1"/>
  <c r="D14" i="39"/>
  <c r="C14" i="39"/>
  <c r="F14" i="39" s="1"/>
  <c r="H4" i="43"/>
  <c r="H12" i="31"/>
  <c r="E8" i="31" s="1"/>
  <c r="W10" i="43"/>
  <c r="F10" i="43" s="1"/>
  <c r="G10" i="43" s="1"/>
  <c r="I10" i="43" s="1"/>
  <c r="O9" i="30"/>
  <c r="O40" i="30"/>
  <c r="O49" i="30"/>
  <c r="O79" i="30"/>
  <c r="O119" i="30"/>
  <c r="O137" i="30"/>
  <c r="O140" i="30"/>
  <c r="O152" i="30"/>
  <c r="O192" i="30"/>
  <c r="O197" i="30"/>
  <c r="B20" i="26"/>
  <c r="C20" i="26" s="1"/>
  <c r="D16" i="27"/>
  <c r="D17" i="27" s="1"/>
  <c r="D18" i="27" s="1"/>
  <c r="D19" i="27" s="1"/>
  <c r="E2" i="30"/>
  <c r="O55" i="30"/>
  <c r="O95" i="30"/>
  <c r="O113" i="30"/>
  <c r="O128" i="30"/>
  <c r="O168" i="30"/>
  <c r="O173" i="30"/>
  <c r="O189" i="30"/>
  <c r="D19" i="25"/>
  <c r="D14" i="28"/>
  <c r="O6" i="30"/>
  <c r="D24" i="30"/>
  <c r="O71" i="30"/>
  <c r="O74" i="30"/>
  <c r="O89" i="30"/>
  <c r="O92" i="30"/>
  <c r="O104" i="30"/>
  <c r="O144" i="30"/>
  <c r="O149" i="30"/>
  <c r="O165" i="30"/>
  <c r="O183" i="30"/>
  <c r="O198" i="30"/>
  <c r="F16" i="38"/>
  <c r="O20" i="30"/>
  <c r="O26" i="30"/>
  <c r="O47" i="30"/>
  <c r="O65" i="30"/>
  <c r="O68" i="30"/>
  <c r="O80" i="30"/>
  <c r="O120" i="30"/>
  <c r="O125" i="30"/>
  <c r="O141" i="30"/>
  <c r="O159" i="30"/>
  <c r="O174" i="30"/>
  <c r="O180" i="30"/>
  <c r="H20" i="31"/>
  <c r="F12" i="36"/>
  <c r="F21" i="36" s="1"/>
  <c r="O17" i="30"/>
  <c r="F17" i="39"/>
  <c r="R15" i="46"/>
  <c r="P15" i="46"/>
  <c r="D15" i="46" s="1"/>
  <c r="E15" i="46" s="1"/>
  <c r="F15" i="46" s="1"/>
  <c r="G15" i="46" s="1"/>
  <c r="H15" i="46" s="1"/>
  <c r="M15" i="46"/>
  <c r="E7" i="33"/>
  <c r="O23" i="30"/>
  <c r="E16" i="39"/>
  <c r="C16" i="39"/>
  <c r="F16" i="39" s="1"/>
  <c r="C26" i="32"/>
  <c r="D28" i="32"/>
  <c r="B14" i="58"/>
  <c r="B15" i="58"/>
  <c r="E4" i="58"/>
  <c r="K5" i="60"/>
  <c r="L5" i="60" s="1"/>
  <c r="J3" i="60"/>
  <c r="K4" i="60"/>
  <c r="J2" i="60"/>
  <c r="G18" i="46"/>
  <c r="H18" i="46" s="1"/>
  <c r="G17" i="45"/>
  <c r="H17" i="45" s="1"/>
  <c r="D18" i="46"/>
  <c r="E18" i="46" s="1"/>
  <c r="F18" i="46" s="1"/>
  <c r="D19" i="58"/>
  <c r="D49" i="34" s="1"/>
  <c r="C21" i="41" s="1"/>
  <c r="D18" i="58"/>
  <c r="D48" i="34" s="1"/>
  <c r="B21" i="41" s="1"/>
  <c r="D22" i="45"/>
  <c r="E22" i="45" s="1"/>
  <c r="F22" i="45" s="1"/>
  <c r="G22" i="45" s="1"/>
  <c r="H22" i="45" s="1"/>
  <c r="D20" i="45"/>
  <c r="E20" i="45" s="1"/>
  <c r="F20" i="45" s="1"/>
  <c r="G20" i="45" s="1"/>
  <c r="H20" i="45" s="1"/>
  <c r="D18" i="45"/>
  <c r="E18" i="45" s="1"/>
  <c r="F18" i="45" s="1"/>
  <c r="G18" i="45" s="1"/>
  <c r="H18" i="45" s="1"/>
  <c r="D16" i="45"/>
  <c r="E16" i="45" s="1"/>
  <c r="F16" i="45" s="1"/>
  <c r="G16" i="45" s="1"/>
  <c r="H16" i="45" s="1"/>
  <c r="D14" i="45"/>
  <c r="E14" i="45" s="1"/>
  <c r="F14" i="45" s="1"/>
  <c r="G14" i="45" s="1"/>
  <c r="H14" i="45" s="1"/>
  <c r="D23" i="45"/>
  <c r="E23" i="45" s="1"/>
  <c r="F23" i="45" s="1"/>
  <c r="G23" i="45" s="1"/>
  <c r="H23" i="45" s="1"/>
  <c r="D21" i="45"/>
  <c r="E21" i="45" s="1"/>
  <c r="F21" i="45" s="1"/>
  <c r="D19" i="45"/>
  <c r="E19" i="45" s="1"/>
  <c r="F19" i="45" s="1"/>
  <c r="D17" i="45"/>
  <c r="E17" i="45" s="1"/>
  <c r="F17" i="45" s="1"/>
  <c r="D15" i="45"/>
  <c r="E15" i="45" s="1"/>
  <c r="F15" i="45" s="1"/>
  <c r="G15" i="45" s="1"/>
  <c r="H15" i="45" s="1"/>
  <c r="C14" i="35"/>
  <c r="F14" i="35" s="1"/>
  <c r="F23" i="35" s="1"/>
  <c r="C18" i="35"/>
  <c r="F18" i="35" s="1"/>
  <c r="C22" i="35"/>
  <c r="F22" i="35" s="1"/>
  <c r="G21" i="45"/>
  <c r="H21" i="45" s="1"/>
  <c r="M14" i="46"/>
  <c r="R14" i="46" s="1"/>
  <c r="W7" i="43"/>
  <c r="F7" i="43" s="1"/>
  <c r="G7" i="43" s="1"/>
  <c r="I7" i="43" s="1"/>
  <c r="D11" i="59"/>
  <c r="F26" i="37"/>
  <c r="M12" i="46"/>
  <c r="R12" i="46" s="1"/>
  <c r="C11" i="37"/>
  <c r="F11" i="37" s="1"/>
  <c r="F22" i="37" s="1"/>
  <c r="C15" i="37"/>
  <c r="F15" i="37" s="1"/>
  <c r="G19" i="45"/>
  <c r="H19" i="45" s="1"/>
  <c r="M16" i="46"/>
  <c r="P16" i="46" s="1"/>
  <c r="P17" i="46"/>
  <c r="D17" i="46" s="1"/>
  <c r="E17" i="46" s="1"/>
  <c r="F17" i="46" s="1"/>
  <c r="G17" i="46" s="1"/>
  <c r="H17" i="46" s="1"/>
  <c r="B10" i="58"/>
  <c r="H8" i="60"/>
  <c r="H1" i="60"/>
  <c r="H2" i="60" s="1"/>
  <c r="K8" i="60"/>
  <c r="J8" i="60"/>
  <c r="L9" i="60" s="1"/>
  <c r="B24" i="58"/>
  <c r="K3" i="60"/>
  <c r="L3" i="60" s="1"/>
  <c r="J6" i="60"/>
  <c r="D12" i="60"/>
  <c r="C11" i="58"/>
  <c r="D11" i="58" s="1"/>
  <c r="D26" i="34" s="1"/>
  <c r="E5" i="59"/>
  <c r="B26" i="59"/>
  <c r="H7" i="60"/>
  <c r="E3" i="59"/>
  <c r="B12" i="59"/>
  <c r="E4" i="59"/>
  <c r="J7" i="60"/>
  <c r="L8" i="60" s="1"/>
  <c r="D15" i="60"/>
  <c r="H9" i="60"/>
  <c r="D14" i="60"/>
  <c r="C25" i="61"/>
  <c r="B25" i="61"/>
  <c r="D25" i="61" s="1"/>
  <c r="C11" i="59"/>
  <c r="E6" i="59"/>
  <c r="D17" i="59" s="1"/>
  <c r="N9" i="61"/>
  <c r="O9" i="61" s="1"/>
  <c r="N12" i="61"/>
  <c r="O12" i="61" s="1"/>
  <c r="N32" i="61"/>
  <c r="O32" i="61" s="1"/>
  <c r="N37" i="61"/>
  <c r="O37" i="61" s="1"/>
  <c r="N52" i="61"/>
  <c r="O52" i="61" s="1"/>
  <c r="N83" i="61"/>
  <c r="O83" i="61" s="1"/>
  <c r="N119" i="61"/>
  <c r="O119" i="61" s="1"/>
  <c r="N155" i="61"/>
  <c r="O155" i="61" s="1"/>
  <c r="N20" i="61"/>
  <c r="O20" i="61" s="1"/>
  <c r="N49" i="61"/>
  <c r="O49" i="61" s="1"/>
  <c r="N78" i="61"/>
  <c r="O78" i="61" s="1"/>
  <c r="N114" i="61"/>
  <c r="O114" i="61" s="1"/>
  <c r="N150" i="61"/>
  <c r="O150" i="61" s="1"/>
  <c r="E7" i="61"/>
  <c r="C22" i="61" s="1"/>
  <c r="N8" i="61"/>
  <c r="O8" i="61" s="1"/>
  <c r="N14" i="61"/>
  <c r="O14" i="61" s="1"/>
  <c r="N18" i="61"/>
  <c r="O18" i="61" s="1"/>
  <c r="N35" i="61"/>
  <c r="O35" i="61" s="1"/>
  <c r="N59" i="61"/>
  <c r="O59" i="61" s="1"/>
  <c r="N73" i="61"/>
  <c r="O73" i="61" s="1"/>
  <c r="N109" i="61"/>
  <c r="O109" i="61" s="1"/>
  <c r="N94" i="61"/>
  <c r="O94" i="61" s="1"/>
  <c r="N130" i="61"/>
  <c r="O130" i="61" s="1"/>
  <c r="N166" i="61"/>
  <c r="O166" i="61" s="1"/>
  <c r="N7" i="61"/>
  <c r="O7" i="61" s="1"/>
  <c r="N25" i="61"/>
  <c r="O25" i="61" s="1"/>
  <c r="N41" i="61"/>
  <c r="O41" i="61" s="1"/>
  <c r="N47" i="61"/>
  <c r="O47" i="61" s="1"/>
  <c r="N60" i="61"/>
  <c r="O60" i="61" s="1"/>
  <c r="N89" i="61"/>
  <c r="O89" i="61" s="1"/>
  <c r="N125" i="61"/>
  <c r="O125" i="61" s="1"/>
  <c r="N161" i="61"/>
  <c r="O161" i="61" s="1"/>
  <c r="N172" i="61"/>
  <c r="O172" i="61" s="1"/>
  <c r="N22" i="61"/>
  <c r="O22" i="61" s="1"/>
  <c r="N44" i="61"/>
  <c r="O44" i="61" s="1"/>
  <c r="N53" i="61"/>
  <c r="O53" i="61" s="1"/>
  <c r="N65" i="61"/>
  <c r="O65" i="61" s="1"/>
  <c r="N84" i="61"/>
  <c r="O84" i="61" s="1"/>
  <c r="N120" i="61"/>
  <c r="O120" i="61" s="1"/>
  <c r="N156" i="61"/>
  <c r="O156" i="61" s="1"/>
  <c r="N178" i="61"/>
  <c r="O178" i="61" s="1"/>
  <c r="N195" i="61"/>
  <c r="O195" i="61" s="1"/>
  <c r="N183" i="61"/>
  <c r="O183" i="61" s="1"/>
  <c r="N171" i="61"/>
  <c r="O171" i="61" s="1"/>
  <c r="N159" i="61"/>
  <c r="O159" i="61" s="1"/>
  <c r="N147" i="61"/>
  <c r="O147" i="61" s="1"/>
  <c r="N135" i="61"/>
  <c r="O135" i="61" s="1"/>
  <c r="N123" i="61"/>
  <c r="O123" i="61" s="1"/>
  <c r="N111" i="61"/>
  <c r="O111" i="61" s="1"/>
  <c r="N99" i="61"/>
  <c r="O99" i="61" s="1"/>
  <c r="N87" i="61"/>
  <c r="O87" i="61" s="1"/>
  <c r="N75" i="61"/>
  <c r="O75" i="61" s="1"/>
  <c r="N63" i="61"/>
  <c r="O63" i="61" s="1"/>
  <c r="N200" i="61"/>
  <c r="O200" i="61" s="1"/>
  <c r="N188" i="61"/>
  <c r="O188" i="61" s="1"/>
  <c r="N176" i="61"/>
  <c r="O176" i="61" s="1"/>
  <c r="N164" i="61"/>
  <c r="O164" i="61" s="1"/>
  <c r="N152" i="61"/>
  <c r="O152" i="61" s="1"/>
  <c r="N140" i="61"/>
  <c r="O140" i="61" s="1"/>
  <c r="N128" i="61"/>
  <c r="O128" i="61" s="1"/>
  <c r="N116" i="61"/>
  <c r="O116" i="61" s="1"/>
  <c r="N104" i="61"/>
  <c r="O104" i="61" s="1"/>
  <c r="N92" i="61"/>
  <c r="O92" i="61" s="1"/>
  <c r="N80" i="61"/>
  <c r="O80" i="61" s="1"/>
  <c r="N68" i="61"/>
  <c r="O68" i="61" s="1"/>
  <c r="N201" i="61"/>
  <c r="O201" i="61" s="1"/>
  <c r="N189" i="61"/>
  <c r="O189" i="61" s="1"/>
  <c r="N177" i="61"/>
  <c r="O177" i="61" s="1"/>
  <c r="N165" i="61"/>
  <c r="O165" i="61" s="1"/>
  <c r="N153" i="61"/>
  <c r="O153" i="61" s="1"/>
  <c r="N141" i="61"/>
  <c r="O141" i="61" s="1"/>
  <c r="N129" i="61"/>
  <c r="O129" i="61" s="1"/>
  <c r="N117" i="61"/>
  <c r="O117" i="61" s="1"/>
  <c r="N105" i="61"/>
  <c r="O105" i="61" s="1"/>
  <c r="N93" i="61"/>
  <c r="O93" i="61" s="1"/>
  <c r="N81" i="61"/>
  <c r="O81" i="61" s="1"/>
  <c r="N69" i="61"/>
  <c r="O69" i="61" s="1"/>
  <c r="N57" i="61"/>
  <c r="O57" i="61" s="1"/>
  <c r="N194" i="61"/>
  <c r="O194" i="61" s="1"/>
  <c r="N182" i="61"/>
  <c r="O182" i="61" s="1"/>
  <c r="N170" i="61"/>
  <c r="O170" i="61" s="1"/>
  <c r="N158" i="61"/>
  <c r="O158" i="61" s="1"/>
  <c r="N146" i="61"/>
  <c r="O146" i="61" s="1"/>
  <c r="N134" i="61"/>
  <c r="O134" i="61" s="1"/>
  <c r="N122" i="61"/>
  <c r="O122" i="61" s="1"/>
  <c r="N110" i="61"/>
  <c r="O110" i="61" s="1"/>
  <c r="N98" i="61"/>
  <c r="O98" i="61" s="1"/>
  <c r="N86" i="61"/>
  <c r="O86" i="61" s="1"/>
  <c r="N74" i="61"/>
  <c r="O74" i="61" s="1"/>
  <c r="N62" i="61"/>
  <c r="O62" i="61" s="1"/>
  <c r="N197" i="61"/>
  <c r="O197" i="61" s="1"/>
  <c r="N185" i="61"/>
  <c r="O185" i="61" s="1"/>
  <c r="N173" i="61"/>
  <c r="O173" i="61" s="1"/>
  <c r="N160" i="61"/>
  <c r="O160" i="61" s="1"/>
  <c r="N142" i="61"/>
  <c r="O142" i="61" s="1"/>
  <c r="N124" i="61"/>
  <c r="O124" i="61" s="1"/>
  <c r="N106" i="61"/>
  <c r="O106" i="61" s="1"/>
  <c r="N88" i="61"/>
  <c r="O88" i="61" s="1"/>
  <c r="N70" i="61"/>
  <c r="O70" i="61" s="1"/>
  <c r="N50" i="61"/>
  <c r="O50" i="61" s="1"/>
  <c r="N38" i="61"/>
  <c r="O38" i="61" s="1"/>
  <c r="N27" i="61"/>
  <c r="O27" i="61" s="1"/>
  <c r="N191" i="61"/>
  <c r="O191" i="61" s="1"/>
  <c r="N157" i="61"/>
  <c r="O157" i="61" s="1"/>
  <c r="N139" i="61"/>
  <c r="O139" i="61" s="1"/>
  <c r="N121" i="61"/>
  <c r="O121" i="61" s="1"/>
  <c r="N103" i="61"/>
  <c r="O103" i="61" s="1"/>
  <c r="N85" i="61"/>
  <c r="O85" i="61" s="1"/>
  <c r="N67" i="61"/>
  <c r="O67" i="61" s="1"/>
  <c r="N55" i="61"/>
  <c r="O55" i="61" s="1"/>
  <c r="N43" i="61"/>
  <c r="O43" i="61" s="1"/>
  <c r="N179" i="61"/>
  <c r="O179" i="61" s="1"/>
  <c r="N162" i="61"/>
  <c r="O162" i="61" s="1"/>
  <c r="N144" i="61"/>
  <c r="O144" i="61" s="1"/>
  <c r="N126" i="61"/>
  <c r="O126" i="61" s="1"/>
  <c r="N108" i="61"/>
  <c r="O108" i="61" s="1"/>
  <c r="N90" i="61"/>
  <c r="O90" i="61" s="1"/>
  <c r="N72" i="61"/>
  <c r="O72" i="61" s="1"/>
  <c r="N48" i="61"/>
  <c r="O48" i="61" s="1"/>
  <c r="N36" i="61"/>
  <c r="O36" i="61" s="1"/>
  <c r="N33" i="61"/>
  <c r="O33" i="61" s="1"/>
  <c r="N30" i="61"/>
  <c r="O30" i="61" s="1"/>
  <c r="N23" i="61"/>
  <c r="O23" i="61" s="1"/>
  <c r="N16" i="61"/>
  <c r="O16" i="61" s="1"/>
  <c r="N167" i="61"/>
  <c r="O167" i="61" s="1"/>
  <c r="N149" i="61"/>
  <c r="O149" i="61" s="1"/>
  <c r="N131" i="61"/>
  <c r="O131" i="61" s="1"/>
  <c r="N113" i="61"/>
  <c r="O113" i="61" s="1"/>
  <c r="N95" i="61"/>
  <c r="O95" i="61" s="1"/>
  <c r="N77" i="61"/>
  <c r="O77" i="61" s="1"/>
  <c r="N199" i="61"/>
  <c r="O199" i="61" s="1"/>
  <c r="N193" i="61"/>
  <c r="O193" i="61" s="1"/>
  <c r="N154" i="61"/>
  <c r="O154" i="61" s="1"/>
  <c r="N136" i="61"/>
  <c r="O136" i="61" s="1"/>
  <c r="N118" i="61"/>
  <c r="O118" i="61" s="1"/>
  <c r="N100" i="61"/>
  <c r="O100" i="61" s="1"/>
  <c r="N82" i="61"/>
  <c r="O82" i="61" s="1"/>
  <c r="N64" i="61"/>
  <c r="O64" i="61" s="1"/>
  <c r="N46" i="61"/>
  <c r="O46" i="61" s="1"/>
  <c r="N28" i="61"/>
  <c r="O28" i="61" s="1"/>
  <c r="N24" i="61"/>
  <c r="O24" i="61" s="1"/>
  <c r="N19" i="61"/>
  <c r="O19" i="61" s="1"/>
  <c r="N196" i="61"/>
  <c r="O196" i="61" s="1"/>
  <c r="N190" i="61"/>
  <c r="O190" i="61" s="1"/>
  <c r="N187" i="61"/>
  <c r="O187" i="61" s="1"/>
  <c r="N181" i="61"/>
  <c r="O181" i="61" s="1"/>
  <c r="N151" i="61"/>
  <c r="O151" i="61" s="1"/>
  <c r="N133" i="61"/>
  <c r="O133" i="61" s="1"/>
  <c r="N115" i="61"/>
  <c r="O115" i="61" s="1"/>
  <c r="N97" i="61"/>
  <c r="O97" i="61" s="1"/>
  <c r="N79" i="61"/>
  <c r="O79" i="61" s="1"/>
  <c r="N61" i="61"/>
  <c r="O61" i="61" s="1"/>
  <c r="N51" i="61"/>
  <c r="O51" i="61" s="1"/>
  <c r="N39" i="61"/>
  <c r="O39" i="61" s="1"/>
  <c r="E5" i="61"/>
  <c r="N6" i="61"/>
  <c r="O6" i="61" s="1"/>
  <c r="N11" i="61"/>
  <c r="O11" i="61" s="1"/>
  <c r="N56" i="61"/>
  <c r="O56" i="61" s="1"/>
  <c r="N101" i="61"/>
  <c r="O101" i="61" s="1"/>
  <c r="N137" i="61"/>
  <c r="O137" i="61" s="1"/>
  <c r="N168" i="61"/>
  <c r="O168" i="61" s="1"/>
  <c r="N13" i="61"/>
  <c r="O13" i="61" s="1"/>
  <c r="N45" i="61"/>
  <c r="O45" i="61" s="1"/>
  <c r="N96" i="61"/>
  <c r="O96" i="61" s="1"/>
  <c r="N132" i="61"/>
  <c r="O132" i="61" s="1"/>
  <c r="N174" i="61"/>
  <c r="O174" i="61" s="1"/>
  <c r="N180" i="61"/>
  <c r="O180" i="61" s="1"/>
  <c r="N5" i="61"/>
  <c r="O5" i="61" s="1"/>
  <c r="N42" i="61"/>
  <c r="O42" i="61" s="1"/>
  <c r="N91" i="61"/>
  <c r="O91" i="61" s="1"/>
  <c r="N127" i="61"/>
  <c r="O127" i="61" s="1"/>
  <c r="N163" i="61"/>
  <c r="O163" i="61" s="1"/>
  <c r="N186" i="61"/>
  <c r="O186" i="61" s="1"/>
  <c r="N192" i="61"/>
  <c r="O192" i="61" s="1"/>
  <c r="H3" i="61"/>
  <c r="H4" i="61" s="1"/>
  <c r="N4" i="61"/>
  <c r="O4" i="61" s="1"/>
  <c r="N15" i="61"/>
  <c r="O15" i="61" s="1"/>
  <c r="N21" i="61"/>
  <c r="O21" i="61" s="1"/>
  <c r="N31" i="61"/>
  <c r="O31" i="61" s="1"/>
  <c r="N54" i="61"/>
  <c r="O54" i="61" s="1"/>
  <c r="N76" i="61"/>
  <c r="O76" i="61" s="1"/>
  <c r="N112" i="61"/>
  <c r="O112" i="61" s="1"/>
  <c r="N148" i="61"/>
  <c r="O148" i="61" s="1"/>
  <c r="N198" i="61"/>
  <c r="O198" i="61" s="1"/>
  <c r="N3" i="61"/>
  <c r="O3" i="61" s="1"/>
  <c r="N10" i="61"/>
  <c r="O10" i="61" s="1"/>
  <c r="N17" i="61"/>
  <c r="O17" i="61" s="1"/>
  <c r="N26" i="61"/>
  <c r="O26" i="61" s="1"/>
  <c r="N66" i="61"/>
  <c r="O66" i="61" s="1"/>
  <c r="N71" i="61"/>
  <c r="O71" i="61" s="1"/>
  <c r="N107" i="61"/>
  <c r="O107" i="61" s="1"/>
  <c r="N143" i="61"/>
  <c r="O143" i="61" s="1"/>
  <c r="N2" i="61"/>
  <c r="O2" i="61" s="1"/>
  <c r="P2" i="61" s="1"/>
  <c r="N29" i="61"/>
  <c r="O29" i="61" s="1"/>
  <c r="N34" i="61"/>
  <c r="O34" i="61" s="1"/>
  <c r="N40" i="61"/>
  <c r="O40" i="61" s="1"/>
  <c r="N58" i="61"/>
  <c r="O58" i="61" s="1"/>
  <c r="N102" i="61"/>
  <c r="O102" i="61" s="1"/>
  <c r="N138" i="61"/>
  <c r="O138" i="61" s="1"/>
  <c r="N169" i="61"/>
  <c r="O169" i="61" s="1"/>
  <c r="N175" i="61"/>
  <c r="O175" i="61" s="1"/>
  <c r="B57" i="22" l="1"/>
  <c r="B60" i="22" s="1"/>
  <c r="D24" i="22"/>
  <c r="B13" i="40"/>
  <c r="D36" i="24"/>
  <c r="D37" i="24" s="1"/>
  <c r="D53" i="24"/>
  <c r="I4" i="44"/>
  <c r="H4" i="44"/>
  <c r="C4" i="42"/>
  <c r="F27" i="35"/>
  <c r="F30" i="35"/>
  <c r="F26" i="35"/>
  <c r="H11" i="30"/>
  <c r="B23" i="30"/>
  <c r="D23" i="30" s="1"/>
  <c r="E2" i="61"/>
  <c r="H5" i="61"/>
  <c r="H6" i="61"/>
  <c r="H19" i="33"/>
  <c r="H18" i="33"/>
  <c r="E13" i="31"/>
  <c r="C23" i="31" s="1"/>
  <c r="D23" i="31" s="1"/>
  <c r="E14" i="31"/>
  <c r="C24" i="31" s="1"/>
  <c r="D24" i="31" s="1"/>
  <c r="E10" i="31"/>
  <c r="C19" i="31" s="1"/>
  <c r="J84" i="3"/>
  <c r="I84" i="3"/>
  <c r="N84" i="3" s="1"/>
  <c r="H9" i="43"/>
  <c r="J157" i="3"/>
  <c r="I157" i="3"/>
  <c r="N157" i="3" s="1"/>
  <c r="R16" i="46"/>
  <c r="D16" i="46" s="1"/>
  <c r="E16" i="46" s="1"/>
  <c r="F16" i="46" s="1"/>
  <c r="G16" i="46" s="1"/>
  <c r="H16" i="46" s="1"/>
  <c r="J11" i="60"/>
  <c r="D11" i="60" s="1"/>
  <c r="K7" i="60"/>
  <c r="L7" i="60" s="1"/>
  <c r="K2" i="60"/>
  <c r="L2" i="60" s="1"/>
  <c r="K6" i="60"/>
  <c r="L6" i="60" s="1"/>
  <c r="Y6" i="44"/>
  <c r="F6" i="44" s="1"/>
  <c r="G6" i="44" s="1"/>
  <c r="B61" i="23"/>
  <c r="B64" i="23" s="1"/>
  <c r="I170" i="3"/>
  <c r="N170" i="3" s="1"/>
  <c r="J170" i="3"/>
  <c r="I167" i="3"/>
  <c r="N167" i="3" s="1"/>
  <c r="J167" i="3"/>
  <c r="I158" i="3"/>
  <c r="N158" i="3" s="1"/>
  <c r="J158" i="3"/>
  <c r="C14" i="17"/>
  <c r="D14" i="17" s="1"/>
  <c r="C18" i="17"/>
  <c r="D18" i="17" s="1"/>
  <c r="C13" i="17"/>
  <c r="D13" i="17" s="1"/>
  <c r="C17" i="17"/>
  <c r="D17" i="17" s="1"/>
  <c r="B44" i="17" s="1"/>
  <c r="J60" i="3"/>
  <c r="I60" i="3"/>
  <c r="N60" i="3" s="1"/>
  <c r="J55" i="3"/>
  <c r="I55" i="3"/>
  <c r="N55" i="3" s="1"/>
  <c r="I105" i="3"/>
  <c r="N105" i="3" s="1"/>
  <c r="J105" i="3"/>
  <c r="J126" i="3"/>
  <c r="I126" i="3"/>
  <c r="N126" i="3" s="1"/>
  <c r="J123" i="3"/>
  <c r="I123" i="3"/>
  <c r="N123" i="3" s="1"/>
  <c r="J145" i="3"/>
  <c r="I145" i="3"/>
  <c r="N145" i="3" s="1"/>
  <c r="B20" i="40"/>
  <c r="D23" i="27"/>
  <c r="J122" i="3"/>
  <c r="I122" i="3"/>
  <c r="N122" i="3" s="1"/>
  <c r="J111" i="3"/>
  <c r="I111" i="3"/>
  <c r="N111" i="3" s="1"/>
  <c r="J74" i="3"/>
  <c r="I74" i="3"/>
  <c r="N74" i="3" s="1"/>
  <c r="J135" i="3"/>
  <c r="I135" i="3"/>
  <c r="N135" i="3" s="1"/>
  <c r="J141" i="3"/>
  <c r="I141" i="3"/>
  <c r="N141" i="3" s="1"/>
  <c r="H18" i="29"/>
  <c r="H19" i="29"/>
  <c r="C10" i="59"/>
  <c r="C24" i="58"/>
  <c r="D16" i="53"/>
  <c r="F27" i="52"/>
  <c r="D16" i="51"/>
  <c r="F27" i="50"/>
  <c r="F53" i="49"/>
  <c r="F29" i="48"/>
  <c r="F53" i="47"/>
  <c r="F62" i="47" s="1"/>
  <c r="F27" i="54"/>
  <c r="F38" i="53"/>
  <c r="D27" i="52"/>
  <c r="F38" i="51"/>
  <c r="D27" i="50"/>
  <c r="D53" i="49"/>
  <c r="D29" i="48"/>
  <c r="D53" i="47"/>
  <c r="D27" i="54"/>
  <c r="D38" i="53"/>
  <c r="F49" i="52"/>
  <c r="D38" i="51"/>
  <c r="F49" i="50"/>
  <c r="F57" i="50" s="1"/>
  <c r="F29" i="49"/>
  <c r="F53" i="48"/>
  <c r="F29" i="47"/>
  <c r="F60" i="54"/>
  <c r="F60" i="53"/>
  <c r="D49" i="52"/>
  <c r="F60" i="51"/>
  <c r="D49" i="50"/>
  <c r="D29" i="49"/>
  <c r="D53" i="48"/>
  <c r="D62" i="48" s="1"/>
  <c r="C16" i="55" s="1"/>
  <c r="D29" i="47"/>
  <c r="D38" i="47" s="1"/>
  <c r="C6" i="55" s="1"/>
  <c r="D60" i="54"/>
  <c r="D68" i="54" s="1"/>
  <c r="C65" i="55" s="1"/>
  <c r="D60" i="53"/>
  <c r="F5" i="53"/>
  <c r="D60" i="51"/>
  <c r="F16" i="54"/>
  <c r="D5" i="53"/>
  <c r="F16" i="52"/>
  <c r="D5" i="51"/>
  <c r="F16" i="50"/>
  <c r="F65" i="49"/>
  <c r="D5" i="49"/>
  <c r="D14" i="49" s="1"/>
  <c r="C20" i="55" s="1"/>
  <c r="F17" i="48"/>
  <c r="F26" i="48" s="1"/>
  <c r="F65" i="47"/>
  <c r="F74" i="47" s="1"/>
  <c r="D5" i="47"/>
  <c r="F49" i="54"/>
  <c r="D16" i="54"/>
  <c r="F27" i="53"/>
  <c r="D16" i="52"/>
  <c r="F27" i="51"/>
  <c r="D16" i="50"/>
  <c r="D65" i="49"/>
  <c r="D17" i="48"/>
  <c r="D65" i="47"/>
  <c r="F49" i="53"/>
  <c r="D38" i="52"/>
  <c r="F49" i="51"/>
  <c r="D38" i="50"/>
  <c r="D41" i="49"/>
  <c r="D41" i="48"/>
  <c r="D41" i="47"/>
  <c r="C10" i="58"/>
  <c r="D10" i="58" s="1"/>
  <c r="D25" i="34" s="1"/>
  <c r="D38" i="54"/>
  <c r="D60" i="50"/>
  <c r="D17" i="47"/>
  <c r="D49" i="54"/>
  <c r="F5" i="51"/>
  <c r="F5" i="47"/>
  <c r="F14" i="47" s="1"/>
  <c r="F5" i="54"/>
  <c r="F41" i="48"/>
  <c r="D27" i="53"/>
  <c r="F38" i="52"/>
  <c r="F5" i="50"/>
  <c r="D49" i="51"/>
  <c r="D5" i="50"/>
  <c r="F17" i="49"/>
  <c r="F65" i="48"/>
  <c r="D17" i="49"/>
  <c r="D65" i="48"/>
  <c r="D74" i="48" s="1"/>
  <c r="C17" i="55" s="1"/>
  <c r="F5" i="49"/>
  <c r="F14" i="49" s="1"/>
  <c r="D49" i="53"/>
  <c r="F38" i="50"/>
  <c r="F60" i="52"/>
  <c r="F41" i="47"/>
  <c r="F38" i="54"/>
  <c r="D5" i="52"/>
  <c r="F60" i="50"/>
  <c r="D5" i="48"/>
  <c r="F17" i="47"/>
  <c r="F16" i="51"/>
  <c r="F24" i="51" s="1"/>
  <c r="F5" i="52"/>
  <c r="F13" i="52" s="1"/>
  <c r="F41" i="49"/>
  <c r="F50" i="49" s="1"/>
  <c r="D27" i="51"/>
  <c r="F5" i="48"/>
  <c r="F16" i="53"/>
  <c r="D60" i="52"/>
  <c r="D5" i="54"/>
  <c r="J58" i="3"/>
  <c r="I58" i="3"/>
  <c r="N58" i="3" s="1"/>
  <c r="J103" i="3"/>
  <c r="I103" i="3"/>
  <c r="N103" i="3" s="1"/>
  <c r="J86" i="3"/>
  <c r="I86" i="3"/>
  <c r="N86" i="3" s="1"/>
  <c r="J108" i="3"/>
  <c r="I108" i="3"/>
  <c r="N108" i="3" s="1"/>
  <c r="I152" i="3"/>
  <c r="N152" i="3" s="1"/>
  <c r="J152" i="3"/>
  <c r="J147" i="3"/>
  <c r="I147" i="3"/>
  <c r="N147" i="3" s="1"/>
  <c r="F51" i="54"/>
  <c r="F62" i="54"/>
  <c r="D29" i="54"/>
  <c r="F62" i="53"/>
  <c r="D51" i="52"/>
  <c r="F62" i="51"/>
  <c r="D51" i="50"/>
  <c r="D31" i="49"/>
  <c r="D55" i="48"/>
  <c r="D31" i="47"/>
  <c r="D62" i="54"/>
  <c r="D62" i="53"/>
  <c r="F7" i="53"/>
  <c r="D62" i="51"/>
  <c r="F7" i="51"/>
  <c r="F7" i="49"/>
  <c r="F7" i="47"/>
  <c r="F18" i="54"/>
  <c r="D7" i="53"/>
  <c r="F18" i="52"/>
  <c r="D7" i="51"/>
  <c r="F18" i="50"/>
  <c r="F67" i="49"/>
  <c r="D7" i="49"/>
  <c r="F19" i="48"/>
  <c r="F67" i="47"/>
  <c r="D7" i="47"/>
  <c r="D18" i="54"/>
  <c r="F29" i="53"/>
  <c r="D18" i="52"/>
  <c r="F29" i="51"/>
  <c r="D18" i="50"/>
  <c r="D67" i="49"/>
  <c r="D19" i="48"/>
  <c r="D67" i="47"/>
  <c r="D51" i="54"/>
  <c r="D29" i="53"/>
  <c r="F40" i="52"/>
  <c r="F51" i="53"/>
  <c r="D40" i="52"/>
  <c r="F51" i="51"/>
  <c r="D40" i="50"/>
  <c r="D43" i="49"/>
  <c r="D43" i="48"/>
  <c r="D43" i="47"/>
  <c r="D51" i="53"/>
  <c r="F62" i="52"/>
  <c r="D51" i="51"/>
  <c r="F62" i="50"/>
  <c r="F19" i="49"/>
  <c r="F67" i="48"/>
  <c r="F19" i="47"/>
  <c r="F40" i="54"/>
  <c r="D7" i="54"/>
  <c r="F18" i="53"/>
  <c r="D7" i="52"/>
  <c r="F18" i="51"/>
  <c r="D7" i="50"/>
  <c r="D7" i="48"/>
  <c r="F7" i="54"/>
  <c r="F31" i="48"/>
  <c r="D18" i="53"/>
  <c r="D18" i="51"/>
  <c r="F43" i="48"/>
  <c r="D31" i="48"/>
  <c r="C25" i="58"/>
  <c r="D25" i="58" s="1"/>
  <c r="F29" i="52"/>
  <c r="D29" i="51"/>
  <c r="F7" i="50"/>
  <c r="F43" i="49"/>
  <c r="F40" i="51"/>
  <c r="D55" i="49"/>
  <c r="D19" i="49"/>
  <c r="D67" i="48"/>
  <c r="D40" i="51"/>
  <c r="F31" i="49"/>
  <c r="F55" i="48"/>
  <c r="F29" i="50"/>
  <c r="F40" i="53"/>
  <c r="F40" i="50"/>
  <c r="D29" i="50"/>
  <c r="D40" i="53"/>
  <c r="D62" i="52"/>
  <c r="F7" i="52"/>
  <c r="F7" i="48"/>
  <c r="F43" i="47"/>
  <c r="F29" i="54"/>
  <c r="F51" i="52"/>
  <c r="F55" i="47"/>
  <c r="F51" i="50"/>
  <c r="F31" i="47"/>
  <c r="D29" i="52"/>
  <c r="D62" i="50"/>
  <c r="F55" i="49"/>
  <c r="D40" i="54"/>
  <c r="D55" i="47"/>
  <c r="D19" i="47"/>
  <c r="I118" i="3"/>
  <c r="N118" i="3" s="1"/>
  <c r="J118" i="3"/>
  <c r="C17" i="41"/>
  <c r="B17" i="41"/>
  <c r="D17" i="41" s="1"/>
  <c r="B19" i="29"/>
  <c r="D19" i="29" s="1"/>
  <c r="D14" i="41"/>
  <c r="J9" i="3"/>
  <c r="I9" i="3"/>
  <c r="N9" i="3" s="1"/>
  <c r="J48" i="3"/>
  <c r="I48" i="3"/>
  <c r="N48" i="3" s="1"/>
  <c r="J149" i="3"/>
  <c r="I149" i="3"/>
  <c r="N149" i="3" s="1"/>
  <c r="I81" i="3"/>
  <c r="N81" i="3" s="1"/>
  <c r="J81" i="3"/>
  <c r="I11" i="43"/>
  <c r="H11" i="43"/>
  <c r="I107" i="3"/>
  <c r="N107" i="3" s="1"/>
  <c r="J107" i="3"/>
  <c r="Q2" i="61"/>
  <c r="P3" i="61"/>
  <c r="D62" i="25"/>
  <c r="D31" i="25"/>
  <c r="J91" i="3"/>
  <c r="I91" i="3"/>
  <c r="N91" i="3" s="1"/>
  <c r="J10" i="60"/>
  <c r="J9" i="60"/>
  <c r="F25" i="36"/>
  <c r="C5" i="42"/>
  <c r="I188" i="3"/>
  <c r="N188" i="3" s="1"/>
  <c r="J188" i="3"/>
  <c r="J175" i="3"/>
  <c r="I175" i="3"/>
  <c r="N175" i="3" s="1"/>
  <c r="I168" i="3"/>
  <c r="N168" i="3" s="1"/>
  <c r="J168" i="3"/>
  <c r="J44" i="3"/>
  <c r="I44" i="3"/>
  <c r="N44" i="3" s="1"/>
  <c r="D12" i="41"/>
  <c r="J65" i="3"/>
  <c r="I65" i="3"/>
  <c r="N65" i="3" s="1"/>
  <c r="J98" i="3"/>
  <c r="I98" i="3"/>
  <c r="N98" i="3" s="1"/>
  <c r="J36" i="3"/>
  <c r="I36" i="3"/>
  <c r="N36" i="3" s="1"/>
  <c r="J124" i="3"/>
  <c r="I124" i="3"/>
  <c r="N124" i="3" s="1"/>
  <c r="D28" i="14"/>
  <c r="J140" i="3"/>
  <c r="I140" i="3"/>
  <c r="N140" i="3" s="1"/>
  <c r="J121" i="3"/>
  <c r="I121" i="3"/>
  <c r="N121" i="3" s="1"/>
  <c r="I130" i="3"/>
  <c r="N130" i="3" s="1"/>
  <c r="J130" i="3"/>
  <c r="J94" i="3"/>
  <c r="I94" i="3"/>
  <c r="N94" i="3" s="1"/>
  <c r="B19" i="31"/>
  <c r="I162" i="3"/>
  <c r="N162" i="3" s="1"/>
  <c r="J162" i="3"/>
  <c r="D52" i="18"/>
  <c r="D27" i="18"/>
  <c r="J125" i="3"/>
  <c r="I125" i="3"/>
  <c r="N125" i="3" s="1"/>
  <c r="I132" i="3"/>
  <c r="N132" i="3" s="1"/>
  <c r="J132" i="3"/>
  <c r="I14" i="3"/>
  <c r="N14" i="3" s="1"/>
  <c r="J14" i="3"/>
  <c r="I93" i="3"/>
  <c r="N93" i="3" s="1"/>
  <c r="J93" i="3"/>
  <c r="I114" i="3"/>
  <c r="N114" i="3" s="1"/>
  <c r="J114" i="3"/>
  <c r="H20" i="29"/>
  <c r="H21" i="29"/>
  <c r="J7" i="3"/>
  <c r="I7" i="3"/>
  <c r="N7" i="3" s="1"/>
  <c r="I46" i="3"/>
  <c r="N46" i="3" s="1"/>
  <c r="J46" i="3"/>
  <c r="I41" i="3"/>
  <c r="N41" i="3" s="1"/>
  <c r="J41" i="3"/>
  <c r="Y11" i="44"/>
  <c r="F11" i="44" s="1"/>
  <c r="G11" i="44" s="1"/>
  <c r="B14" i="59"/>
  <c r="D14" i="59" s="1"/>
  <c r="B10" i="59"/>
  <c r="D10" i="59" s="1"/>
  <c r="B16" i="59"/>
  <c r="D16" i="59" s="1"/>
  <c r="B15" i="59"/>
  <c r="D15" i="59" s="1"/>
  <c r="E17" i="61"/>
  <c r="C24" i="61" s="1"/>
  <c r="D24" i="61" s="1"/>
  <c r="E6" i="61"/>
  <c r="C21" i="61" s="1"/>
  <c r="H11" i="60"/>
  <c r="D10" i="60" s="1"/>
  <c r="D16" i="60" s="1"/>
  <c r="D17" i="60" s="1"/>
  <c r="D32" i="30"/>
  <c r="B18" i="41" s="1"/>
  <c r="B26" i="30"/>
  <c r="D26" i="30" s="1"/>
  <c r="D33" i="30"/>
  <c r="C18" i="41" s="1"/>
  <c r="C22" i="41" s="1"/>
  <c r="J31" i="3"/>
  <c r="I31" i="3"/>
  <c r="N31" i="3" s="1"/>
  <c r="I190" i="3"/>
  <c r="N190" i="3" s="1"/>
  <c r="J190" i="3"/>
  <c r="J179" i="3"/>
  <c r="I179" i="3"/>
  <c r="N179" i="3" s="1"/>
  <c r="D8" i="41"/>
  <c r="J77" i="3"/>
  <c r="I77" i="3"/>
  <c r="N77" i="3" s="1"/>
  <c r="B67" i="24"/>
  <c r="B70" i="24" s="1"/>
  <c r="J45" i="3"/>
  <c r="I45" i="3"/>
  <c r="N45" i="3" s="1"/>
  <c r="J131" i="3"/>
  <c r="I131" i="3"/>
  <c r="N131" i="3" s="1"/>
  <c r="J148" i="3"/>
  <c r="I148" i="3"/>
  <c r="N148" i="3" s="1"/>
  <c r="I143" i="3"/>
  <c r="N143" i="3" s="1"/>
  <c r="J143" i="3"/>
  <c r="B79" i="15"/>
  <c r="B82" i="15" s="1"/>
  <c r="K27" i="20"/>
  <c r="K30" i="20" s="1"/>
  <c r="D26" i="20"/>
  <c r="I52" i="3"/>
  <c r="N52" i="3" s="1"/>
  <c r="J52" i="3"/>
  <c r="I69" i="3"/>
  <c r="N69" i="3" s="1"/>
  <c r="J69" i="3"/>
  <c r="Y10" i="44"/>
  <c r="F10" i="44" s="1"/>
  <c r="G10" i="44" s="1"/>
  <c r="I142" i="3"/>
  <c r="N142" i="3" s="1"/>
  <c r="J142" i="3"/>
  <c r="J134" i="3"/>
  <c r="I134" i="3"/>
  <c r="N134" i="3" s="1"/>
  <c r="H3" i="29"/>
  <c r="C17" i="29" s="1"/>
  <c r="D17" i="29" s="1"/>
  <c r="E10" i="29"/>
  <c r="C16" i="29" s="1"/>
  <c r="D24" i="58"/>
  <c r="F19" i="39"/>
  <c r="J177" i="3"/>
  <c r="I177" i="3"/>
  <c r="N177" i="3" s="1"/>
  <c r="I127" i="3"/>
  <c r="N127" i="3" s="1"/>
  <c r="J127" i="3"/>
  <c r="J89" i="3"/>
  <c r="I89" i="3"/>
  <c r="N89" i="3" s="1"/>
  <c r="J67" i="3"/>
  <c r="I67" i="3"/>
  <c r="N67" i="3" s="1"/>
  <c r="J57" i="3"/>
  <c r="I57" i="3"/>
  <c r="N57" i="3" s="1"/>
  <c r="I6" i="43"/>
  <c r="H6" i="43"/>
  <c r="I144" i="3"/>
  <c r="N144" i="3" s="1"/>
  <c r="J144" i="3"/>
  <c r="D3" i="41"/>
  <c r="D69" i="16"/>
  <c r="D32" i="16"/>
  <c r="J82" i="3"/>
  <c r="I82" i="3"/>
  <c r="N82" i="3" s="1"/>
  <c r="D63" i="54"/>
  <c r="F19" i="54"/>
  <c r="D8" i="53"/>
  <c r="F19" i="52"/>
  <c r="D8" i="51"/>
  <c r="F19" i="50"/>
  <c r="F68" i="49"/>
  <c r="D8" i="49"/>
  <c r="F20" i="48"/>
  <c r="F68" i="47"/>
  <c r="D8" i="47"/>
  <c r="D19" i="54"/>
  <c r="F30" i="53"/>
  <c r="D19" i="52"/>
  <c r="F30" i="51"/>
  <c r="D19" i="50"/>
  <c r="D68" i="49"/>
  <c r="D20" i="48"/>
  <c r="D68" i="47"/>
  <c r="F52" i="54"/>
  <c r="D30" i="53"/>
  <c r="F41" i="52"/>
  <c r="D30" i="51"/>
  <c r="F41" i="50"/>
  <c r="F44" i="49"/>
  <c r="F44" i="48"/>
  <c r="F44" i="47"/>
  <c r="D52" i="54"/>
  <c r="F52" i="53"/>
  <c r="D41" i="52"/>
  <c r="F52" i="51"/>
  <c r="D41" i="50"/>
  <c r="D44" i="49"/>
  <c r="D44" i="48"/>
  <c r="D44" i="47"/>
  <c r="D52" i="53"/>
  <c r="F63" i="52"/>
  <c r="F8" i="54"/>
  <c r="D63" i="52"/>
  <c r="F8" i="52"/>
  <c r="D63" i="50"/>
  <c r="F8" i="50"/>
  <c r="D20" i="49"/>
  <c r="D68" i="48"/>
  <c r="F8" i="48"/>
  <c r="D20" i="47"/>
  <c r="F41" i="54"/>
  <c r="D8" i="54"/>
  <c r="F19" i="53"/>
  <c r="D8" i="52"/>
  <c r="F19" i="51"/>
  <c r="D8" i="50"/>
  <c r="D8" i="48"/>
  <c r="C12" i="58"/>
  <c r="D12" i="58" s="1"/>
  <c r="D27" i="34" s="1"/>
  <c r="F41" i="53"/>
  <c r="D30" i="52"/>
  <c r="F41" i="51"/>
  <c r="D30" i="50"/>
  <c r="D56" i="49"/>
  <c r="D32" i="48"/>
  <c r="D56" i="47"/>
  <c r="D63" i="53"/>
  <c r="D19" i="53"/>
  <c r="F8" i="53"/>
  <c r="D19" i="51"/>
  <c r="F8" i="51"/>
  <c r="F8" i="47"/>
  <c r="F30" i="52"/>
  <c r="F56" i="49"/>
  <c r="C12" i="59"/>
  <c r="D12" i="59" s="1"/>
  <c r="D32" i="49"/>
  <c r="D56" i="48"/>
  <c r="F30" i="50"/>
  <c r="F63" i="54"/>
  <c r="D41" i="53"/>
  <c r="F8" i="49"/>
  <c r="F30" i="54"/>
  <c r="F52" i="52"/>
  <c r="F63" i="51"/>
  <c r="D30" i="54"/>
  <c r="D52" i="52"/>
  <c r="D63" i="51"/>
  <c r="F56" i="47"/>
  <c r="D41" i="54"/>
  <c r="F63" i="50"/>
  <c r="F52" i="50"/>
  <c r="F32" i="47"/>
  <c r="F20" i="47"/>
  <c r="F63" i="53"/>
  <c r="F32" i="48"/>
  <c r="F32" i="49"/>
  <c r="F68" i="48"/>
  <c r="D52" i="51"/>
  <c r="F56" i="48"/>
  <c r="D32" i="47"/>
  <c r="F20" i="49"/>
  <c r="D52" i="50"/>
  <c r="D41" i="51"/>
  <c r="J181" i="3"/>
  <c r="I181" i="3"/>
  <c r="N181" i="3" s="1"/>
  <c r="J119" i="3"/>
  <c r="I119" i="3"/>
  <c r="N119" i="3" s="1"/>
  <c r="J136" i="3"/>
  <c r="I136" i="3"/>
  <c r="N136" i="3" s="1"/>
  <c r="I101" i="3"/>
  <c r="N101" i="3" s="1"/>
  <c r="J101" i="3"/>
  <c r="J53" i="3"/>
  <c r="I53" i="3"/>
  <c r="N53" i="3" s="1"/>
  <c r="I38" i="3"/>
  <c r="N38" i="3" s="1"/>
  <c r="J38" i="3"/>
  <c r="I64" i="3"/>
  <c r="N64" i="3" s="1"/>
  <c r="J64" i="3"/>
  <c r="D28" i="54"/>
  <c r="D39" i="54"/>
  <c r="D39" i="53"/>
  <c r="D39" i="51"/>
  <c r="D50" i="52"/>
  <c r="D50" i="50"/>
  <c r="D30" i="49"/>
  <c r="D54" i="48"/>
  <c r="D30" i="47"/>
  <c r="D61" i="54"/>
  <c r="D61" i="53"/>
  <c r="D61" i="51"/>
  <c r="D6" i="53"/>
  <c r="D6" i="51"/>
  <c r="D6" i="49"/>
  <c r="D6" i="47"/>
  <c r="D17" i="54"/>
  <c r="D17" i="52"/>
  <c r="D50" i="54"/>
  <c r="D28" i="53"/>
  <c r="D28" i="51"/>
  <c r="D39" i="52"/>
  <c r="D39" i="50"/>
  <c r="D42" i="49"/>
  <c r="D42" i="48"/>
  <c r="D42" i="47"/>
  <c r="D61" i="52"/>
  <c r="D61" i="50"/>
  <c r="D18" i="49"/>
  <c r="D66" i="48"/>
  <c r="D18" i="47"/>
  <c r="D6" i="54"/>
  <c r="D17" i="53"/>
  <c r="D17" i="51"/>
  <c r="D30" i="48"/>
  <c r="D28" i="52"/>
  <c r="D50" i="51"/>
  <c r="D66" i="49"/>
  <c r="D17" i="50"/>
  <c r="D54" i="49"/>
  <c r="D50" i="53"/>
  <c r="D28" i="50"/>
  <c r="D6" i="52"/>
  <c r="D6" i="48"/>
  <c r="D18" i="48"/>
  <c r="D54" i="47"/>
  <c r="D6" i="50"/>
  <c r="D66" i="47"/>
  <c r="J120" i="3"/>
  <c r="I120" i="3"/>
  <c r="N120" i="3" s="1"/>
  <c r="I112" i="3"/>
  <c r="N112" i="3" s="1"/>
  <c r="J112" i="3"/>
  <c r="J116" i="3"/>
  <c r="I116" i="3"/>
  <c r="N116" i="3" s="1"/>
  <c r="D20" i="54"/>
  <c r="C13" i="58"/>
  <c r="D13" i="58" s="1"/>
  <c r="D28" i="34" s="1"/>
  <c r="D31" i="54"/>
  <c r="F53" i="54"/>
  <c r="D31" i="53"/>
  <c r="F42" i="52"/>
  <c r="D31" i="51"/>
  <c r="F42" i="50"/>
  <c r="F45" i="49"/>
  <c r="F45" i="48"/>
  <c r="F45" i="47"/>
  <c r="D53" i="54"/>
  <c r="F53" i="53"/>
  <c r="D42" i="52"/>
  <c r="F53" i="51"/>
  <c r="D42" i="50"/>
  <c r="D45" i="49"/>
  <c r="D45" i="48"/>
  <c r="D45" i="47"/>
  <c r="D53" i="53"/>
  <c r="F64" i="52"/>
  <c r="D53" i="51"/>
  <c r="F64" i="50"/>
  <c r="F21" i="49"/>
  <c r="F69" i="48"/>
  <c r="F21" i="47"/>
  <c r="F9" i="54"/>
  <c r="D64" i="52"/>
  <c r="F9" i="52"/>
  <c r="D64" i="50"/>
  <c r="F9" i="50"/>
  <c r="D21" i="49"/>
  <c r="D69" i="48"/>
  <c r="F9" i="48"/>
  <c r="D21" i="47"/>
  <c r="F42" i="54"/>
  <c r="D9" i="54"/>
  <c r="F20" i="53"/>
  <c r="D9" i="52"/>
  <c r="D42" i="54"/>
  <c r="D20" i="53"/>
  <c r="F31" i="52"/>
  <c r="D20" i="51"/>
  <c r="F31" i="50"/>
  <c r="F57" i="49"/>
  <c r="F33" i="48"/>
  <c r="F57" i="47"/>
  <c r="C13" i="59"/>
  <c r="D13" i="59" s="1"/>
  <c r="F42" i="53"/>
  <c r="D31" i="52"/>
  <c r="F42" i="51"/>
  <c r="D31" i="50"/>
  <c r="D57" i="49"/>
  <c r="D33" i="48"/>
  <c r="D57" i="47"/>
  <c r="F31" i="54"/>
  <c r="F64" i="53"/>
  <c r="D53" i="52"/>
  <c r="F64" i="51"/>
  <c r="D53" i="50"/>
  <c r="D33" i="49"/>
  <c r="D57" i="48"/>
  <c r="D33" i="47"/>
  <c r="D20" i="52"/>
  <c r="F31" i="51"/>
  <c r="D9" i="50"/>
  <c r="D42" i="51"/>
  <c r="F69" i="49"/>
  <c r="F33" i="49"/>
  <c r="F57" i="48"/>
  <c r="F64" i="54"/>
  <c r="F20" i="54"/>
  <c r="D20" i="50"/>
  <c r="F9" i="49"/>
  <c r="D64" i="54"/>
  <c r="D42" i="53"/>
  <c r="D9" i="49"/>
  <c r="F53" i="52"/>
  <c r="D64" i="51"/>
  <c r="D9" i="48"/>
  <c r="F53" i="50"/>
  <c r="F69" i="47"/>
  <c r="F33" i="47"/>
  <c r="F21" i="48"/>
  <c r="D69" i="47"/>
  <c r="D9" i="53"/>
  <c r="F20" i="52"/>
  <c r="F20" i="51"/>
  <c r="D9" i="51"/>
  <c r="D9" i="47"/>
  <c r="D64" i="53"/>
  <c r="D21" i="48"/>
  <c r="F20" i="50"/>
  <c r="F31" i="53"/>
  <c r="F9" i="53"/>
  <c r="D69" i="49"/>
  <c r="F9" i="51"/>
  <c r="F9" i="47"/>
  <c r="E10" i="33"/>
  <c r="C16" i="33" s="1"/>
  <c r="H3" i="33"/>
  <c r="C17" i="33" s="1"/>
  <c r="D17" i="33" s="1"/>
  <c r="C18" i="33"/>
  <c r="D18" i="33" s="1"/>
  <c r="J138" i="3"/>
  <c r="I138" i="3"/>
  <c r="N138" i="3" s="1"/>
  <c r="H8" i="29"/>
  <c r="D22" i="29" s="1"/>
  <c r="I40" i="3"/>
  <c r="N40" i="3" s="1"/>
  <c r="J40" i="3"/>
  <c r="I173" i="3"/>
  <c r="N173" i="3" s="1"/>
  <c r="J173" i="3"/>
  <c r="D20" i="21"/>
  <c r="B39" i="21"/>
  <c r="B42" i="21" s="1"/>
  <c r="J100" i="3"/>
  <c r="I100" i="3"/>
  <c r="N100" i="3" s="1"/>
  <c r="D70" i="15"/>
  <c r="D36" i="15"/>
  <c r="J83" i="3"/>
  <c r="I83" i="3"/>
  <c r="N83" i="3" s="1"/>
  <c r="I26" i="3"/>
  <c r="N26" i="3" s="1"/>
  <c r="J26" i="3"/>
  <c r="J79" i="3"/>
  <c r="I79" i="3"/>
  <c r="N79" i="3" s="1"/>
  <c r="J104" i="3"/>
  <c r="I104" i="3"/>
  <c r="N104" i="3" s="1"/>
  <c r="Y5" i="44"/>
  <c r="F5" i="44" s="1"/>
  <c r="G5" i="44" s="1"/>
  <c r="Y7" i="44"/>
  <c r="F7" i="44" s="1"/>
  <c r="G7" i="44" s="1"/>
  <c r="D45" i="24"/>
  <c r="D15" i="58"/>
  <c r="D30" i="34" s="1"/>
  <c r="B30" i="34"/>
  <c r="B13" i="32"/>
  <c r="E12" i="32"/>
  <c r="E13" i="32" s="1"/>
  <c r="E14" i="32"/>
  <c r="E15" i="32" s="1"/>
  <c r="B26" i="32" s="1"/>
  <c r="D26" i="32" s="1"/>
  <c r="D25" i="32"/>
  <c r="B12" i="32"/>
  <c r="C25" i="32"/>
  <c r="J155" i="3"/>
  <c r="I155" i="3"/>
  <c r="N155" i="3" s="1"/>
  <c r="D14" i="58"/>
  <c r="D29" i="34" s="1"/>
  <c r="B29" i="34"/>
  <c r="E20" i="26"/>
  <c r="B64" i="26" s="1"/>
  <c r="E39" i="26"/>
  <c r="B63" i="26"/>
  <c r="B66" i="26" s="1"/>
  <c r="J171" i="3"/>
  <c r="I171" i="3"/>
  <c r="N171" i="3" s="1"/>
  <c r="I110" i="3"/>
  <c r="N110" i="3" s="1"/>
  <c r="J110" i="3"/>
  <c r="J33" i="3"/>
  <c r="I33" i="3"/>
  <c r="N33" i="3" s="1"/>
  <c r="R2" i="30"/>
  <c r="T2" i="30"/>
  <c r="S2" i="30"/>
  <c r="B61" i="18"/>
  <c r="B64" i="18" s="1"/>
  <c r="D65" i="19"/>
  <c r="D33" i="19"/>
  <c r="J151" i="3"/>
  <c r="I151" i="3"/>
  <c r="N151" i="3" s="1"/>
  <c r="D52" i="23"/>
  <c r="D29" i="23"/>
  <c r="B80" i="16"/>
  <c r="I102" i="3"/>
  <c r="N102" i="3" s="1"/>
  <c r="J102" i="3"/>
  <c r="J72" i="3"/>
  <c r="I72" i="3"/>
  <c r="N72" i="3" s="1"/>
  <c r="I50" i="3"/>
  <c r="N50" i="3" s="1"/>
  <c r="J50" i="3"/>
  <c r="I76" i="3"/>
  <c r="N76" i="3" s="1"/>
  <c r="J76" i="3"/>
  <c r="H10" i="31"/>
  <c r="H11" i="31" s="1"/>
  <c r="H8" i="43"/>
  <c r="I8" i="43"/>
  <c r="J95" i="3"/>
  <c r="I95" i="3"/>
  <c r="N95" i="3" s="1"/>
  <c r="J128" i="3"/>
  <c r="I128" i="3"/>
  <c r="N128" i="3" s="1"/>
  <c r="J133" i="3"/>
  <c r="I133" i="3"/>
  <c r="N133" i="3" s="1"/>
  <c r="J139" i="3"/>
  <c r="I139" i="3"/>
  <c r="N139" i="3" s="1"/>
  <c r="J70" i="3"/>
  <c r="I70" i="3"/>
  <c r="N70" i="3" s="1"/>
  <c r="J117" i="3"/>
  <c r="I117" i="3"/>
  <c r="N117" i="3" s="1"/>
  <c r="H9" i="44"/>
  <c r="I9" i="44"/>
  <c r="C7" i="42"/>
  <c r="F28" i="38"/>
  <c r="F25" i="38"/>
  <c r="J106" i="3"/>
  <c r="I106" i="3"/>
  <c r="N106" i="3" s="1"/>
  <c r="I160" i="3"/>
  <c r="N160" i="3" s="1"/>
  <c r="J160" i="3"/>
  <c r="J146" i="3"/>
  <c r="I146" i="3"/>
  <c r="N146" i="3" s="1"/>
  <c r="J43" i="3"/>
  <c r="I43" i="3"/>
  <c r="N43" i="3" s="1"/>
  <c r="B16" i="41"/>
  <c r="D16" i="41" s="1"/>
  <c r="D25" i="28"/>
  <c r="D20" i="59"/>
  <c r="D19" i="59"/>
  <c r="L4" i="60"/>
  <c r="Y8" i="44"/>
  <c r="F8" i="44" s="1"/>
  <c r="G8" i="44" s="1"/>
  <c r="F27" i="37"/>
  <c r="C6" i="42"/>
  <c r="F30" i="37"/>
  <c r="D20" i="28"/>
  <c r="B38" i="28"/>
  <c r="B39" i="28" s="1"/>
  <c r="B78" i="16"/>
  <c r="B81" i="16" s="1"/>
  <c r="B25" i="34"/>
  <c r="P14" i="46"/>
  <c r="D14" i="46" s="1"/>
  <c r="E14" i="46" s="1"/>
  <c r="F14" i="46" s="1"/>
  <c r="G14" i="46" s="1"/>
  <c r="H14" i="46" s="1"/>
  <c r="H21" i="33"/>
  <c r="H23" i="33" s="1"/>
  <c r="D28" i="33" s="1"/>
  <c r="H20" i="33"/>
  <c r="D20" i="33"/>
  <c r="J19" i="3"/>
  <c r="I19" i="3"/>
  <c r="N19" i="3" s="1"/>
  <c r="J153" i="3"/>
  <c r="I153" i="3"/>
  <c r="N153" i="3" s="1"/>
  <c r="P12" i="46"/>
  <c r="D12" i="46" s="1"/>
  <c r="E12" i="46" s="1"/>
  <c r="F12" i="46" s="1"/>
  <c r="G12" i="46" s="1"/>
  <c r="H12" i="46" s="1"/>
  <c r="E14" i="33"/>
  <c r="H10" i="43"/>
  <c r="H7" i="43"/>
  <c r="J21" i="3"/>
  <c r="I21" i="3"/>
  <c r="N21" i="3" s="1"/>
  <c r="I186" i="3"/>
  <c r="N186" i="3" s="1"/>
  <c r="J186" i="3"/>
  <c r="Q3" i="30"/>
  <c r="P4" i="30"/>
  <c r="I164" i="3"/>
  <c r="N164" i="3" s="1"/>
  <c r="J164" i="3"/>
  <c r="J96" i="3"/>
  <c r="I96" i="3"/>
  <c r="N96" i="3" s="1"/>
  <c r="I62" i="3"/>
  <c r="N62" i="3" s="1"/>
  <c r="J62" i="3"/>
  <c r="I88" i="3"/>
  <c r="N88" i="3" s="1"/>
  <c r="J88" i="3"/>
  <c r="D52" i="31"/>
  <c r="D35" i="31" s="1"/>
  <c r="D51" i="31"/>
  <c r="D34" i="31" s="1"/>
  <c r="I5" i="43"/>
  <c r="H5" i="43"/>
  <c r="J137" i="3"/>
  <c r="I137" i="3"/>
  <c r="N137" i="3" s="1"/>
  <c r="J113" i="3"/>
  <c r="I113" i="3"/>
  <c r="N113" i="3" s="1"/>
  <c r="J115" i="3"/>
  <c r="I115" i="3"/>
  <c r="N115" i="3" s="1"/>
  <c r="E8" i="42" l="1"/>
  <c r="F21" i="39"/>
  <c r="F20" i="39"/>
  <c r="D8" i="42" s="1"/>
  <c r="C8" i="42"/>
  <c r="D20" i="58"/>
  <c r="B16" i="40"/>
  <c r="D67" i="20"/>
  <c r="D28" i="20"/>
  <c r="D27" i="20"/>
  <c r="F26" i="47"/>
  <c r="F74" i="48"/>
  <c r="D26" i="47"/>
  <c r="C5" i="55" s="1"/>
  <c r="D26" i="48"/>
  <c r="C13" i="55" s="1"/>
  <c r="F74" i="49"/>
  <c r="D38" i="49"/>
  <c r="C22" i="55" s="1"/>
  <c r="D46" i="53"/>
  <c r="C55" i="55" s="1"/>
  <c r="F62" i="49"/>
  <c r="I8" i="44"/>
  <c r="H8" i="44"/>
  <c r="D46" i="52"/>
  <c r="C47" i="55" s="1"/>
  <c r="F35" i="54"/>
  <c r="E5" i="42"/>
  <c r="D5" i="42"/>
  <c r="F26" i="36"/>
  <c r="D26" i="49"/>
  <c r="C21" i="55" s="1"/>
  <c r="D74" i="47"/>
  <c r="C9" i="55" s="1"/>
  <c r="F57" i="52"/>
  <c r="D14" i="48"/>
  <c r="C12" i="55" s="1"/>
  <c r="F26" i="49"/>
  <c r="D68" i="50"/>
  <c r="C33" i="55" s="1"/>
  <c r="D74" i="49"/>
  <c r="C25" i="55" s="1"/>
  <c r="F24" i="50"/>
  <c r="D57" i="50"/>
  <c r="C32" i="55" s="1"/>
  <c r="D35" i="54"/>
  <c r="C62" i="55" s="1"/>
  <c r="F35" i="50"/>
  <c r="I5" i="44"/>
  <c r="H5" i="44"/>
  <c r="H23" i="29"/>
  <c r="D28" i="29" s="1"/>
  <c r="D29" i="18"/>
  <c r="B10" i="40"/>
  <c r="D39" i="18"/>
  <c r="D28" i="18"/>
  <c r="F68" i="50"/>
  <c r="D13" i="50"/>
  <c r="C28" i="55" s="1"/>
  <c r="D46" i="54"/>
  <c r="C63" i="55" s="1"/>
  <c r="D24" i="50"/>
  <c r="C29" i="55" s="1"/>
  <c r="D13" i="51"/>
  <c r="C36" i="55" s="1"/>
  <c r="F68" i="51"/>
  <c r="D62" i="47"/>
  <c r="C8" i="55" s="1"/>
  <c r="D24" i="51"/>
  <c r="C37" i="55" s="1"/>
  <c r="D17" i="55"/>
  <c r="I17" i="55"/>
  <c r="D38" i="48"/>
  <c r="C14" i="55" s="1"/>
  <c r="F35" i="52"/>
  <c r="B5" i="40"/>
  <c r="D30" i="14"/>
  <c r="D29" i="14"/>
  <c r="D46" i="14"/>
  <c r="D13" i="54"/>
  <c r="C60" i="55" s="1"/>
  <c r="F46" i="54"/>
  <c r="F13" i="50"/>
  <c r="D50" i="47"/>
  <c r="C7" i="55" s="1"/>
  <c r="D24" i="52"/>
  <c r="C45" i="55" s="1"/>
  <c r="D13" i="53"/>
  <c r="C52" i="55" s="1"/>
  <c r="F68" i="53"/>
  <c r="D62" i="49"/>
  <c r="C24" i="55" s="1"/>
  <c r="D24" i="53"/>
  <c r="C53" i="55" s="1"/>
  <c r="H11" i="61"/>
  <c r="B23" i="61"/>
  <c r="D23" i="61" s="1"/>
  <c r="C13" i="40"/>
  <c r="D54" i="24"/>
  <c r="B11" i="40"/>
  <c r="D35" i="19"/>
  <c r="D45" i="19"/>
  <c r="D34" i="19"/>
  <c r="E8" i="33"/>
  <c r="B16" i="33" s="1"/>
  <c r="H22" i="33"/>
  <c r="F57" i="53"/>
  <c r="B6" i="40"/>
  <c r="D38" i="15"/>
  <c r="D37" i="15"/>
  <c r="D46" i="15"/>
  <c r="D18" i="41"/>
  <c r="I20" i="55"/>
  <c r="D20" i="55"/>
  <c r="I7" i="44"/>
  <c r="H7" i="44"/>
  <c r="E8" i="29"/>
  <c r="B16" i="29" s="1"/>
  <c r="H22" i="29"/>
  <c r="D57" i="51"/>
  <c r="C40" i="55" s="1"/>
  <c r="D57" i="52"/>
  <c r="C48" i="55" s="1"/>
  <c r="D22" i="28"/>
  <c r="D23" i="28" s="1"/>
  <c r="B21" i="40"/>
  <c r="D21" i="28"/>
  <c r="B8" i="40"/>
  <c r="D39" i="23"/>
  <c r="D30" i="23"/>
  <c r="D31" i="23" s="1"/>
  <c r="D32" i="23" s="1"/>
  <c r="D33" i="23" s="1"/>
  <c r="B7" i="40"/>
  <c r="D34" i="16"/>
  <c r="D33" i="16"/>
  <c r="D43" i="16"/>
  <c r="D21" i="59"/>
  <c r="D22" i="59" s="1"/>
  <c r="B12" i="40"/>
  <c r="D43" i="25"/>
  <c r="D32" i="25"/>
  <c r="D33" i="25"/>
  <c r="D68" i="52"/>
  <c r="C49" i="55" s="1"/>
  <c r="F50" i="47"/>
  <c r="F46" i="52"/>
  <c r="D50" i="48"/>
  <c r="C15" i="55" s="1"/>
  <c r="F35" i="53"/>
  <c r="F24" i="54"/>
  <c r="F68" i="54"/>
  <c r="D35" i="50"/>
  <c r="C30" i="55" s="1"/>
  <c r="D39" i="24"/>
  <c r="D38" i="24"/>
  <c r="D57" i="54"/>
  <c r="C64" i="55" s="1"/>
  <c r="F38" i="48"/>
  <c r="D4" i="42"/>
  <c r="E4" i="42"/>
  <c r="F28" i="35"/>
  <c r="F24" i="53"/>
  <c r="F68" i="52"/>
  <c r="D35" i="53"/>
  <c r="C54" i="55" s="1"/>
  <c r="D50" i="49"/>
  <c r="C23" i="55" s="1"/>
  <c r="D24" i="54"/>
  <c r="C61" i="55" s="1"/>
  <c r="D68" i="51"/>
  <c r="C41" i="55" s="1"/>
  <c r="F38" i="47"/>
  <c r="F46" i="51"/>
  <c r="D32" i="61"/>
  <c r="B26" i="61"/>
  <c r="D26" i="61" s="1"/>
  <c r="D33" i="61"/>
  <c r="I65" i="55"/>
  <c r="D65" i="55"/>
  <c r="E40" i="26"/>
  <c r="E41" i="26" s="1"/>
  <c r="E42" i="26" s="1"/>
  <c r="E43" i="26" s="1"/>
  <c r="B17" i="40"/>
  <c r="E49" i="26"/>
  <c r="F13" i="51"/>
  <c r="B42" i="17"/>
  <c r="B45" i="17" s="1"/>
  <c r="D23" i="17"/>
  <c r="C21" i="40"/>
  <c r="D26" i="28"/>
  <c r="D21" i="40" s="1"/>
  <c r="D27" i="28"/>
  <c r="E21" i="40" s="1"/>
  <c r="D13" i="52"/>
  <c r="C44" i="55" s="1"/>
  <c r="F24" i="52"/>
  <c r="B19" i="40"/>
  <c r="D28" i="21"/>
  <c r="D21" i="21"/>
  <c r="D22" i="21" s="1"/>
  <c r="D23" i="21" s="1"/>
  <c r="D24" i="21" s="1"/>
  <c r="B22" i="41"/>
  <c r="H10" i="44"/>
  <c r="I10" i="44"/>
  <c r="I11" i="44"/>
  <c r="H11" i="44"/>
  <c r="D19" i="31"/>
  <c r="D36" i="31" s="1"/>
  <c r="P4" i="61"/>
  <c r="Q3" i="61"/>
  <c r="F14" i="48"/>
  <c r="F46" i="50"/>
  <c r="F50" i="48"/>
  <c r="D46" i="50"/>
  <c r="C31" i="55" s="1"/>
  <c r="F57" i="54"/>
  <c r="F13" i="53"/>
  <c r="F62" i="48"/>
  <c r="D35" i="52"/>
  <c r="C46" i="55" s="1"/>
  <c r="C20" i="40"/>
  <c r="D25" i="27"/>
  <c r="E20" i="40" s="1"/>
  <c r="D24" i="27"/>
  <c r="D20" i="40" s="1"/>
  <c r="B14" i="40"/>
  <c r="D35" i="22"/>
  <c r="D25" i="22"/>
  <c r="D26" i="22" s="1"/>
  <c r="D27" i="22" s="1"/>
  <c r="D28" i="22" s="1"/>
  <c r="D23" i="29"/>
  <c r="I6" i="55"/>
  <c r="D6" i="55"/>
  <c r="D46" i="51"/>
  <c r="C39" i="55" s="1"/>
  <c r="E7" i="42"/>
  <c r="D7" i="42"/>
  <c r="F26" i="38"/>
  <c r="D16" i="55"/>
  <c r="I16" i="55"/>
  <c r="F35" i="51"/>
  <c r="H13" i="31"/>
  <c r="P5" i="30"/>
  <c r="Q4" i="30"/>
  <c r="T3" i="30"/>
  <c r="S3" i="30"/>
  <c r="R3" i="30"/>
  <c r="E6" i="42"/>
  <c r="D6" i="42"/>
  <c r="F28" i="37"/>
  <c r="C27" i="32"/>
  <c r="B27" i="32"/>
  <c r="D27" i="32" s="1"/>
  <c r="D30" i="32" s="1"/>
  <c r="D21" i="41"/>
  <c r="R2" i="61"/>
  <c r="T2" i="61"/>
  <c r="S2" i="61"/>
  <c r="D35" i="51"/>
  <c r="C38" i="55" s="1"/>
  <c r="D57" i="53"/>
  <c r="C56" i="55" s="1"/>
  <c r="F13" i="54"/>
  <c r="F57" i="51"/>
  <c r="D14" i="47"/>
  <c r="C4" i="55" s="1"/>
  <c r="D68" i="53"/>
  <c r="C57" i="55" s="1"/>
  <c r="F38" i="49"/>
  <c r="F46" i="53"/>
  <c r="I6" i="44"/>
  <c r="H6" i="44"/>
  <c r="B26" i="40" l="1"/>
  <c r="D38" i="32"/>
  <c r="D34" i="32"/>
  <c r="I41" i="55"/>
  <c r="D41" i="55"/>
  <c r="D29" i="20"/>
  <c r="D30" i="20"/>
  <c r="T4" i="30"/>
  <c r="S4" i="30"/>
  <c r="R4" i="30"/>
  <c r="D23" i="40"/>
  <c r="C23" i="40"/>
  <c r="I31" i="55"/>
  <c r="D31" i="55"/>
  <c r="D61" i="55"/>
  <c r="I61" i="55"/>
  <c r="D30" i="55"/>
  <c r="I30" i="55"/>
  <c r="D24" i="59"/>
  <c r="D23" i="59"/>
  <c r="I40" i="55"/>
  <c r="D40" i="55"/>
  <c r="I24" i="55"/>
  <c r="D24" i="55"/>
  <c r="I25" i="55"/>
  <c r="D25" i="55"/>
  <c r="C16" i="40"/>
  <c r="D68" i="20"/>
  <c r="D64" i="55"/>
  <c r="I64" i="55"/>
  <c r="I56" i="55"/>
  <c r="D56" i="55"/>
  <c r="D32" i="55"/>
  <c r="I32" i="55"/>
  <c r="J6" i="55"/>
  <c r="L6" i="55" s="1"/>
  <c r="C7" i="40"/>
  <c r="D44" i="16"/>
  <c r="D27" i="33"/>
  <c r="D16" i="33"/>
  <c r="D23" i="33" s="1"/>
  <c r="D29" i="33"/>
  <c r="C10" i="40"/>
  <c r="D40" i="18"/>
  <c r="I52" i="55"/>
  <c r="D52" i="55"/>
  <c r="J17" i="55"/>
  <c r="L17" i="55" s="1"/>
  <c r="D21" i="58"/>
  <c r="D17" i="34"/>
  <c r="C14" i="40"/>
  <c r="D36" i="22"/>
  <c r="D35" i="16"/>
  <c r="D36" i="16"/>
  <c r="I45" i="55"/>
  <c r="D45" i="55"/>
  <c r="D30" i="18"/>
  <c r="D31" i="18"/>
  <c r="D12" i="55"/>
  <c r="I12" i="55"/>
  <c r="I55" i="55"/>
  <c r="D55" i="55"/>
  <c r="D33" i="17"/>
  <c r="D25" i="17"/>
  <c r="D24" i="17"/>
  <c r="I22" i="55"/>
  <c r="D22" i="55"/>
  <c r="D31" i="14"/>
  <c r="D32" i="14"/>
  <c r="I53" i="55"/>
  <c r="D53" i="55"/>
  <c r="C17" i="40"/>
  <c r="E50" i="26"/>
  <c r="S3" i="61"/>
  <c r="R3" i="61"/>
  <c r="T3" i="61"/>
  <c r="I15" i="55"/>
  <c r="D15" i="55"/>
  <c r="I7" i="55"/>
  <c r="D7" i="55"/>
  <c r="P5" i="61"/>
  <c r="Q4" i="61"/>
  <c r="L65" i="55"/>
  <c r="J65" i="55"/>
  <c r="D37" i="19"/>
  <c r="D36" i="19"/>
  <c r="I8" i="55"/>
  <c r="D8" i="55"/>
  <c r="I9" i="55"/>
  <c r="D9" i="55"/>
  <c r="C8" i="40"/>
  <c r="D40" i="23"/>
  <c r="J20" i="55"/>
  <c r="L20" i="55"/>
  <c r="I21" i="55"/>
  <c r="D21" i="55"/>
  <c r="I13" i="55"/>
  <c r="D13" i="55"/>
  <c r="I39" i="55"/>
  <c r="D39" i="55"/>
  <c r="I63" i="55"/>
  <c r="D63" i="55"/>
  <c r="D40" i="15"/>
  <c r="D39" i="15"/>
  <c r="D48" i="55"/>
  <c r="I48" i="55"/>
  <c r="D47" i="55"/>
  <c r="I47" i="55"/>
  <c r="I23" i="55"/>
  <c r="D23" i="55"/>
  <c r="D33" i="55"/>
  <c r="I33" i="55"/>
  <c r="I54" i="55"/>
  <c r="D54" i="55"/>
  <c r="D44" i="55"/>
  <c r="I44" i="55"/>
  <c r="D46" i="19"/>
  <c r="C11" i="40"/>
  <c r="D25" i="40"/>
  <c r="C25" i="40"/>
  <c r="E25" i="40" s="1"/>
  <c r="B25" i="40"/>
  <c r="D37" i="31"/>
  <c r="D47" i="31"/>
  <c r="D4" i="55"/>
  <c r="I4" i="55"/>
  <c r="D49" i="55"/>
  <c r="I49" i="55"/>
  <c r="D13" i="40"/>
  <c r="D55" i="24"/>
  <c r="E13" i="40" s="1"/>
  <c r="I60" i="55"/>
  <c r="D60" i="55"/>
  <c r="D36" i="55"/>
  <c r="I36" i="55"/>
  <c r="I5" i="55"/>
  <c r="D5" i="55"/>
  <c r="I62" i="55"/>
  <c r="D62" i="55"/>
  <c r="C12" i="40"/>
  <c r="D44" i="25"/>
  <c r="I28" i="55"/>
  <c r="D28" i="55"/>
  <c r="I38" i="55"/>
  <c r="D38" i="55"/>
  <c r="Q5" i="30"/>
  <c r="P6" i="30"/>
  <c r="D29" i="21"/>
  <c r="D19" i="40" s="1"/>
  <c r="C19" i="40"/>
  <c r="D30" i="21"/>
  <c r="E19" i="40" s="1"/>
  <c r="D16" i="29"/>
  <c r="D20" i="29" s="1"/>
  <c r="D27" i="29"/>
  <c r="D29" i="29"/>
  <c r="D14" i="55"/>
  <c r="I14" i="55"/>
  <c r="J16" i="55"/>
  <c r="L16" i="55" s="1"/>
  <c r="I37" i="55"/>
  <c r="D37" i="55"/>
  <c r="D57" i="55"/>
  <c r="I57" i="55"/>
  <c r="I46" i="55"/>
  <c r="D46" i="55"/>
  <c r="D34" i="25"/>
  <c r="D35" i="25"/>
  <c r="C6" i="40"/>
  <c r="D47" i="15"/>
  <c r="C5" i="40"/>
  <c r="D47" i="14"/>
  <c r="I29" i="55"/>
  <c r="D29" i="55"/>
  <c r="J15" i="55" l="1"/>
  <c r="L15" i="55" s="1"/>
  <c r="J56" i="55"/>
  <c r="L56" i="55" s="1"/>
  <c r="J57" i="55"/>
  <c r="L57" i="55"/>
  <c r="D14" i="40"/>
  <c r="D37" i="22"/>
  <c r="E14" i="40" s="1"/>
  <c r="B27" i="40"/>
  <c r="D25" i="33"/>
  <c r="D24" i="33"/>
  <c r="J64" i="55"/>
  <c r="L64" i="55" s="1"/>
  <c r="J30" i="55"/>
  <c r="L30" i="55" s="1"/>
  <c r="J5" i="55"/>
  <c r="L5" i="55" s="1"/>
  <c r="D27" i="17"/>
  <c r="D26" i="17"/>
  <c r="P7" i="30"/>
  <c r="Q6" i="30"/>
  <c r="D7" i="40"/>
  <c r="D45" i="16"/>
  <c r="E7" i="40" s="1"/>
  <c r="J37" i="55"/>
  <c r="L37" i="55" s="1"/>
  <c r="J47" i="55"/>
  <c r="L47" i="55" s="1"/>
  <c r="D17" i="40"/>
  <c r="E51" i="26"/>
  <c r="E17" i="40" s="1"/>
  <c r="J55" i="55"/>
  <c r="L55" i="55" s="1"/>
  <c r="D22" i="58"/>
  <c r="D23" i="58"/>
  <c r="J41" i="55"/>
  <c r="L41" i="55"/>
  <c r="L25" i="55"/>
  <c r="J25" i="55"/>
  <c r="J31" i="55"/>
  <c r="L31" i="55"/>
  <c r="B29" i="40"/>
  <c r="D18" i="34"/>
  <c r="D5" i="40"/>
  <c r="D48" i="14"/>
  <c r="E5" i="40" s="1"/>
  <c r="J14" i="55"/>
  <c r="L14" i="55"/>
  <c r="J54" i="55"/>
  <c r="L54" i="55" s="1"/>
  <c r="L33" i="55"/>
  <c r="J33" i="55"/>
  <c r="J8" i="55"/>
  <c r="L8" i="55" s="1"/>
  <c r="J36" i="55"/>
  <c r="L36" i="55" s="1"/>
  <c r="J13" i="55"/>
  <c r="L13" i="55" s="1"/>
  <c r="J61" i="55"/>
  <c r="L61" i="55" s="1"/>
  <c r="S5" i="30"/>
  <c r="R5" i="30"/>
  <c r="T5" i="30"/>
  <c r="J12" i="55"/>
  <c r="L12" i="55" s="1"/>
  <c r="T4" i="61"/>
  <c r="S4" i="61"/>
  <c r="R4" i="61"/>
  <c r="J28" i="55"/>
  <c r="L28" i="55"/>
  <c r="D8" i="40"/>
  <c r="D41" i="23"/>
  <c r="E8" i="40" s="1"/>
  <c r="Q5" i="61"/>
  <c r="P6" i="61"/>
  <c r="L52" i="55"/>
  <c r="J52" i="55"/>
  <c r="J24" i="55"/>
  <c r="L24" i="55"/>
  <c r="C26" i="40"/>
  <c r="D36" i="32"/>
  <c r="E26" i="40" s="1"/>
  <c r="D35" i="32"/>
  <c r="D26" i="40" s="1"/>
  <c r="B23" i="40"/>
  <c r="D21" i="29"/>
  <c r="D24" i="29" s="1"/>
  <c r="E23" i="40" s="1"/>
  <c r="J4" i="55"/>
  <c r="L4" i="55" s="1"/>
  <c r="J9" i="55"/>
  <c r="L9" i="55" s="1"/>
  <c r="L22" i="55"/>
  <c r="J22" i="55"/>
  <c r="J62" i="55"/>
  <c r="L62" i="55"/>
  <c r="J23" i="55"/>
  <c r="L23" i="55" s="1"/>
  <c r="D16" i="40"/>
  <c r="D69" i="20"/>
  <c r="E16" i="40" s="1"/>
  <c r="J38" i="55"/>
  <c r="L38" i="55" s="1"/>
  <c r="D11" i="40"/>
  <c r="D47" i="19"/>
  <c r="E11" i="40" s="1"/>
  <c r="D12" i="40"/>
  <c r="D45" i="25"/>
  <c r="E12" i="40" s="1"/>
  <c r="J49" i="55"/>
  <c r="L49" i="55" s="1"/>
  <c r="J32" i="55"/>
  <c r="L32" i="55" s="1"/>
  <c r="L63" i="55"/>
  <c r="J63" i="55"/>
  <c r="J46" i="55"/>
  <c r="L46" i="55"/>
  <c r="J39" i="55"/>
  <c r="L39" i="55"/>
  <c r="L29" i="55"/>
  <c r="J29" i="55"/>
  <c r="J21" i="55"/>
  <c r="L21" i="55" s="1"/>
  <c r="J60" i="55"/>
  <c r="L60" i="55" s="1"/>
  <c r="L48" i="55"/>
  <c r="J48" i="55"/>
  <c r="D6" i="40"/>
  <c r="D48" i="15"/>
  <c r="E6" i="40" s="1"/>
  <c r="J53" i="55"/>
  <c r="L53" i="55" s="1"/>
  <c r="L44" i="55"/>
  <c r="J44" i="55"/>
  <c r="J7" i="55"/>
  <c r="L7" i="55" s="1"/>
  <c r="J45" i="55"/>
  <c r="L45" i="55"/>
  <c r="D10" i="40"/>
  <c r="D41" i="18"/>
  <c r="E10" i="40" s="1"/>
  <c r="J40" i="55"/>
  <c r="L40" i="55" s="1"/>
  <c r="P8" i="30" l="1"/>
  <c r="Q7" i="30"/>
  <c r="T5" i="61"/>
  <c r="S5" i="61"/>
  <c r="R5" i="61"/>
  <c r="D27" i="40"/>
  <c r="C27" i="40"/>
  <c r="D26" i="33"/>
  <c r="D19" i="34"/>
  <c r="D20" i="34"/>
  <c r="Q6" i="61"/>
  <c r="P7" i="61"/>
  <c r="T6" i="30"/>
  <c r="S6" i="30"/>
  <c r="R6" i="30"/>
  <c r="Q7" i="61" l="1"/>
  <c r="P8" i="61"/>
  <c r="S7" i="30"/>
  <c r="T7" i="30"/>
  <c r="R7" i="30"/>
  <c r="P9" i="30"/>
  <c r="Q8" i="30"/>
  <c r="S6" i="61"/>
  <c r="R6" i="61"/>
  <c r="T6" i="61"/>
  <c r="E29" i="40"/>
  <c r="D29" i="40"/>
  <c r="C29" i="40"/>
  <c r="S8" i="30" l="1"/>
  <c r="T8" i="30"/>
  <c r="R8" i="30"/>
  <c r="Q9" i="30"/>
  <c r="P10" i="30"/>
  <c r="Q8" i="61"/>
  <c r="P9" i="61"/>
  <c r="T7" i="61"/>
  <c r="S7" i="61"/>
  <c r="R7" i="61"/>
  <c r="P10" i="61" l="1"/>
  <c r="Q9" i="61"/>
  <c r="S9" i="30"/>
  <c r="R9" i="30"/>
  <c r="T9" i="30"/>
  <c r="T8" i="61"/>
  <c r="S8" i="61"/>
  <c r="R8" i="61"/>
  <c r="P11" i="30"/>
  <c r="Q10" i="30"/>
  <c r="Q11" i="30" l="1"/>
  <c r="P12" i="30"/>
  <c r="T9" i="61"/>
  <c r="S9" i="61"/>
  <c r="R9" i="61"/>
  <c r="R10" i="30"/>
  <c r="S10" i="30"/>
  <c r="T10" i="30"/>
  <c r="Q10" i="61"/>
  <c r="P11" i="61"/>
  <c r="T10" i="61" l="1"/>
  <c r="S10" i="61"/>
  <c r="R10" i="61"/>
  <c r="Q11" i="61"/>
  <c r="P12" i="61"/>
  <c r="Q12" i="30"/>
  <c r="P13" i="30"/>
  <c r="T11" i="30"/>
  <c r="S11" i="30"/>
  <c r="R11" i="30"/>
  <c r="P13" i="61" l="1"/>
  <c r="Q12" i="61"/>
  <c r="P14" i="30"/>
  <c r="Q13" i="30"/>
  <c r="T12" i="30"/>
  <c r="S12" i="30"/>
  <c r="R12" i="30"/>
  <c r="S11" i="61"/>
  <c r="T11" i="61"/>
  <c r="R11" i="61"/>
  <c r="S13" i="30" l="1"/>
  <c r="T13" i="30"/>
  <c r="R13" i="30"/>
  <c r="Q14" i="30"/>
  <c r="P15" i="30"/>
  <c r="T12" i="61"/>
  <c r="S12" i="61"/>
  <c r="R12" i="61"/>
  <c r="Q13" i="61"/>
  <c r="P14" i="61"/>
  <c r="Q14" i="61" l="1"/>
  <c r="P15" i="61"/>
  <c r="T14" i="30"/>
  <c r="R14" i="30"/>
  <c r="S14" i="30"/>
  <c r="S13" i="61"/>
  <c r="R13" i="61"/>
  <c r="T13" i="61"/>
  <c r="P16" i="30"/>
  <c r="Q15" i="30"/>
  <c r="T15" i="30" l="1"/>
  <c r="S15" i="30"/>
  <c r="R15" i="30"/>
  <c r="P17" i="30"/>
  <c r="Q16" i="30"/>
  <c r="P16" i="61"/>
  <c r="Q15" i="61"/>
  <c r="S14" i="61"/>
  <c r="T14" i="61"/>
  <c r="R14" i="61"/>
  <c r="T15" i="61" l="1"/>
  <c r="S15" i="61"/>
  <c r="R15" i="61"/>
  <c r="P17" i="61"/>
  <c r="Q16" i="61"/>
  <c r="T16" i="30"/>
  <c r="R16" i="30"/>
  <c r="S16" i="30"/>
  <c r="P18" i="30"/>
  <c r="Q17" i="30"/>
  <c r="P19" i="30" l="1"/>
  <c r="Q18" i="30"/>
  <c r="T16" i="61"/>
  <c r="S16" i="61"/>
  <c r="R16" i="61"/>
  <c r="T17" i="30"/>
  <c r="S17" i="30"/>
  <c r="R17" i="30"/>
  <c r="P18" i="61"/>
  <c r="Q17" i="61"/>
  <c r="P19" i="61" l="1"/>
  <c r="Q18" i="61"/>
  <c r="T18" i="30"/>
  <c r="S18" i="30"/>
  <c r="R18" i="30"/>
  <c r="T17" i="61"/>
  <c r="R17" i="61"/>
  <c r="S17" i="61"/>
  <c r="Q19" i="30"/>
  <c r="P20" i="30"/>
  <c r="P21" i="30" l="1"/>
  <c r="Q20" i="30"/>
  <c r="R19" i="30"/>
  <c r="T19" i="30"/>
  <c r="S19" i="30"/>
  <c r="T18" i="61"/>
  <c r="S18" i="61"/>
  <c r="R18" i="61"/>
  <c r="Q19" i="61"/>
  <c r="P20" i="61"/>
  <c r="P21" i="61" l="1"/>
  <c r="Q20" i="61"/>
  <c r="R19" i="61"/>
  <c r="S19" i="61"/>
  <c r="T19" i="61"/>
  <c r="R20" i="30"/>
  <c r="T20" i="30"/>
  <c r="S20" i="30"/>
  <c r="P22" i="30"/>
  <c r="Q21" i="30"/>
  <c r="P23" i="30" l="1"/>
  <c r="Q22" i="30"/>
  <c r="S21" i="30"/>
  <c r="R21" i="30"/>
  <c r="T21" i="30"/>
  <c r="S20" i="61"/>
  <c r="T20" i="61"/>
  <c r="R20" i="61"/>
  <c r="P22" i="61"/>
  <c r="Q21" i="61"/>
  <c r="T21" i="61" l="1"/>
  <c r="S21" i="61"/>
  <c r="R21" i="61"/>
  <c r="P23" i="61"/>
  <c r="Q22" i="61"/>
  <c r="T22" i="30"/>
  <c r="S22" i="30"/>
  <c r="R22" i="30"/>
  <c r="P24" i="30"/>
  <c r="Q23" i="30"/>
  <c r="R23" i="30" l="1"/>
  <c r="T23" i="30"/>
  <c r="S23" i="30"/>
  <c r="P24" i="61"/>
  <c r="Q23" i="61"/>
  <c r="Q24" i="30"/>
  <c r="P25" i="30"/>
  <c r="T22" i="61"/>
  <c r="S22" i="61"/>
  <c r="R22" i="61"/>
  <c r="R24" i="30" l="1"/>
  <c r="T24" i="30"/>
  <c r="S24" i="30"/>
  <c r="P25" i="61"/>
  <c r="Q24" i="61"/>
  <c r="P26" i="30"/>
  <c r="Q25" i="30"/>
  <c r="T23" i="61"/>
  <c r="S23" i="61"/>
  <c r="R23" i="61"/>
  <c r="T25" i="30" l="1"/>
  <c r="S25" i="30"/>
  <c r="R25" i="30"/>
  <c r="R24" i="61"/>
  <c r="S24" i="61"/>
  <c r="T24" i="61"/>
  <c r="Q26" i="30"/>
  <c r="P27" i="30"/>
  <c r="Q25" i="61"/>
  <c r="P26" i="61"/>
  <c r="Q26" i="61" l="1"/>
  <c r="P27" i="61"/>
  <c r="T25" i="61"/>
  <c r="R25" i="61"/>
  <c r="S25" i="61"/>
  <c r="P28" i="30"/>
  <c r="Q27" i="30"/>
  <c r="S26" i="30"/>
  <c r="T26" i="30"/>
  <c r="R26" i="30"/>
  <c r="S27" i="30" l="1"/>
  <c r="R27" i="30"/>
  <c r="T27" i="30"/>
  <c r="Q28" i="30"/>
  <c r="P29" i="30"/>
  <c r="P28" i="61"/>
  <c r="Q27" i="61"/>
  <c r="T26" i="61"/>
  <c r="R26" i="61"/>
  <c r="S26" i="61"/>
  <c r="T27" i="61" l="1"/>
  <c r="S27" i="61"/>
  <c r="R27" i="61"/>
  <c r="Q28" i="61"/>
  <c r="P29" i="61"/>
  <c r="P30" i="30"/>
  <c r="Q29" i="30"/>
  <c r="R28" i="30"/>
  <c r="S28" i="30"/>
  <c r="T28" i="30"/>
  <c r="Q30" i="30" l="1"/>
  <c r="P31" i="30"/>
  <c r="R29" i="30"/>
  <c r="T29" i="30"/>
  <c r="S29" i="30"/>
  <c r="P30" i="61"/>
  <c r="Q29" i="61"/>
  <c r="R28" i="61"/>
  <c r="T28" i="61"/>
  <c r="S28" i="61"/>
  <c r="S29" i="61" l="1"/>
  <c r="R29" i="61"/>
  <c r="T29" i="61"/>
  <c r="P31" i="61"/>
  <c r="Q30" i="61"/>
  <c r="P32" i="30"/>
  <c r="Q31" i="30"/>
  <c r="T30" i="30"/>
  <c r="R30" i="30"/>
  <c r="S30" i="30"/>
  <c r="T31" i="30" l="1"/>
  <c r="S31" i="30"/>
  <c r="R31" i="30"/>
  <c r="P33" i="30"/>
  <c r="Q32" i="30"/>
  <c r="T30" i="61"/>
  <c r="S30" i="61"/>
  <c r="R30" i="61"/>
  <c r="Q31" i="61"/>
  <c r="P32" i="61"/>
  <c r="P33" i="61" l="1"/>
  <c r="Q32" i="61"/>
  <c r="T31" i="61"/>
  <c r="S31" i="61"/>
  <c r="R31" i="61"/>
  <c r="S32" i="30"/>
  <c r="T32" i="30"/>
  <c r="R32" i="30"/>
  <c r="P34" i="30"/>
  <c r="Q33" i="30"/>
  <c r="T33" i="30" l="1"/>
  <c r="R33" i="30"/>
  <c r="S33" i="30"/>
  <c r="Q34" i="30"/>
  <c r="P35" i="30"/>
  <c r="T32" i="61"/>
  <c r="S32" i="61"/>
  <c r="R32" i="61"/>
  <c r="P34" i="61"/>
  <c r="Q33" i="61"/>
  <c r="P36" i="30" l="1"/>
  <c r="Q35" i="30"/>
  <c r="T33" i="61"/>
  <c r="S33" i="61"/>
  <c r="R33" i="61"/>
  <c r="P35" i="61"/>
  <c r="Q34" i="61"/>
  <c r="T34" i="30"/>
  <c r="S34" i="30"/>
  <c r="R34" i="30"/>
  <c r="T34" i="61" l="1"/>
  <c r="S34" i="61"/>
  <c r="R34" i="61"/>
  <c r="P36" i="61"/>
  <c r="Q35" i="61"/>
  <c r="S35" i="30"/>
  <c r="T35" i="30"/>
  <c r="R35" i="30"/>
  <c r="P37" i="30"/>
  <c r="Q36" i="30"/>
  <c r="T36" i="30" l="1"/>
  <c r="R36" i="30"/>
  <c r="S36" i="30"/>
  <c r="Q37" i="30"/>
  <c r="P38" i="30"/>
  <c r="T35" i="61"/>
  <c r="S35" i="61"/>
  <c r="R35" i="61"/>
  <c r="P37" i="61"/>
  <c r="Q36" i="61"/>
  <c r="T36" i="61" l="1"/>
  <c r="S36" i="61"/>
  <c r="R36" i="61"/>
  <c r="Q37" i="61"/>
  <c r="P38" i="61"/>
  <c r="Q38" i="30"/>
  <c r="P39" i="30"/>
  <c r="T37" i="30"/>
  <c r="S37" i="30"/>
  <c r="R37" i="30"/>
  <c r="P39" i="61" l="1"/>
  <c r="Q38" i="61"/>
  <c r="T37" i="61"/>
  <c r="S37" i="61"/>
  <c r="R37" i="61"/>
  <c r="P40" i="30"/>
  <c r="Q39" i="30"/>
  <c r="T38" i="30"/>
  <c r="R38" i="30"/>
  <c r="S38" i="30"/>
  <c r="S39" i="30" l="1"/>
  <c r="R39" i="30"/>
  <c r="T39" i="30"/>
  <c r="P41" i="30"/>
  <c r="Q40" i="30"/>
  <c r="T38" i="61"/>
  <c r="S38" i="61"/>
  <c r="R38" i="61"/>
  <c r="Q39" i="61"/>
  <c r="P40" i="61"/>
  <c r="S39" i="61" l="1"/>
  <c r="R39" i="61"/>
  <c r="T39" i="61"/>
  <c r="P41" i="61"/>
  <c r="Q40" i="61"/>
  <c r="S40" i="30"/>
  <c r="R40" i="30"/>
  <c r="T40" i="30"/>
  <c r="Q41" i="30"/>
  <c r="P42" i="30"/>
  <c r="Q42" i="30" l="1"/>
  <c r="P43" i="30"/>
  <c r="T41" i="30"/>
  <c r="S41" i="30"/>
  <c r="R41" i="30"/>
  <c r="T40" i="61"/>
  <c r="S40" i="61"/>
  <c r="R40" i="61"/>
  <c r="Q41" i="61"/>
  <c r="P42" i="61"/>
  <c r="Q42" i="61" l="1"/>
  <c r="P43" i="61"/>
  <c r="Q43" i="30"/>
  <c r="P44" i="30"/>
  <c r="T41" i="61"/>
  <c r="S41" i="61"/>
  <c r="R41" i="61"/>
  <c r="T42" i="30"/>
  <c r="S42" i="30"/>
  <c r="R42" i="30"/>
  <c r="Q44" i="30" l="1"/>
  <c r="P45" i="30"/>
  <c r="T43" i="30"/>
  <c r="S43" i="30"/>
  <c r="R43" i="30"/>
  <c r="P44" i="61"/>
  <c r="Q43" i="61"/>
  <c r="T42" i="61"/>
  <c r="R42" i="61"/>
  <c r="S42" i="61"/>
  <c r="T43" i="61" l="1"/>
  <c r="S43" i="61"/>
  <c r="R43" i="61"/>
  <c r="P45" i="61"/>
  <c r="Q44" i="61"/>
  <c r="Q45" i="30"/>
  <c r="P46" i="30"/>
  <c r="T44" i="30"/>
  <c r="S44" i="30"/>
  <c r="R44" i="30"/>
  <c r="Q46" i="30" l="1"/>
  <c r="P47" i="30"/>
  <c r="P46" i="61"/>
  <c r="Q45" i="61"/>
  <c r="T45" i="30"/>
  <c r="S45" i="30"/>
  <c r="R45" i="30"/>
  <c r="T44" i="61"/>
  <c r="S44" i="61"/>
  <c r="R44" i="61"/>
  <c r="T45" i="61" l="1"/>
  <c r="R45" i="61"/>
  <c r="S45" i="61"/>
  <c r="Q46" i="61"/>
  <c r="P47" i="61"/>
  <c r="P48" i="30"/>
  <c r="Q47" i="30"/>
  <c r="R46" i="30"/>
  <c r="T46" i="30"/>
  <c r="S46" i="30"/>
  <c r="R47" i="30" l="1"/>
  <c r="S47" i="30"/>
  <c r="T47" i="30"/>
  <c r="P49" i="30"/>
  <c r="Q48" i="30"/>
  <c r="P48" i="61"/>
  <c r="Q47" i="61"/>
  <c r="R46" i="61"/>
  <c r="T46" i="61"/>
  <c r="S46" i="61"/>
  <c r="S47" i="61" l="1"/>
  <c r="R47" i="61"/>
  <c r="T47" i="61"/>
  <c r="P49" i="61"/>
  <c r="Q48" i="61"/>
  <c r="T48" i="30"/>
  <c r="S48" i="30"/>
  <c r="R48" i="30"/>
  <c r="Q49" i="30"/>
  <c r="P50" i="30"/>
  <c r="P51" i="30" l="1"/>
  <c r="Q50" i="30"/>
  <c r="T49" i="30"/>
  <c r="R49" i="30"/>
  <c r="S49" i="30"/>
  <c r="S48" i="61"/>
  <c r="R48" i="61"/>
  <c r="T48" i="61"/>
  <c r="Q49" i="61"/>
  <c r="P50" i="61"/>
  <c r="P51" i="61" l="1"/>
  <c r="Q50" i="61"/>
  <c r="T49" i="61"/>
  <c r="S49" i="61"/>
  <c r="R49" i="61"/>
  <c r="T50" i="30"/>
  <c r="S50" i="30"/>
  <c r="R50" i="30"/>
  <c r="Q51" i="30"/>
  <c r="P52" i="30"/>
  <c r="P53" i="30" l="1"/>
  <c r="Q52" i="30"/>
  <c r="S51" i="30"/>
  <c r="R51" i="30"/>
  <c r="T51" i="30"/>
  <c r="T50" i="61"/>
  <c r="S50" i="61"/>
  <c r="R50" i="61"/>
  <c r="Q51" i="61"/>
  <c r="P52" i="61"/>
  <c r="P53" i="61" l="1"/>
  <c r="Q52" i="61"/>
  <c r="S52" i="30"/>
  <c r="T52" i="30"/>
  <c r="R52" i="30"/>
  <c r="S51" i="61"/>
  <c r="R51" i="61"/>
  <c r="T51" i="61"/>
  <c r="Q53" i="30"/>
  <c r="P54" i="30"/>
  <c r="T53" i="30" l="1"/>
  <c r="S53" i="30"/>
  <c r="R53" i="30"/>
  <c r="Q54" i="30"/>
  <c r="P55" i="30"/>
  <c r="T52" i="61"/>
  <c r="S52" i="61"/>
  <c r="R52" i="61"/>
  <c r="Q53" i="61"/>
  <c r="P54" i="61"/>
  <c r="Q54" i="61" l="1"/>
  <c r="P55" i="61"/>
  <c r="T53" i="61"/>
  <c r="S53" i="61"/>
  <c r="R53" i="61"/>
  <c r="P56" i="30"/>
  <c r="Q55" i="30"/>
  <c r="T54" i="30"/>
  <c r="R54" i="30"/>
  <c r="S54" i="30"/>
  <c r="T55" i="30" l="1"/>
  <c r="S55" i="30"/>
  <c r="R55" i="30"/>
  <c r="P57" i="30"/>
  <c r="Q56" i="30"/>
  <c r="P56" i="61"/>
  <c r="Q55" i="61"/>
  <c r="T54" i="61"/>
  <c r="R54" i="61"/>
  <c r="S54" i="61"/>
  <c r="P57" i="61" l="1"/>
  <c r="Q56" i="61"/>
  <c r="T55" i="61"/>
  <c r="S55" i="61"/>
  <c r="R55" i="61"/>
  <c r="T56" i="30"/>
  <c r="S56" i="30"/>
  <c r="R56" i="30"/>
  <c r="P58" i="30"/>
  <c r="Q57" i="30"/>
  <c r="Q58" i="30" l="1"/>
  <c r="P59" i="30"/>
  <c r="T57" i="30"/>
  <c r="R57" i="30"/>
  <c r="S57" i="30"/>
  <c r="T56" i="61"/>
  <c r="S56" i="61"/>
  <c r="R56" i="61"/>
  <c r="Q57" i="61"/>
  <c r="P58" i="61"/>
  <c r="T57" i="61" l="1"/>
  <c r="S57" i="61"/>
  <c r="R57" i="61"/>
  <c r="P59" i="61"/>
  <c r="Q58" i="61"/>
  <c r="P60" i="30"/>
  <c r="Q59" i="30"/>
  <c r="R58" i="30"/>
  <c r="S58" i="30"/>
  <c r="T58" i="30"/>
  <c r="R59" i="30" l="1"/>
  <c r="T59" i="30"/>
  <c r="S59" i="30"/>
  <c r="P61" i="30"/>
  <c r="Q60" i="30"/>
  <c r="S58" i="61"/>
  <c r="R58" i="61"/>
  <c r="T58" i="61"/>
  <c r="Q59" i="61"/>
  <c r="P60" i="61"/>
  <c r="P61" i="61" l="1"/>
  <c r="Q60" i="61"/>
  <c r="R59" i="61"/>
  <c r="S59" i="61"/>
  <c r="T59" i="61"/>
  <c r="T60" i="30"/>
  <c r="R60" i="30"/>
  <c r="S60" i="30"/>
  <c r="Q61" i="30"/>
  <c r="P62" i="30"/>
  <c r="Q62" i="30" l="1"/>
  <c r="P63" i="30"/>
  <c r="T61" i="30"/>
  <c r="S61" i="30"/>
  <c r="R61" i="30"/>
  <c r="T60" i="61"/>
  <c r="S60" i="61"/>
  <c r="R60" i="61"/>
  <c r="P62" i="61"/>
  <c r="Q61" i="61"/>
  <c r="T61" i="61" l="1"/>
  <c r="S61" i="61"/>
  <c r="R61" i="61"/>
  <c r="Q62" i="61"/>
  <c r="P63" i="61"/>
  <c r="P64" i="30"/>
  <c r="Q63" i="30"/>
  <c r="T62" i="30"/>
  <c r="R62" i="30"/>
  <c r="S62" i="30"/>
  <c r="S63" i="30" l="1"/>
  <c r="R63" i="30"/>
  <c r="T63" i="30"/>
  <c r="P65" i="30"/>
  <c r="Q64" i="30"/>
  <c r="P64" i="61"/>
  <c r="Q63" i="61"/>
  <c r="T62" i="61"/>
  <c r="R62" i="61"/>
  <c r="S62" i="61"/>
  <c r="T63" i="61" l="1"/>
  <c r="S63" i="61"/>
  <c r="R63" i="61"/>
  <c r="Q64" i="61"/>
  <c r="P65" i="61"/>
  <c r="S64" i="30"/>
  <c r="R64" i="30"/>
  <c r="T64" i="30"/>
  <c r="Q65" i="30"/>
  <c r="P66" i="30"/>
  <c r="Q66" i="30" l="1"/>
  <c r="P67" i="30"/>
  <c r="T65" i="30"/>
  <c r="S65" i="30"/>
  <c r="R65" i="30"/>
  <c r="P66" i="61"/>
  <c r="Q65" i="61"/>
  <c r="S64" i="61"/>
  <c r="R64" i="61"/>
  <c r="T64" i="61"/>
  <c r="R65" i="61" l="1"/>
  <c r="T65" i="61"/>
  <c r="S65" i="61"/>
  <c r="Q66" i="61"/>
  <c r="P67" i="61"/>
  <c r="P68" i="30"/>
  <c r="Q67" i="30"/>
  <c r="T66" i="30"/>
  <c r="S66" i="30"/>
  <c r="R66" i="30"/>
  <c r="T67" i="30" l="1"/>
  <c r="S67" i="30"/>
  <c r="R67" i="30"/>
  <c r="T66" i="61"/>
  <c r="R66" i="61"/>
  <c r="S66" i="61"/>
  <c r="Q68" i="30"/>
  <c r="P69" i="30"/>
  <c r="Q67" i="61"/>
  <c r="P68" i="61"/>
  <c r="T67" i="61" l="1"/>
  <c r="S67" i="61"/>
  <c r="R67" i="61"/>
  <c r="P69" i="61"/>
  <c r="Q68" i="61"/>
  <c r="Q69" i="30"/>
  <c r="P70" i="30"/>
  <c r="T68" i="30"/>
  <c r="S68" i="30"/>
  <c r="R68" i="30"/>
  <c r="T69" i="30" l="1"/>
  <c r="S69" i="30"/>
  <c r="R69" i="30"/>
  <c r="Q70" i="30"/>
  <c r="P71" i="30"/>
  <c r="T68" i="61"/>
  <c r="S68" i="61"/>
  <c r="R68" i="61"/>
  <c r="Q69" i="61"/>
  <c r="P70" i="61"/>
  <c r="P71" i="61" l="1"/>
  <c r="Q70" i="61"/>
  <c r="P72" i="30"/>
  <c r="Q71" i="30"/>
  <c r="T69" i="61"/>
  <c r="S69" i="61"/>
  <c r="R69" i="61"/>
  <c r="R70" i="30"/>
  <c r="T70" i="30"/>
  <c r="S70" i="30"/>
  <c r="Q71" i="61" l="1"/>
  <c r="P72" i="61"/>
  <c r="R71" i="30"/>
  <c r="S71" i="30"/>
  <c r="T71" i="30"/>
  <c r="P73" i="30"/>
  <c r="Q72" i="30"/>
  <c r="S70" i="61"/>
  <c r="R70" i="61"/>
  <c r="T70" i="61"/>
  <c r="T72" i="30" l="1"/>
  <c r="S72" i="30"/>
  <c r="R72" i="30"/>
  <c r="Q73" i="30"/>
  <c r="P74" i="30"/>
  <c r="P73" i="61"/>
  <c r="Q72" i="61"/>
  <c r="R71" i="61"/>
  <c r="T71" i="61"/>
  <c r="S71" i="61"/>
  <c r="P74" i="61" l="1"/>
  <c r="Q73" i="61"/>
  <c r="T73" i="30"/>
  <c r="R73" i="30"/>
  <c r="S73" i="30"/>
  <c r="R72" i="61"/>
  <c r="T72" i="61"/>
  <c r="S72" i="61"/>
  <c r="P75" i="30"/>
  <c r="Q74" i="30"/>
  <c r="T74" i="30" l="1"/>
  <c r="S74" i="30"/>
  <c r="R74" i="30"/>
  <c r="Q75" i="30"/>
  <c r="P76" i="30"/>
  <c r="T73" i="61"/>
  <c r="S73" i="61"/>
  <c r="R73" i="61"/>
  <c r="Q74" i="61"/>
  <c r="P75" i="61"/>
  <c r="T74" i="61" l="1"/>
  <c r="S74" i="61"/>
  <c r="R74" i="61"/>
  <c r="P76" i="61"/>
  <c r="Q75" i="61"/>
  <c r="P77" i="30"/>
  <c r="Q76" i="30"/>
  <c r="S75" i="30"/>
  <c r="R75" i="30"/>
  <c r="T75" i="30"/>
  <c r="S76" i="30" l="1"/>
  <c r="R76" i="30"/>
  <c r="T76" i="30"/>
  <c r="T75" i="61"/>
  <c r="S75" i="61"/>
  <c r="R75" i="61"/>
  <c r="Q77" i="30"/>
  <c r="P78" i="30"/>
  <c r="P77" i="61"/>
  <c r="Q76" i="61"/>
  <c r="S76" i="61" l="1"/>
  <c r="R76" i="61"/>
  <c r="T76" i="61"/>
  <c r="T77" i="30"/>
  <c r="S77" i="30"/>
  <c r="R77" i="30"/>
  <c r="P78" i="61"/>
  <c r="Q77" i="61"/>
  <c r="Q78" i="30"/>
  <c r="P79" i="30"/>
  <c r="P80" i="30" l="1"/>
  <c r="Q79" i="30"/>
  <c r="S78" i="30"/>
  <c r="R78" i="30"/>
  <c r="T78" i="30"/>
  <c r="R77" i="61"/>
  <c r="S77" i="61"/>
  <c r="T77" i="61"/>
  <c r="Q78" i="61"/>
  <c r="P79" i="61"/>
  <c r="T78" i="61" l="1"/>
  <c r="S78" i="61"/>
  <c r="R78" i="61"/>
  <c r="P80" i="61"/>
  <c r="Q79" i="61"/>
  <c r="T79" i="30"/>
  <c r="S79" i="30"/>
  <c r="R79" i="30"/>
  <c r="P81" i="30"/>
  <c r="Q80" i="30"/>
  <c r="P81" i="61" l="1"/>
  <c r="Q80" i="61"/>
  <c r="T80" i="30"/>
  <c r="S80" i="30"/>
  <c r="R80" i="30"/>
  <c r="P82" i="30"/>
  <c r="Q81" i="30"/>
  <c r="T79" i="61"/>
  <c r="S79" i="61"/>
  <c r="R79" i="61"/>
  <c r="T81" i="30" l="1"/>
  <c r="R81" i="30"/>
  <c r="S81" i="30"/>
  <c r="T80" i="61"/>
  <c r="S80" i="61"/>
  <c r="R80" i="61"/>
  <c r="Q82" i="30"/>
  <c r="P83" i="30"/>
  <c r="P82" i="61"/>
  <c r="Q81" i="61"/>
  <c r="Q82" i="61" l="1"/>
  <c r="P83" i="61"/>
  <c r="R82" i="30"/>
  <c r="S82" i="30"/>
  <c r="T82" i="30"/>
  <c r="T81" i="61"/>
  <c r="S81" i="61"/>
  <c r="R81" i="61"/>
  <c r="P84" i="30"/>
  <c r="Q83" i="30"/>
  <c r="R83" i="30" l="1"/>
  <c r="T83" i="30"/>
  <c r="S83" i="30"/>
  <c r="P85" i="30"/>
  <c r="Q84" i="30"/>
  <c r="Q83" i="61"/>
  <c r="P84" i="61"/>
  <c r="S82" i="61"/>
  <c r="R82" i="61"/>
  <c r="T82" i="61"/>
  <c r="P85" i="61" l="1"/>
  <c r="Q84" i="61"/>
  <c r="P86" i="30"/>
  <c r="Q85" i="30"/>
  <c r="R83" i="61"/>
  <c r="T83" i="61"/>
  <c r="S83" i="61"/>
  <c r="T84" i="30"/>
  <c r="R84" i="30"/>
  <c r="S84" i="30"/>
  <c r="Q86" i="30" l="1"/>
  <c r="P87" i="30"/>
  <c r="T84" i="61"/>
  <c r="S84" i="61"/>
  <c r="R84" i="61"/>
  <c r="T85" i="30"/>
  <c r="S85" i="30"/>
  <c r="R85" i="30"/>
  <c r="Q85" i="61"/>
  <c r="P86" i="61"/>
  <c r="P87" i="61" l="1"/>
  <c r="Q86" i="61"/>
  <c r="Q87" i="30"/>
  <c r="P88" i="30"/>
  <c r="T85" i="61"/>
  <c r="S85" i="61"/>
  <c r="R85" i="61"/>
  <c r="T86" i="30"/>
  <c r="R86" i="30"/>
  <c r="S86" i="30"/>
  <c r="P89" i="30" l="1"/>
  <c r="Q88" i="30"/>
  <c r="T86" i="61"/>
  <c r="S86" i="61"/>
  <c r="R86" i="61"/>
  <c r="S87" i="30"/>
  <c r="R87" i="30"/>
  <c r="T87" i="30"/>
  <c r="Q87" i="61"/>
  <c r="P88" i="61"/>
  <c r="T87" i="61" l="1"/>
  <c r="S87" i="61"/>
  <c r="R87" i="61"/>
  <c r="S88" i="30"/>
  <c r="R88" i="30"/>
  <c r="T88" i="30"/>
  <c r="P89" i="61"/>
  <c r="Q88" i="61"/>
  <c r="Q89" i="30"/>
  <c r="P90" i="30"/>
  <c r="P90" i="61" l="1"/>
  <c r="Q89" i="61"/>
  <c r="R89" i="30"/>
  <c r="T89" i="30"/>
  <c r="S89" i="30"/>
  <c r="Q90" i="30"/>
  <c r="P91" i="30"/>
  <c r="S88" i="61"/>
  <c r="R88" i="61"/>
  <c r="T88" i="61"/>
  <c r="T90" i="30" l="1"/>
  <c r="S90" i="30"/>
  <c r="R90" i="30"/>
  <c r="P92" i="30"/>
  <c r="Q91" i="30"/>
  <c r="R89" i="61"/>
  <c r="T89" i="61"/>
  <c r="S89" i="61"/>
  <c r="Q90" i="61"/>
  <c r="P91" i="61"/>
  <c r="R90" i="61" l="1"/>
  <c r="T90" i="61"/>
  <c r="S90" i="61"/>
  <c r="Q92" i="30"/>
  <c r="P93" i="30"/>
  <c r="P92" i="61"/>
  <c r="Q91" i="61"/>
  <c r="T91" i="30"/>
  <c r="S91" i="30"/>
  <c r="R91" i="30"/>
  <c r="Q92" i="61" l="1"/>
  <c r="P93" i="61"/>
  <c r="T91" i="61"/>
  <c r="S91" i="61"/>
  <c r="R91" i="61"/>
  <c r="T92" i="30"/>
  <c r="S92" i="30"/>
  <c r="R92" i="30"/>
  <c r="Q93" i="30"/>
  <c r="P94" i="30"/>
  <c r="Q94" i="30" l="1"/>
  <c r="P95" i="30"/>
  <c r="P94" i="61"/>
  <c r="Q93" i="61"/>
  <c r="T93" i="30"/>
  <c r="S93" i="30"/>
  <c r="R93" i="30"/>
  <c r="T92" i="61"/>
  <c r="S92" i="61"/>
  <c r="R92" i="61"/>
  <c r="T93" i="61" l="1"/>
  <c r="S93" i="61"/>
  <c r="R93" i="61"/>
  <c r="P95" i="61"/>
  <c r="Q94" i="61"/>
  <c r="P96" i="30"/>
  <c r="Q95" i="30"/>
  <c r="R94" i="30"/>
  <c r="T94" i="30"/>
  <c r="S94" i="30"/>
  <c r="R95" i="30" l="1"/>
  <c r="S95" i="30"/>
  <c r="T95" i="30"/>
  <c r="P97" i="30"/>
  <c r="Q96" i="30"/>
  <c r="S94" i="61"/>
  <c r="R94" i="61"/>
  <c r="T94" i="61"/>
  <c r="Q95" i="61"/>
  <c r="P96" i="61"/>
  <c r="P97" i="61" l="1"/>
  <c r="Q96" i="61"/>
  <c r="R95" i="61"/>
  <c r="S95" i="61"/>
  <c r="T95" i="61"/>
  <c r="T96" i="30"/>
  <c r="S96" i="30"/>
  <c r="R96" i="30"/>
  <c r="Q97" i="30"/>
  <c r="P98" i="30"/>
  <c r="P99" i="30" l="1"/>
  <c r="Q98" i="30"/>
  <c r="T97" i="30"/>
  <c r="R97" i="30"/>
  <c r="S97" i="30"/>
  <c r="T96" i="61"/>
  <c r="S96" i="61"/>
  <c r="R96" i="61"/>
  <c r="P98" i="61"/>
  <c r="Q97" i="61"/>
  <c r="T97" i="61" l="1"/>
  <c r="S97" i="61"/>
  <c r="R97" i="61"/>
  <c r="P99" i="61"/>
  <c r="Q98" i="61"/>
  <c r="T98" i="30"/>
  <c r="S98" i="30"/>
  <c r="R98" i="30"/>
  <c r="Q99" i="30"/>
  <c r="P100" i="30"/>
  <c r="T98" i="61" l="1"/>
  <c r="S98" i="61"/>
  <c r="R98" i="61"/>
  <c r="P101" i="30"/>
  <c r="Q100" i="30"/>
  <c r="S99" i="30"/>
  <c r="R99" i="30"/>
  <c r="T99" i="30"/>
  <c r="P100" i="61"/>
  <c r="Q99" i="61"/>
  <c r="T99" i="61" l="1"/>
  <c r="S99" i="61"/>
  <c r="R99" i="61"/>
  <c r="Q100" i="61"/>
  <c r="P101" i="61"/>
  <c r="S100" i="30"/>
  <c r="T100" i="30"/>
  <c r="R100" i="30"/>
  <c r="Q101" i="30"/>
  <c r="P102" i="30"/>
  <c r="T101" i="30" l="1"/>
  <c r="S101" i="30"/>
  <c r="R101" i="30"/>
  <c r="P102" i="61"/>
  <c r="Q101" i="61"/>
  <c r="Q102" i="30"/>
  <c r="P103" i="30"/>
  <c r="S100" i="61"/>
  <c r="R100" i="61"/>
  <c r="T100" i="61"/>
  <c r="T102" i="30" l="1"/>
  <c r="S102" i="30"/>
  <c r="R102" i="30"/>
  <c r="P104" i="30"/>
  <c r="Q103" i="30"/>
  <c r="R101" i="61"/>
  <c r="T101" i="61"/>
  <c r="S101" i="61"/>
  <c r="Q102" i="61"/>
  <c r="P103" i="61"/>
  <c r="T102" i="61" l="1"/>
  <c r="S102" i="61"/>
  <c r="R102" i="61"/>
  <c r="T103" i="30"/>
  <c r="S103" i="30"/>
  <c r="R103" i="30"/>
  <c r="Q104" i="30"/>
  <c r="P105" i="30"/>
  <c r="Q103" i="61"/>
  <c r="P104" i="61"/>
  <c r="P105" i="61" l="1"/>
  <c r="Q104" i="61"/>
  <c r="Q105" i="30"/>
  <c r="P106" i="30"/>
  <c r="T103" i="61"/>
  <c r="S103" i="61"/>
  <c r="R103" i="61"/>
  <c r="T104" i="30"/>
  <c r="S104" i="30"/>
  <c r="R104" i="30"/>
  <c r="Q106" i="30" l="1"/>
  <c r="P107" i="30"/>
  <c r="T105" i="30"/>
  <c r="R105" i="30"/>
  <c r="S105" i="30"/>
  <c r="T104" i="61"/>
  <c r="S104" i="61"/>
  <c r="R104" i="61"/>
  <c r="Q105" i="61"/>
  <c r="P106" i="61"/>
  <c r="P107" i="61" l="1"/>
  <c r="Q106" i="61"/>
  <c r="T105" i="61"/>
  <c r="S105" i="61"/>
  <c r="R105" i="61"/>
  <c r="P108" i="30"/>
  <c r="Q107" i="30"/>
  <c r="R106" i="30"/>
  <c r="S106" i="30"/>
  <c r="T106" i="30"/>
  <c r="P109" i="30" l="1"/>
  <c r="Q108" i="30"/>
  <c r="R107" i="30"/>
  <c r="T107" i="30"/>
  <c r="S107" i="30"/>
  <c r="S106" i="61"/>
  <c r="R106" i="61"/>
  <c r="T106" i="61"/>
  <c r="Q107" i="61"/>
  <c r="P108" i="61"/>
  <c r="R107" i="61" l="1"/>
  <c r="T107" i="61"/>
  <c r="S107" i="61"/>
  <c r="P109" i="61"/>
  <c r="Q108" i="61"/>
  <c r="T108" i="30"/>
  <c r="R108" i="30"/>
  <c r="S108" i="30"/>
  <c r="P110" i="30"/>
  <c r="Q109" i="30"/>
  <c r="T109" i="30" l="1"/>
  <c r="S109" i="30"/>
  <c r="R109" i="30"/>
  <c r="Q110" i="30"/>
  <c r="P111" i="30"/>
  <c r="R108" i="61"/>
  <c r="T108" i="61"/>
  <c r="S108" i="61"/>
  <c r="P110" i="61"/>
  <c r="Q109" i="61"/>
  <c r="T109" i="61" l="1"/>
  <c r="S109" i="61"/>
  <c r="R109" i="61"/>
  <c r="T110" i="30"/>
  <c r="R110" i="30"/>
  <c r="S110" i="30"/>
  <c r="Q110" i="61"/>
  <c r="P111" i="61"/>
  <c r="P112" i="30"/>
  <c r="Q111" i="30"/>
  <c r="P113" i="30" l="1"/>
  <c r="Q112" i="30"/>
  <c r="S111" i="30"/>
  <c r="R111" i="30"/>
  <c r="T111" i="30"/>
  <c r="T110" i="61"/>
  <c r="S110" i="61"/>
  <c r="R110" i="61"/>
  <c r="P112" i="61"/>
  <c r="Q111" i="61"/>
  <c r="P113" i="61" l="1"/>
  <c r="Q112" i="61"/>
  <c r="S112" i="30"/>
  <c r="R112" i="30"/>
  <c r="T112" i="30"/>
  <c r="T111" i="61"/>
  <c r="S111" i="61"/>
  <c r="R111" i="61"/>
  <c r="Q113" i="30"/>
  <c r="P114" i="30"/>
  <c r="S113" i="30" l="1"/>
  <c r="R113" i="30"/>
  <c r="T113" i="30"/>
  <c r="Q114" i="30"/>
  <c r="P115" i="30"/>
  <c r="S112" i="61"/>
  <c r="R112" i="61"/>
  <c r="T112" i="61"/>
  <c r="P114" i="61"/>
  <c r="Q113" i="61"/>
  <c r="R113" i="61" l="1"/>
  <c r="S113" i="61"/>
  <c r="T113" i="61"/>
  <c r="Q114" i="61"/>
  <c r="P115" i="61"/>
  <c r="P116" i="30"/>
  <c r="Q115" i="30"/>
  <c r="T114" i="30"/>
  <c r="S114" i="30"/>
  <c r="R114" i="30"/>
  <c r="T115" i="30" l="1"/>
  <c r="R115" i="30"/>
  <c r="S115" i="30"/>
  <c r="P116" i="61"/>
  <c r="Q115" i="61"/>
  <c r="Q116" i="30"/>
  <c r="P117" i="30"/>
  <c r="T114" i="61"/>
  <c r="S114" i="61"/>
  <c r="R114" i="61"/>
  <c r="T116" i="30" l="1"/>
  <c r="S116" i="30"/>
  <c r="R116" i="30"/>
  <c r="P117" i="61"/>
  <c r="Q116" i="61"/>
  <c r="Q117" i="30"/>
  <c r="P118" i="30"/>
  <c r="T115" i="61"/>
  <c r="S115" i="61"/>
  <c r="R115" i="61"/>
  <c r="T117" i="30" l="1"/>
  <c r="S117" i="30"/>
  <c r="R117" i="30"/>
  <c r="T116" i="61"/>
  <c r="S116" i="61"/>
  <c r="R116" i="61"/>
  <c r="Q118" i="30"/>
  <c r="P119" i="30"/>
  <c r="P118" i="61"/>
  <c r="Q117" i="61"/>
  <c r="R118" i="30" l="1"/>
  <c r="T118" i="30"/>
  <c r="S118" i="30"/>
  <c r="Q118" i="61"/>
  <c r="P119" i="61"/>
  <c r="T117" i="61"/>
  <c r="S117" i="61"/>
  <c r="R117" i="61"/>
  <c r="P120" i="30"/>
  <c r="Q119" i="30"/>
  <c r="P121" i="30" l="1"/>
  <c r="Q120" i="30"/>
  <c r="Q119" i="61"/>
  <c r="P120" i="61"/>
  <c r="R119" i="30"/>
  <c r="S119" i="30"/>
  <c r="T119" i="30"/>
  <c r="S118" i="61"/>
  <c r="R118" i="61"/>
  <c r="T118" i="61"/>
  <c r="P121" i="61" l="1"/>
  <c r="Q120" i="61"/>
  <c r="R119" i="61"/>
  <c r="T119" i="61"/>
  <c r="S119" i="61"/>
  <c r="T120" i="30"/>
  <c r="S120" i="30"/>
  <c r="R120" i="30"/>
  <c r="Q121" i="30"/>
  <c r="P122" i="30"/>
  <c r="P123" i="30" l="1"/>
  <c r="Q122" i="30"/>
  <c r="T121" i="30"/>
  <c r="R121" i="30"/>
  <c r="S121" i="30"/>
  <c r="T120" i="61"/>
  <c r="S120" i="61"/>
  <c r="R120" i="61"/>
  <c r="Q121" i="61"/>
  <c r="P122" i="61"/>
  <c r="P123" i="61" l="1"/>
  <c r="Q122" i="61"/>
  <c r="T121" i="61"/>
  <c r="S121" i="61"/>
  <c r="R121" i="61"/>
  <c r="R122" i="30"/>
  <c r="T122" i="30"/>
  <c r="S122" i="30"/>
  <c r="Q123" i="30"/>
  <c r="P124" i="30"/>
  <c r="S123" i="30" l="1"/>
  <c r="R123" i="30"/>
  <c r="T123" i="30"/>
  <c r="P125" i="30"/>
  <c r="Q124" i="30"/>
  <c r="T122" i="61"/>
  <c r="S122" i="61"/>
  <c r="R122" i="61"/>
  <c r="Q123" i="61"/>
  <c r="P124" i="61"/>
  <c r="Q125" i="30" l="1"/>
  <c r="P126" i="30"/>
  <c r="P125" i="61"/>
  <c r="Q124" i="61"/>
  <c r="T123" i="61"/>
  <c r="S123" i="61"/>
  <c r="R123" i="61"/>
  <c r="S124" i="30"/>
  <c r="T124" i="30"/>
  <c r="R124" i="30"/>
  <c r="S124" i="61" l="1"/>
  <c r="R124" i="61"/>
  <c r="T124" i="61"/>
  <c r="Q126" i="30"/>
  <c r="P127" i="30"/>
  <c r="P126" i="61"/>
  <c r="Q125" i="61"/>
  <c r="T125" i="30"/>
  <c r="S125" i="30"/>
  <c r="R125" i="30"/>
  <c r="Q126" i="61" l="1"/>
  <c r="P127" i="61"/>
  <c r="R125" i="61"/>
  <c r="T125" i="61"/>
  <c r="S125" i="61"/>
  <c r="P128" i="30"/>
  <c r="Q127" i="30"/>
  <c r="T126" i="30"/>
  <c r="S126" i="30"/>
  <c r="R126" i="30"/>
  <c r="T127" i="30" l="1"/>
  <c r="S127" i="30"/>
  <c r="R127" i="30"/>
  <c r="Q128" i="30"/>
  <c r="P129" i="30"/>
  <c r="P128" i="61"/>
  <c r="Q127" i="61"/>
  <c r="R126" i="61"/>
  <c r="T126" i="61"/>
  <c r="S126" i="61"/>
  <c r="T127" i="61" l="1"/>
  <c r="S127" i="61"/>
  <c r="R127" i="61"/>
  <c r="P130" i="30"/>
  <c r="Q129" i="30"/>
  <c r="Q128" i="61"/>
  <c r="P129" i="61"/>
  <c r="T128" i="30"/>
  <c r="S128" i="30"/>
  <c r="R128" i="30"/>
  <c r="P130" i="61" l="1"/>
  <c r="Q129" i="61"/>
  <c r="T129" i="30"/>
  <c r="R129" i="30"/>
  <c r="S129" i="30"/>
  <c r="T128" i="61"/>
  <c r="S128" i="61"/>
  <c r="R128" i="61"/>
  <c r="Q130" i="30"/>
  <c r="P131" i="30"/>
  <c r="R130" i="30" l="1"/>
  <c r="S130" i="30"/>
  <c r="T130" i="30"/>
  <c r="T129" i="61"/>
  <c r="S129" i="61"/>
  <c r="R129" i="61"/>
  <c r="P132" i="30"/>
  <c r="Q131" i="30"/>
  <c r="P131" i="61"/>
  <c r="Q130" i="61"/>
  <c r="Q131" i="61" l="1"/>
  <c r="P132" i="61"/>
  <c r="P133" i="30"/>
  <c r="Q132" i="30"/>
  <c r="S130" i="61"/>
  <c r="R130" i="61"/>
  <c r="T130" i="61"/>
  <c r="R131" i="30"/>
  <c r="T131" i="30"/>
  <c r="S131" i="30"/>
  <c r="T132" i="30" l="1"/>
  <c r="R132" i="30"/>
  <c r="S132" i="30"/>
  <c r="P134" i="30"/>
  <c r="Q133" i="30"/>
  <c r="P133" i="61"/>
  <c r="Q132" i="61"/>
  <c r="R131" i="61"/>
  <c r="S131" i="61"/>
  <c r="T131" i="61"/>
  <c r="P134" i="61" l="1"/>
  <c r="Q133" i="61"/>
  <c r="Q134" i="30"/>
  <c r="P135" i="30"/>
  <c r="T132" i="61"/>
  <c r="S132" i="61"/>
  <c r="R132" i="61"/>
  <c r="T133" i="30"/>
  <c r="R133" i="30"/>
  <c r="S133" i="30"/>
  <c r="P136" i="30" l="1"/>
  <c r="Q135" i="30"/>
  <c r="T133" i="61"/>
  <c r="S133" i="61"/>
  <c r="R133" i="61"/>
  <c r="T134" i="30"/>
  <c r="R134" i="30"/>
  <c r="S134" i="30"/>
  <c r="P135" i="61"/>
  <c r="Q134" i="61"/>
  <c r="T134" i="61" l="1"/>
  <c r="S134" i="61"/>
  <c r="R134" i="61"/>
  <c r="P136" i="61"/>
  <c r="Q135" i="61"/>
  <c r="S135" i="30"/>
  <c r="R135" i="30"/>
  <c r="T135" i="30"/>
  <c r="P137" i="30"/>
  <c r="Q136" i="30"/>
  <c r="S136" i="30" l="1"/>
  <c r="R136" i="30"/>
  <c r="T136" i="30"/>
  <c r="Q137" i="30"/>
  <c r="P138" i="30"/>
  <c r="T135" i="61"/>
  <c r="S135" i="61"/>
  <c r="R135" i="61"/>
  <c r="Q136" i="61"/>
  <c r="P137" i="61"/>
  <c r="P138" i="61" l="1"/>
  <c r="Q137" i="61"/>
  <c r="T137" i="30"/>
  <c r="S137" i="30"/>
  <c r="R137" i="30"/>
  <c r="S136" i="61"/>
  <c r="R136" i="61"/>
  <c r="T136" i="61"/>
  <c r="Q138" i="30"/>
  <c r="P139" i="30"/>
  <c r="T138" i="30" l="1"/>
  <c r="S138" i="30"/>
  <c r="R138" i="30"/>
  <c r="R137" i="61"/>
  <c r="T137" i="61"/>
  <c r="S137" i="61"/>
  <c r="P140" i="30"/>
  <c r="Q139" i="30"/>
  <c r="Q138" i="61"/>
  <c r="P139" i="61"/>
  <c r="T138" i="61" l="1"/>
  <c r="S138" i="61"/>
  <c r="R138" i="61"/>
  <c r="Q140" i="30"/>
  <c r="P141" i="30"/>
  <c r="Q139" i="61"/>
  <c r="P140" i="61"/>
  <c r="S139" i="30"/>
  <c r="R139" i="30"/>
  <c r="T139" i="30"/>
  <c r="T139" i="61" l="1"/>
  <c r="S139" i="61"/>
  <c r="R139" i="61"/>
  <c r="Q141" i="30"/>
  <c r="P142" i="30"/>
  <c r="P141" i="61"/>
  <c r="Q140" i="61"/>
  <c r="T140" i="30"/>
  <c r="S140" i="30"/>
  <c r="R140" i="30"/>
  <c r="T140" i="61" l="1"/>
  <c r="S140" i="61"/>
  <c r="R140" i="61"/>
  <c r="Q142" i="30"/>
  <c r="P143" i="30"/>
  <c r="Q141" i="61"/>
  <c r="P142" i="61"/>
  <c r="T141" i="30"/>
  <c r="S141" i="30"/>
  <c r="R141" i="30"/>
  <c r="T141" i="61" l="1"/>
  <c r="S141" i="61"/>
  <c r="R141" i="61"/>
  <c r="P143" i="61"/>
  <c r="Q142" i="61"/>
  <c r="P144" i="30"/>
  <c r="Q143" i="30"/>
  <c r="R142" i="30"/>
  <c r="T142" i="30"/>
  <c r="S142" i="30"/>
  <c r="S142" i="61" l="1"/>
  <c r="R142" i="61"/>
  <c r="T142" i="61"/>
  <c r="P145" i="30"/>
  <c r="Q144" i="30"/>
  <c r="R143" i="30"/>
  <c r="S143" i="30"/>
  <c r="T143" i="30"/>
  <c r="Q143" i="61"/>
  <c r="P144" i="61"/>
  <c r="R143" i="61" l="1"/>
  <c r="T143" i="61"/>
  <c r="S143" i="61"/>
  <c r="T144" i="30"/>
  <c r="S144" i="30"/>
  <c r="R144" i="30"/>
  <c r="P145" i="61"/>
  <c r="Q144" i="61"/>
  <c r="Q145" i="30"/>
  <c r="P146" i="30"/>
  <c r="R144" i="61" l="1"/>
  <c r="T144" i="61"/>
  <c r="S144" i="61"/>
  <c r="P147" i="30"/>
  <c r="Q146" i="30"/>
  <c r="T145" i="30"/>
  <c r="R145" i="30"/>
  <c r="S145" i="30"/>
  <c r="P146" i="61"/>
  <c r="Q145" i="61"/>
  <c r="T145" i="61" l="1"/>
  <c r="S145" i="61"/>
  <c r="R145" i="61"/>
  <c r="Q146" i="61"/>
  <c r="P147" i="61"/>
  <c r="S146" i="30"/>
  <c r="R146" i="30"/>
  <c r="T146" i="30"/>
  <c r="Q147" i="30"/>
  <c r="P148" i="30"/>
  <c r="P149" i="30" l="1"/>
  <c r="Q148" i="30"/>
  <c r="S147" i="30"/>
  <c r="R147" i="30"/>
  <c r="T147" i="30"/>
  <c r="P148" i="61"/>
  <c r="Q147" i="61"/>
  <c r="T146" i="61"/>
  <c r="S146" i="61"/>
  <c r="R146" i="61"/>
  <c r="T147" i="61" l="1"/>
  <c r="S147" i="61"/>
  <c r="R147" i="61"/>
  <c r="P149" i="61"/>
  <c r="Q148" i="61"/>
  <c r="S148" i="30"/>
  <c r="T148" i="30"/>
  <c r="R148" i="30"/>
  <c r="Q149" i="30"/>
  <c r="P150" i="30"/>
  <c r="Q150" i="30" l="1"/>
  <c r="P151" i="30"/>
  <c r="T149" i="30"/>
  <c r="S149" i="30"/>
  <c r="R149" i="30"/>
  <c r="S148" i="61"/>
  <c r="R148" i="61"/>
  <c r="T148" i="61"/>
  <c r="P150" i="61"/>
  <c r="Q149" i="61"/>
  <c r="R149" i="61" l="1"/>
  <c r="S149" i="61"/>
  <c r="T149" i="61"/>
  <c r="P152" i="30"/>
  <c r="Q151" i="30"/>
  <c r="Q150" i="61"/>
  <c r="P151" i="61"/>
  <c r="T150" i="30"/>
  <c r="S150" i="30"/>
  <c r="R150" i="30"/>
  <c r="Q152" i="30" l="1"/>
  <c r="P153" i="30"/>
  <c r="P152" i="61"/>
  <c r="Q151" i="61"/>
  <c r="T150" i="61"/>
  <c r="S150" i="61"/>
  <c r="R150" i="61"/>
  <c r="T151" i="30"/>
  <c r="S151" i="30"/>
  <c r="R151" i="30"/>
  <c r="T151" i="61" l="1"/>
  <c r="S151" i="61"/>
  <c r="R151" i="61"/>
  <c r="P153" i="61"/>
  <c r="Q152" i="61"/>
  <c r="P154" i="30"/>
  <c r="Q153" i="30"/>
  <c r="T152" i="30"/>
  <c r="S152" i="30"/>
  <c r="R152" i="30"/>
  <c r="Q154" i="30" l="1"/>
  <c r="P155" i="30"/>
  <c r="T152" i="61"/>
  <c r="S152" i="61"/>
  <c r="R152" i="61"/>
  <c r="P154" i="61"/>
  <c r="Q153" i="61"/>
  <c r="T153" i="30"/>
  <c r="R153" i="30"/>
  <c r="S153" i="30"/>
  <c r="T153" i="61" l="1"/>
  <c r="S153" i="61"/>
  <c r="R153" i="61"/>
  <c r="Q154" i="61"/>
  <c r="P155" i="61"/>
  <c r="P156" i="30"/>
  <c r="Q155" i="30"/>
  <c r="R154" i="30"/>
  <c r="S154" i="30"/>
  <c r="T154" i="30"/>
  <c r="R155" i="30" l="1"/>
  <c r="T155" i="30"/>
  <c r="S155" i="30"/>
  <c r="P157" i="30"/>
  <c r="Q156" i="30"/>
  <c r="Q155" i="61"/>
  <c r="P156" i="61"/>
  <c r="S154" i="61"/>
  <c r="R154" i="61"/>
  <c r="T154" i="61"/>
  <c r="R155" i="61" l="1"/>
  <c r="T155" i="61"/>
  <c r="S155" i="61"/>
  <c r="P158" i="30"/>
  <c r="Q157" i="30"/>
  <c r="P157" i="61"/>
  <c r="Q156" i="61"/>
  <c r="T156" i="30"/>
  <c r="R156" i="30"/>
  <c r="S156" i="30"/>
  <c r="T156" i="61" l="1"/>
  <c r="S156" i="61"/>
  <c r="R156" i="61"/>
  <c r="Q157" i="61"/>
  <c r="P158" i="61"/>
  <c r="T157" i="30"/>
  <c r="S157" i="30"/>
  <c r="R157" i="30"/>
  <c r="Q158" i="30"/>
  <c r="P159" i="30"/>
  <c r="P160" i="30" l="1"/>
  <c r="Q159" i="30"/>
  <c r="T158" i="30"/>
  <c r="R158" i="30"/>
  <c r="S158" i="30"/>
  <c r="P159" i="61"/>
  <c r="Q158" i="61"/>
  <c r="T157" i="61"/>
  <c r="S157" i="61"/>
  <c r="R157" i="61"/>
  <c r="T158" i="61" l="1"/>
  <c r="S158" i="61"/>
  <c r="R158" i="61"/>
  <c r="Q159" i="61"/>
  <c r="P160" i="61"/>
  <c r="S159" i="30"/>
  <c r="R159" i="30"/>
  <c r="T159" i="30"/>
  <c r="P161" i="30"/>
  <c r="Q160" i="30"/>
  <c r="S160" i="30" l="1"/>
  <c r="R160" i="30"/>
  <c r="T160" i="30"/>
  <c r="Q161" i="30"/>
  <c r="P162" i="30"/>
  <c r="T159" i="61"/>
  <c r="S159" i="61"/>
  <c r="R159" i="61"/>
  <c r="P161" i="61"/>
  <c r="Q160" i="61"/>
  <c r="S160" i="61" l="1"/>
  <c r="R160" i="61"/>
  <c r="T160" i="61"/>
  <c r="P162" i="61"/>
  <c r="Q161" i="61"/>
  <c r="Q162" i="30"/>
  <c r="P163" i="30"/>
  <c r="T161" i="30"/>
  <c r="S161" i="30"/>
  <c r="R161" i="30"/>
  <c r="T162" i="30" l="1"/>
  <c r="S162" i="30"/>
  <c r="R162" i="30"/>
  <c r="P164" i="30"/>
  <c r="Q163" i="30"/>
  <c r="R161" i="61"/>
  <c r="T161" i="61"/>
  <c r="S161" i="61"/>
  <c r="Q162" i="61"/>
  <c r="P163" i="61"/>
  <c r="Q164" i="30" l="1"/>
  <c r="P165" i="30"/>
  <c r="P164" i="61"/>
  <c r="Q163" i="61"/>
  <c r="R162" i="61"/>
  <c r="T162" i="61"/>
  <c r="S162" i="61"/>
  <c r="T163" i="30"/>
  <c r="S163" i="30"/>
  <c r="R163" i="30"/>
  <c r="Q164" i="61" l="1"/>
  <c r="P165" i="61"/>
  <c r="T163" i="61"/>
  <c r="S163" i="61"/>
  <c r="R163" i="61"/>
  <c r="Q165" i="30"/>
  <c r="P166" i="30"/>
  <c r="T164" i="30"/>
  <c r="S164" i="30"/>
  <c r="R164" i="30"/>
  <c r="Q166" i="30" l="1"/>
  <c r="P167" i="30"/>
  <c r="P166" i="61"/>
  <c r="Q165" i="61"/>
  <c r="T165" i="30"/>
  <c r="S165" i="30"/>
  <c r="R165" i="30"/>
  <c r="T164" i="61"/>
  <c r="S164" i="61"/>
  <c r="R164" i="61"/>
  <c r="T165" i="61" l="1"/>
  <c r="S165" i="61"/>
  <c r="R165" i="61"/>
  <c r="P167" i="61"/>
  <c r="Q166" i="61"/>
  <c r="P168" i="30"/>
  <c r="Q167" i="30"/>
  <c r="R166" i="30"/>
  <c r="T166" i="30"/>
  <c r="S166" i="30"/>
  <c r="P169" i="30" l="1"/>
  <c r="Q168" i="30"/>
  <c r="R167" i="30"/>
  <c r="S167" i="30"/>
  <c r="T167" i="30"/>
  <c r="S166" i="61"/>
  <c r="R166" i="61"/>
  <c r="T166" i="61"/>
  <c r="Q167" i="61"/>
  <c r="P168" i="61"/>
  <c r="P169" i="61" l="1"/>
  <c r="Q168" i="61"/>
  <c r="R167" i="61"/>
  <c r="T167" i="61"/>
  <c r="S167" i="61"/>
  <c r="R168" i="30"/>
  <c r="T168" i="30"/>
  <c r="S168" i="30"/>
  <c r="Q169" i="30"/>
  <c r="P170" i="30"/>
  <c r="P171" i="30" l="1"/>
  <c r="Q170" i="30"/>
  <c r="T169" i="30"/>
  <c r="R169" i="30"/>
  <c r="S169" i="30"/>
  <c r="T168" i="61"/>
  <c r="S168" i="61"/>
  <c r="R168" i="61"/>
  <c r="P170" i="61"/>
  <c r="Q169" i="61"/>
  <c r="R169" i="61" l="1"/>
  <c r="T169" i="61"/>
  <c r="S169" i="61"/>
  <c r="P171" i="61"/>
  <c r="Q170" i="61"/>
  <c r="T170" i="30"/>
  <c r="S170" i="30"/>
  <c r="R170" i="30"/>
  <c r="Q171" i="30"/>
  <c r="P172" i="30"/>
  <c r="P173" i="30" l="1"/>
  <c r="Q172" i="30"/>
  <c r="T170" i="61"/>
  <c r="R170" i="61"/>
  <c r="S170" i="61"/>
  <c r="P172" i="61"/>
  <c r="Q171" i="61"/>
  <c r="S171" i="30"/>
  <c r="R171" i="30"/>
  <c r="T171" i="30"/>
  <c r="T171" i="61" l="1"/>
  <c r="S171" i="61"/>
  <c r="R171" i="61"/>
  <c r="P173" i="61"/>
  <c r="Q172" i="61"/>
  <c r="S172" i="30"/>
  <c r="T172" i="30"/>
  <c r="R172" i="30"/>
  <c r="Q173" i="30"/>
  <c r="P174" i="30"/>
  <c r="T173" i="30" l="1"/>
  <c r="S173" i="30"/>
  <c r="R173" i="30"/>
  <c r="Q174" i="30"/>
  <c r="P175" i="30"/>
  <c r="S172" i="61"/>
  <c r="R172" i="61"/>
  <c r="T172" i="61"/>
  <c r="P174" i="61"/>
  <c r="Q173" i="61"/>
  <c r="R173" i="61" l="1"/>
  <c r="S173" i="61"/>
  <c r="T173" i="61"/>
  <c r="Q174" i="61"/>
  <c r="P175" i="61"/>
  <c r="P176" i="30"/>
  <c r="Q175" i="30"/>
  <c r="T174" i="30"/>
  <c r="S174" i="30"/>
  <c r="R174" i="30"/>
  <c r="T175" i="30" l="1"/>
  <c r="S175" i="30"/>
  <c r="R175" i="30"/>
  <c r="Q176" i="30"/>
  <c r="P177" i="30"/>
  <c r="P176" i="61"/>
  <c r="Q175" i="61"/>
  <c r="S174" i="61"/>
  <c r="T174" i="61"/>
  <c r="R174" i="61"/>
  <c r="T175" i="61" l="1"/>
  <c r="S175" i="61"/>
  <c r="R175" i="61"/>
  <c r="Q176" i="61"/>
  <c r="P177" i="61"/>
  <c r="P178" i="30"/>
  <c r="Q177" i="30"/>
  <c r="T176" i="30"/>
  <c r="S176" i="30"/>
  <c r="R176" i="30"/>
  <c r="T177" i="30" l="1"/>
  <c r="R177" i="30"/>
  <c r="S177" i="30"/>
  <c r="Q178" i="30"/>
  <c r="P179" i="30"/>
  <c r="P178" i="61"/>
  <c r="Q177" i="61"/>
  <c r="T176" i="61"/>
  <c r="R176" i="61"/>
  <c r="S176" i="61"/>
  <c r="P180" i="30" l="1"/>
  <c r="Q179" i="30"/>
  <c r="T177" i="61"/>
  <c r="S177" i="61"/>
  <c r="R177" i="61"/>
  <c r="P179" i="61"/>
  <c r="Q178" i="61"/>
  <c r="R178" i="30"/>
  <c r="S178" i="30"/>
  <c r="T178" i="30"/>
  <c r="Q179" i="61" l="1"/>
  <c r="P180" i="61"/>
  <c r="S178" i="61"/>
  <c r="R178" i="61"/>
  <c r="T178" i="61"/>
  <c r="R179" i="30"/>
  <c r="T179" i="30"/>
  <c r="S179" i="30"/>
  <c r="P181" i="30"/>
  <c r="Q180" i="30"/>
  <c r="T180" i="30" l="1"/>
  <c r="R180" i="30"/>
  <c r="S180" i="30"/>
  <c r="Q181" i="30"/>
  <c r="P182" i="30"/>
  <c r="P181" i="61"/>
  <c r="Q180" i="61"/>
  <c r="R179" i="61"/>
  <c r="T179" i="61"/>
  <c r="S179" i="61"/>
  <c r="T180" i="61" l="1"/>
  <c r="S180" i="61"/>
  <c r="R180" i="61"/>
  <c r="P182" i="61"/>
  <c r="Q181" i="61"/>
  <c r="Q182" i="30"/>
  <c r="P183" i="30"/>
  <c r="T181" i="30"/>
  <c r="S181" i="30"/>
  <c r="R181" i="30"/>
  <c r="T182" i="30" l="1"/>
  <c r="R182" i="30"/>
  <c r="S182" i="30"/>
  <c r="R181" i="61"/>
  <c r="T181" i="61"/>
  <c r="S181" i="61"/>
  <c r="P183" i="61"/>
  <c r="Q182" i="61"/>
  <c r="P184" i="30"/>
  <c r="Q183" i="30"/>
  <c r="S183" i="30" l="1"/>
  <c r="R183" i="30"/>
  <c r="T183" i="30"/>
  <c r="P185" i="30"/>
  <c r="Q184" i="30"/>
  <c r="T182" i="61"/>
  <c r="S182" i="61"/>
  <c r="R182" i="61"/>
  <c r="P184" i="61"/>
  <c r="Q183" i="61"/>
  <c r="P185" i="61" l="1"/>
  <c r="Q184" i="61"/>
  <c r="S184" i="30"/>
  <c r="R184" i="30"/>
  <c r="T184" i="30"/>
  <c r="Q185" i="30"/>
  <c r="P186" i="30"/>
  <c r="T183" i="61"/>
  <c r="S183" i="61"/>
  <c r="R183" i="61"/>
  <c r="Q186" i="30" l="1"/>
  <c r="P187" i="30"/>
  <c r="T185" i="30"/>
  <c r="S185" i="30"/>
  <c r="R185" i="30"/>
  <c r="S184" i="61"/>
  <c r="R184" i="61"/>
  <c r="T184" i="61"/>
  <c r="P186" i="61"/>
  <c r="Q185" i="61"/>
  <c r="R185" i="61" l="1"/>
  <c r="T185" i="61"/>
  <c r="S185" i="61"/>
  <c r="Q186" i="61"/>
  <c r="P187" i="61"/>
  <c r="Q187" i="30"/>
  <c r="P188" i="30"/>
  <c r="T186" i="30"/>
  <c r="S186" i="30"/>
  <c r="R186" i="30"/>
  <c r="T187" i="30" l="1"/>
  <c r="S187" i="30"/>
  <c r="R187" i="30"/>
  <c r="P188" i="61"/>
  <c r="Q187" i="61"/>
  <c r="Q188" i="30"/>
  <c r="P189" i="30"/>
  <c r="S186" i="61"/>
  <c r="T186" i="61"/>
  <c r="R186" i="61"/>
  <c r="T188" i="30" l="1"/>
  <c r="S188" i="30"/>
  <c r="R188" i="30"/>
  <c r="T187" i="61"/>
  <c r="S187" i="61"/>
  <c r="R187" i="61"/>
  <c r="Q189" i="30"/>
  <c r="P190" i="30"/>
  <c r="Q188" i="61"/>
  <c r="P189" i="61"/>
  <c r="P190" i="61" l="1"/>
  <c r="Q189" i="61"/>
  <c r="Q190" i="30"/>
  <c r="P191" i="30"/>
  <c r="T189" i="30"/>
  <c r="R189" i="30"/>
  <c r="S189" i="30"/>
  <c r="T188" i="61"/>
  <c r="S188" i="61"/>
  <c r="R188" i="61"/>
  <c r="P192" i="30" l="1"/>
  <c r="Q191" i="30"/>
  <c r="R190" i="30"/>
  <c r="T190" i="30"/>
  <c r="S190" i="30"/>
  <c r="T189" i="61"/>
  <c r="S189" i="61"/>
  <c r="R189" i="61"/>
  <c r="Q190" i="61"/>
  <c r="P191" i="61"/>
  <c r="Q191" i="61" l="1"/>
  <c r="P192" i="61"/>
  <c r="S190" i="61"/>
  <c r="R190" i="61"/>
  <c r="T190" i="61"/>
  <c r="R191" i="30"/>
  <c r="S191" i="30"/>
  <c r="T191" i="30"/>
  <c r="P193" i="30"/>
  <c r="Q192" i="30"/>
  <c r="S192" i="30" l="1"/>
  <c r="R192" i="30"/>
  <c r="T192" i="30"/>
  <c r="R191" i="61"/>
  <c r="T191" i="61"/>
  <c r="S191" i="61"/>
  <c r="Q193" i="30"/>
  <c r="P194" i="30"/>
  <c r="P193" i="61"/>
  <c r="Q192" i="61"/>
  <c r="T192" i="61" l="1"/>
  <c r="S192" i="61"/>
  <c r="R192" i="61"/>
  <c r="T193" i="30"/>
  <c r="R193" i="30"/>
  <c r="S193" i="30"/>
  <c r="P194" i="61"/>
  <c r="Q193" i="61"/>
  <c r="P195" i="30"/>
  <c r="Q194" i="30"/>
  <c r="T194" i="30" l="1"/>
  <c r="S194" i="30"/>
  <c r="R194" i="30"/>
  <c r="Q195" i="30"/>
  <c r="P196" i="30"/>
  <c r="R193" i="61"/>
  <c r="T193" i="61"/>
  <c r="S193" i="61"/>
  <c r="P195" i="61"/>
  <c r="Q194" i="61"/>
  <c r="T194" i="61" l="1"/>
  <c r="S194" i="61"/>
  <c r="R194" i="61"/>
  <c r="P196" i="61"/>
  <c r="Q195" i="61"/>
  <c r="P197" i="30"/>
  <c r="Q196" i="30"/>
  <c r="S195" i="30"/>
  <c r="R195" i="30"/>
  <c r="T195" i="30"/>
  <c r="S196" i="30" l="1"/>
  <c r="R196" i="30"/>
  <c r="T196" i="30"/>
  <c r="Q197" i="30"/>
  <c r="P198" i="30"/>
  <c r="T195" i="61"/>
  <c r="S195" i="61"/>
  <c r="R195" i="61"/>
  <c r="Q196" i="61"/>
  <c r="P197" i="61"/>
  <c r="S196" i="61" l="1"/>
  <c r="R196" i="61"/>
  <c r="T196" i="61"/>
  <c r="P198" i="61"/>
  <c r="Q197" i="61"/>
  <c r="Q198" i="30"/>
  <c r="P199" i="30"/>
  <c r="T197" i="30"/>
  <c r="S197" i="30"/>
  <c r="R197" i="30"/>
  <c r="P200" i="30" l="1"/>
  <c r="Q199" i="30"/>
  <c r="T198" i="30"/>
  <c r="S198" i="30"/>
  <c r="R198" i="30"/>
  <c r="R197" i="61"/>
  <c r="T197" i="61"/>
  <c r="S197" i="61"/>
  <c r="Q198" i="61"/>
  <c r="P199" i="61"/>
  <c r="P200" i="61" l="1"/>
  <c r="Q199" i="61"/>
  <c r="S198" i="61"/>
  <c r="T198" i="61"/>
  <c r="R198" i="61"/>
  <c r="T199" i="30"/>
  <c r="S199" i="30"/>
  <c r="R199" i="30"/>
  <c r="P201" i="30"/>
  <c r="Q201" i="30" s="1"/>
  <c r="Q200" i="30"/>
  <c r="T200" i="30" l="1"/>
  <c r="S200" i="30"/>
  <c r="R200" i="30"/>
  <c r="T201" i="30"/>
  <c r="R201" i="30"/>
  <c r="E9" i="30" s="1"/>
  <c r="S201" i="30"/>
  <c r="E10" i="30" s="1"/>
  <c r="T199" i="61"/>
  <c r="S199" i="61"/>
  <c r="R199" i="61"/>
  <c r="P201" i="61"/>
  <c r="Q201" i="61" s="1"/>
  <c r="Q200" i="61"/>
  <c r="T200" i="61" l="1"/>
  <c r="S200" i="61"/>
  <c r="R200" i="61"/>
  <c r="T201" i="61"/>
  <c r="S201" i="61"/>
  <c r="E10" i="61" s="1"/>
  <c r="R201" i="61"/>
  <c r="E9" i="61" s="1"/>
  <c r="H10" i="30"/>
  <c r="H9" i="30"/>
  <c r="E14" i="30" s="1"/>
  <c r="B22" i="30" s="1"/>
  <c r="D22" i="30" s="1"/>
  <c r="E8" i="30"/>
  <c r="E11" i="30"/>
  <c r="E12" i="30" s="1"/>
  <c r="B16" i="30" s="1"/>
  <c r="H8" i="30"/>
  <c r="H7" i="30"/>
  <c r="E13" i="30" s="1"/>
  <c r="B21" i="30" s="1"/>
  <c r="D21" i="30" s="1"/>
  <c r="D27" i="30" l="1"/>
  <c r="D28" i="30" s="1"/>
  <c r="D31" i="30"/>
  <c r="H7" i="61"/>
  <c r="E13" i="61" s="1"/>
  <c r="B21" i="61" s="1"/>
  <c r="D21" i="61" s="1"/>
  <c r="H8" i="61"/>
  <c r="H9" i="61"/>
  <c r="E14" i="61" s="1"/>
  <c r="B22" i="61" s="1"/>
  <c r="D22" i="61" s="1"/>
  <c r="H10" i="61"/>
  <c r="E11" i="61"/>
  <c r="E12" i="61" s="1"/>
  <c r="H21" i="31" s="1"/>
  <c r="E8" i="61"/>
  <c r="B24" i="40" l="1"/>
  <c r="D34" i="30"/>
  <c r="D27" i="61"/>
  <c r="D28" i="61" s="1"/>
  <c r="D31" i="61"/>
  <c r="D34" i="61" s="1"/>
  <c r="D36" i="61" l="1"/>
  <c r="D35" i="61"/>
  <c r="C24" i="40"/>
  <c r="D35" i="30"/>
  <c r="D24" i="40" s="1"/>
  <c r="D36" i="30"/>
  <c r="E24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มด</author>
  </authors>
  <commentList>
    <comment ref="C25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อลูฐาน 4770 = เมืองทอง(ราง/กล่อง) 2990 + SMS(เฟรม) 1780
สูตร live คูณ 2 ตัวคูณแยกกัน → แม่นเมื่อ SMS หรือ เมืองทอง ขึ้นราคา</t>
        </r>
      </text>
    </comment>
  </commentList>
</comments>
</file>

<file path=xl/sharedStrings.xml><?xml version="1.0" encoding="utf-8"?>
<sst xmlns="http://schemas.openxmlformats.org/spreadsheetml/2006/main" count="6823" uniqueCount="2427">
  <si>
    <t>📑 สารบัญ — กดลิงก์กระโดดไปหน้าที่ต้องการ</t>
  </si>
  <si>
    <t>🔶 ปรับราคา / ค่าวัสดุ (แก้ราคาที่นี่ ทุกชีทขยับเอง)</t>
  </si>
  <si>
    <t>▶ อัปเดตราคาอลู</t>
  </si>
  <si>
    <t>ราคาอลู/กก. ทุกแบรนด์ + ค่าอบสี ★</t>
  </si>
  <si>
    <t>▶ ราคาสี</t>
  </si>
  <si>
    <t>ราคาสีอบ/เทาซาฮารา/ลายไม้</t>
  </si>
  <si>
    <t>▶ ราคาวัสดุกลาง</t>
  </si>
  <si>
    <t>กระจก 98 รุ่น + เฟรม/เสา/อุปกรณ์</t>
  </si>
  <si>
    <t>▶ ราคาวัสดุ</t>
  </si>
  <si>
    <t>วัสดุหลังคา (จันทัน/แป/แผ่น/ราง)</t>
  </si>
  <si>
    <t>▶ ราคาออโต้</t>
  </si>
  <si>
    <t>มอเตอร์/ออโต้</t>
  </si>
  <si>
    <t>▶ ราคามุ้ง</t>
  </si>
  <si>
    <t>มุ้งซื้อสำเร็จ + ค่าแรงติดตั้ง</t>
  </si>
  <si>
    <t>▶ ค่าแรง</t>
  </si>
  <si>
    <t>ค่าแรงผลิต+ติดตั้ง ทุกแบบ</t>
  </si>
  <si>
    <t>▶ น้ำหนักโปรไฟล์</t>
  </si>
  <si>
    <t>น้ำหนัก กก./เส้น ทุกโปรไฟล์</t>
  </si>
  <si>
    <t>▶ ราคาสี (รวมแล้ว)</t>
  </si>
  <si>
    <t>ราคา/เส้น ทุกโปรไฟล์ (คำนวณ)</t>
  </si>
  <si>
    <t>📊 สรุป / ภาพรวม</t>
  </si>
  <si>
    <t>▶ หน้าตารางรวม</t>
  </si>
  <si>
    <t>▶ สรุปงานเสริม</t>
  </si>
  <si>
    <t>▶ สรุปค่าแรง</t>
  </si>
  <si>
    <t>🚪 คิดทุน — ประตู/หน้าต่าง อลู</t>
  </si>
  <si>
    <t>▶ SMS</t>
  </si>
  <si>
    <t>▶ ยูโร</t>
  </si>
  <si>
    <t>▶ SlimLux</t>
  </si>
  <si>
    <t>▶ Velora</t>
  </si>
  <si>
    <t>▶ E-series</t>
  </si>
  <si>
    <t>▶ บานเปิด</t>
  </si>
  <si>
    <t>▶ PC Door</t>
  </si>
  <si>
    <t>▶ กระทุ้ง</t>
  </si>
  <si>
    <t>▶ บานยก</t>
  </si>
  <si>
    <t>▶ เฟี้ยม</t>
  </si>
  <si>
    <t>▶ เฟี้ยมยูโร</t>
  </si>
  <si>
    <t>▶ ติดตาย</t>
  </si>
  <si>
    <t>▶ บานเลื่อนรางบน</t>
  </si>
  <si>
    <t>🌀 คิดทุน — ดัดโค้ง</t>
  </si>
  <si>
    <t>▶ ตายดัดโค้ง</t>
  </si>
  <si>
    <t>▶ เปิดดัดโค้ง</t>
  </si>
  <si>
    <t>▦ คิดทุน — ระแนง / ประตูรั้ว</t>
  </si>
  <si>
    <t>▶ ระแนง</t>
  </si>
  <si>
    <t>▶ ระแนงสลับ</t>
  </si>
  <si>
    <t>▶ ระแนงสลับ_ประตู</t>
  </si>
  <si>
    <t>▶ ประตูรั้ว</t>
  </si>
  <si>
    <t>▶ บานเกล็ด</t>
  </si>
  <si>
    <t>▶ ระแนงหมุน</t>
  </si>
  <si>
    <t>🏠 คิดทุน — หลังคา</t>
  </si>
  <si>
    <t>▶ หลังคา (รวม)</t>
  </si>
  <si>
    <t>▶ หลังคา</t>
  </si>
  <si>
    <t>▶ หลังคาจั่ว</t>
  </si>
  <si>
    <t>▶ หลังคาเลื่อน</t>
  </si>
  <si>
    <t>▶ ทุนไวนิล</t>
  </si>
  <si>
    <t>▶ ทุนดีไลท์</t>
  </si>
  <si>
    <t>▶ ทุนโพลีตัน</t>
  </si>
  <si>
    <t>▶ ทุนชินโคร์ HC</t>
  </si>
  <si>
    <t>▶ ทุนชินโคร์ Sup</t>
  </si>
  <si>
    <t>▶ ทุนเมทัลชีท</t>
  </si>
  <si>
    <t>▶ ทุนกระจก 4+4</t>
  </si>
  <si>
    <t>▶ ทุนกระจก 5+5</t>
  </si>
  <si>
    <t>🧱 คิดทุน — ฝ้า / ผนัง / งานไฟ</t>
  </si>
  <si>
    <t>▶ ฝ้ายิปซัม</t>
  </si>
  <si>
    <t>▶ สมาร์ทบอร์ด</t>
  </si>
  <si>
    <t>▶ ไอโซวอล</t>
  </si>
  <si>
    <t>▶ งานไฟ</t>
  </si>
  <si>
    <t>▶ ฝ้าไม้เทียม</t>
  </si>
  <si>
    <t>▶ LUT_ฝ้าไม้เทียม</t>
  </si>
  <si>
    <t>▶ สีฝ้าไม้เทียม</t>
  </si>
  <si>
    <t>📐 เทียบ R3.9 / เช็ก</t>
  </si>
  <si>
    <t>▶ เทียบ R3.9 SMS</t>
  </si>
  <si>
    <t>▶ เทียบ R3.9 ยูโร</t>
  </si>
  <si>
    <t>▶ เทียบ E-series</t>
  </si>
  <si>
    <t>▶ เทียบ เฟี้ยมยูโร</t>
  </si>
  <si>
    <t>▶ เทียบ R3.9</t>
  </si>
  <si>
    <t>▶ log กระจก</t>
  </si>
  <si>
    <t>▶ เช็กขนาดกระจก</t>
  </si>
  <si>
    <t>⚠️ แก้ราคาที่นี่ → 📈 อัปเดตราคาวัสดุ — กรอก "ราคา/กก. ตอนนี้" ทับเมื่อราคาขึ้น (วิธีที่ 1)</t>
  </si>
  <si>
    <t>🏠 สารบัญ</t>
  </si>
  <si>
    <t>แบรนด์</t>
  </si>
  <si>
    <t>ราคาอลู/กก. ตอนนี้</t>
  </si>
  <si>
    <t>ตัวคูณ</t>
  </si>
  <si>
    <t>ครอบคลุมบาน</t>
  </si>
  <si>
    <t>ตั้งต้น (ล็อก-อย่าแก้)</t>
  </si>
  <si>
    <t>SMS</t>
  </si>
  <si>
    <t>SMS · E-series</t>
  </si>
  <si>
    <t>ยูโรฟูจิ</t>
  </si>
  <si>
    <t>ยูโร·บานเปิด·PCDoor·กระทุ้ง·บานยก·เฟี้ยม·เฟี้ยมยูโร</t>
  </si>
  <si>
    <t>SlimLux</t>
  </si>
  <si>
    <t>Velora</t>
  </si>
  <si>
    <t>เมืองทอง (กล่อง/ฉาก/Z)</t>
  </si>
  <si>
    <t>ระแนง·ประตู·บานเกล็ด·ติดตาย·หลังคา</t>
  </si>
  <si>
    <t>วิธีใช้: ร้านอลูขึ้นราคา → พิมพ์ราคา/กก. ใหม่ทับช่อง B (เช่น เมืองทอง 188→196) → ทุกโปรไฟล์แบรนด์นั้นขยับ % เท่ากันอัตโนมัติ</t>
  </si>
  <si>
    <t>ค่าอบสี / ลายไม้ — ราคา บาท/กก. (กรอกทับเมื่อขึ้น · ชุดเดียวทุกแบรนด์)</t>
  </si>
  <si>
    <t>เทาซาฮาร่า</t>
  </si>
  <si>
    <t>ค่าอบเทา 100/กก. (ไม่มีค่าล้างสี)</t>
  </si>
  <si>
    <t>สีอบพิเศษ</t>
  </si>
  <si>
    <t>138 ค่าอบ + 35 ค่าล้างสี (พี่นัทเคาะ 18 มิ.ย.)</t>
  </si>
  <si>
    <t>สีลายไม้อบพิเศษ</t>
  </si>
  <si>
    <t>155 ค่าอบ + 35 ค่าล้างสี (พี่นัทเคาะ 18 มิ.ย.)</t>
  </si>
  <si>
    <t>ลายไม้ stock</t>
  </si>
  <si>
    <t>factor กล่องเมืองทอง · SMS/ยูโร ลายไม้=ราคาตรงต่อเส้น</t>
  </si>
  <si>
    <t>+ ค่าเปิดตู้อบ 2,000 บาท/งาน เฉพาะสีอบพิเศษ/สีลายไม้อบพิเศษ (คงที่ ไม่ขึ้นตาม กก.)</t>
  </si>
  <si>
    <t>── ตัวคูณลายไม้สต็อค (เส้น SMS/ยูโร) — แยกจากเนื้ออลู ──</t>
  </si>
  <si>
    <t>ลายไม้สต็อค บาท/กก.</t>
  </si>
  <si>
    <t>ตอนนี้ 277 (ของจริง) ÷ ตั้งต้น 258 (ที่ฝังไว้) = ตัวคูณลายไม้</t>
  </si>
  <si>
    <t>⚠️ แก้ราคาที่นี่ → ราคาสี/เส้น (จาก Stock.xlsx · ลายไม้เอา max กับที่น้องพิมพ์) — อบพิเศษ/ลายไม้พิเศษ คิดสูตร base+ค่าอบ×นน. · เพิ่มเมืองทอง/SlimLux/Velora/E-series (ราคาประเมิน นน×เรต+ค่าอบ)</t>
  </si>
  <si>
    <t>⬇ ราคาใหม่อัตโนมัติเมื่อแก้ราคา/กก. (ของเก่าอยู่ช่องซ้าย ดูว่าขึ้นจริงไหม)</t>
  </si>
  <si>
    <t>⬇ น้ำหนักคำนวณ = ราคาขาว/ดำ ÷ เรต/กก. ÷ ยาวเส้น (เอาไปคิดอบสี/ต่อยอดได้)</t>
  </si>
  <si>
    <t>รหัส</t>
  </si>
  <si>
    <t>ชื่อ</t>
  </si>
  <si>
    <t>ระบบ</t>
  </si>
  <si>
    <t>ขาว/ดำ</t>
  </si>
  <si>
    <t>ลายไม้สต็อค</t>
  </si>
  <si>
    <t>ตัวคูณ
(จาก/กก.)</t>
  </si>
  <si>
    <t>ขาว/ดำ
ปัจจุบัน</t>
  </si>
  <si>
    <t>เทา
ปัจจุบัน</t>
  </si>
  <si>
    <t>ลายไม้
ปัจจุบัน</t>
  </si>
  <si>
    <t>น้ำหนัก
กก./เส้น</t>
  </si>
  <si>
    <t>น้ำหนัก
กก./ม.</t>
  </si>
  <si>
    <t>เพิ่มขึ้น
/เส้น</t>
  </si>
  <si>
    <t>B20001</t>
  </si>
  <si>
    <t>เฟรมบนบานเลื่อน</t>
  </si>
  <si>
    <t>อลูมิเนียม sms</t>
  </si>
  <si>
    <t>B20002</t>
  </si>
  <si>
    <t>เฟรมล่างบานเลื่อน</t>
  </si>
  <si>
    <t>B20003</t>
  </si>
  <si>
    <t>เฟรมข้างบานเลื่อน</t>
  </si>
  <si>
    <t>B20004</t>
  </si>
  <si>
    <t>เฟรมบนเสริมร่องกระจก</t>
  </si>
  <si>
    <t>B20007</t>
  </si>
  <si>
    <t>เสากุญแจ (ตูดตัน)</t>
  </si>
  <si>
    <t>B20008</t>
  </si>
  <si>
    <t>เสากุญแจแบบรับแรง</t>
  </si>
  <si>
    <t>B20009</t>
  </si>
  <si>
    <t>เสาเกี่ยว (ธรรมดา)</t>
  </si>
  <si>
    <t>B20010</t>
  </si>
  <si>
    <t>เสาเกี่ยวนอก (สูง 2.4 m)</t>
  </si>
  <si>
    <t>B20019</t>
  </si>
  <si>
    <t>ฝาปิดเฟรมข้าง</t>
  </si>
  <si>
    <t>B20024</t>
  </si>
  <si>
    <t>คิ้วกันตก</t>
  </si>
  <si>
    <t>B20041</t>
  </si>
  <si>
    <t>เฟรมบานเลื่อน (3รางเสียบ)</t>
  </si>
  <si>
    <t>B20048</t>
  </si>
  <si>
    <t>ตัวตบรางมุ้ง</t>
  </si>
  <si>
    <t>B20046</t>
  </si>
  <si>
    <t>ตัวต่อมัลติพ้อยท์ล็อค (ชนกลางบานเลื่อน)</t>
  </si>
  <si>
    <t>B20047</t>
  </si>
  <si>
    <t>เฟรมล่างบานเลื่อนภายใน 3 รางเสียบภายใน</t>
  </si>
  <si>
    <t>B20050</t>
  </si>
  <si>
    <t>ฝาตบปิดรางภายใน</t>
  </si>
  <si>
    <t>B20051</t>
  </si>
  <si>
    <t>กรอบบานมัลติพ้อยท์ล็อค</t>
  </si>
  <si>
    <t>B20053</t>
  </si>
  <si>
    <t>กรอบบานมัลติพ้อยท์ล็อคร่องปกติมีมือจับ</t>
  </si>
  <si>
    <t>B20054</t>
  </si>
  <si>
    <t>ขวางล่างใส่ล้อตลับขวางบน/ขวางล่าง</t>
  </si>
  <si>
    <t>B22001</t>
  </si>
  <si>
    <t>เฟรมบนบานเลื่อน 45 มม.</t>
  </si>
  <si>
    <t>B22002</t>
  </si>
  <si>
    <t>เฟรมข้างบานเลื่อน 45 มม.</t>
  </si>
  <si>
    <t>B22004</t>
  </si>
  <si>
    <t>คิ้วรางข้างตบร่อง</t>
  </si>
  <si>
    <t>B24001</t>
  </si>
  <si>
    <t>เฟรมบนบานเฟี้ยม</t>
  </si>
  <si>
    <t>B24002</t>
  </si>
  <si>
    <t>คิ้วเฟรมบน</t>
  </si>
  <si>
    <t>B24003</t>
  </si>
  <si>
    <t>เฟรมล่างบานเฟี้ยม</t>
  </si>
  <si>
    <t>B24004</t>
  </si>
  <si>
    <t>ตบธรณี</t>
  </si>
  <si>
    <t>B24005</t>
  </si>
  <si>
    <t>เฟรมข้างบานเฟี้ยม</t>
  </si>
  <si>
    <t>B24006</t>
  </si>
  <si>
    <t>คิ้วเฟรมข้างประตู</t>
  </si>
  <si>
    <t>B24007</t>
  </si>
  <si>
    <t>เสาบานเฟี้ยม</t>
  </si>
  <si>
    <t>B24008</t>
  </si>
  <si>
    <t>คิ้วตบกระจก 5-6 มม.</t>
  </si>
  <si>
    <t>B24009</t>
  </si>
  <si>
    <t>บังใบเสาประตูบานเฟี้ยม</t>
  </si>
  <si>
    <t>B24017</t>
  </si>
  <si>
    <t>รางยู sms</t>
  </si>
  <si>
    <t>B24018</t>
  </si>
  <si>
    <t>รางบานเฟี้ยมภายใน sms</t>
  </si>
  <si>
    <t>B30006</t>
  </si>
  <si>
    <t>กรอบมุ้ง</t>
  </si>
  <si>
    <t>F7976</t>
  </si>
  <si>
    <t>เฟรมบน-ล่างบานเลื่อน 3 ราง</t>
  </si>
  <si>
    <t>อลูมิเนียม Fuji</t>
  </si>
  <si>
    <t>F7869</t>
  </si>
  <si>
    <t>เฟรมบน-ล่างบานเลื่อน 3 ราง (ตัวหนา)</t>
  </si>
  <si>
    <t>F7977</t>
  </si>
  <si>
    <t>เฟรมบน-ล่างบานเลื่อน 2 ราง</t>
  </si>
  <si>
    <t>F7990</t>
  </si>
  <si>
    <t>ต่อเฟรมบน-ล่างบานเลื่อน</t>
  </si>
  <si>
    <t>F7902</t>
  </si>
  <si>
    <t>เฟรมล่างบานเลื่อน 3 ราง (ตัวเตี้ย)</t>
  </si>
  <si>
    <t>F7978</t>
  </si>
  <si>
    <t>เฟรมข้างบานเลื่อน 3 ราง</t>
  </si>
  <si>
    <t>F7870</t>
  </si>
  <si>
    <t>เฟรมข้างบานเลื่อน 3 ราง (ตัวหนา)</t>
  </si>
  <si>
    <t>F7979</t>
  </si>
  <si>
    <t>เฟรมข้างบานเลื่อน 2 ราง</t>
  </si>
  <si>
    <t>F7986</t>
  </si>
  <si>
    <t>ตบรับล็อกเฟรมข้าง</t>
  </si>
  <si>
    <t>F7989</t>
  </si>
  <si>
    <t>กล่องต่อเฟรมข้างบานเลื่อน</t>
  </si>
  <si>
    <t>F7867</t>
  </si>
  <si>
    <t>กรอบบานเลื่อน ประตู (ตัวบาง)</t>
  </si>
  <si>
    <t>F7980</t>
  </si>
  <si>
    <t>กรอบบานเลื่อนประตู</t>
  </si>
  <si>
    <t>F7981</t>
  </si>
  <si>
    <t>กรอบบานเลื่อนหน้าต่าง</t>
  </si>
  <si>
    <t>F7991</t>
  </si>
  <si>
    <t>ตบธรณีบานเลื่อน</t>
  </si>
  <si>
    <t>F7992</t>
  </si>
  <si>
    <t>ตบฝังเฟรมบานเลื่อน</t>
  </si>
  <si>
    <t>F7982</t>
  </si>
  <si>
    <t>ตบเกี่ยวทางเดียว หน้าต่าง</t>
  </si>
  <si>
    <t>F7983</t>
  </si>
  <si>
    <t>ตบเกี่ยวทางเดียว ประตู</t>
  </si>
  <si>
    <t>F7984</t>
  </si>
  <si>
    <t>ตบเกี่ยวสองทาง หน้าต่าง</t>
  </si>
  <si>
    <t>F7985</t>
  </si>
  <si>
    <t>ตบเกี่ยวสองทาง ประตู</t>
  </si>
  <si>
    <t>F7966</t>
  </si>
  <si>
    <t>แบ่งบานมุ้งบานเลื่อน</t>
  </si>
  <si>
    <t>F7925</t>
  </si>
  <si>
    <t>ต่อชนกลาง</t>
  </si>
  <si>
    <t>F7855</t>
  </si>
  <si>
    <t>ชนกลางบานเลื่อนรับแรง</t>
  </si>
  <si>
    <t>F7951</t>
  </si>
  <si>
    <t>เสารับแรงบานเลื่อน</t>
  </si>
  <si>
    <t>F7857</t>
  </si>
  <si>
    <t>อแดปเตอร์บานเลือนดิจิตอล</t>
  </si>
  <si>
    <t>F7918</t>
  </si>
  <si>
    <t>เสาต่อหักมุม 90</t>
  </si>
  <si>
    <t>F7993</t>
  </si>
  <si>
    <t>ตบปิดร่องรางเลื่อน</t>
  </si>
  <si>
    <t>F7988</t>
  </si>
  <si>
    <t>ตบปิดร่อง</t>
  </si>
  <si>
    <t>F7994</t>
  </si>
  <si>
    <t>เส้นรางเลื่อน</t>
  </si>
  <si>
    <t>F7987</t>
  </si>
  <si>
    <t>คิ้วมุ้งบานเลื่อน</t>
  </si>
  <si>
    <t>F7996</t>
  </si>
  <si>
    <t>คิ้วลอยช่องแสง</t>
  </si>
  <si>
    <t>F7919</t>
  </si>
  <si>
    <t>คิ้วกรอบบาน</t>
  </si>
  <si>
    <t>F7917</t>
  </si>
  <si>
    <t>F7950</t>
  </si>
  <si>
    <t>F7952</t>
  </si>
  <si>
    <t>แผ่นยึดเฟรมล่าง</t>
  </si>
  <si>
    <t>F7879</t>
  </si>
  <si>
    <t>ตบธรณีเรียบตัวกลาง</t>
  </si>
  <si>
    <t>F7880</t>
  </si>
  <si>
    <t>ตบธรณีเรียบตัวริม</t>
  </si>
  <si>
    <t>F7859</t>
  </si>
  <si>
    <t>เฟรมบานกระทุ้ง ไม่มีรูระบายน้ำ</t>
  </si>
  <si>
    <t>F7858</t>
  </si>
  <si>
    <t>เฟรมบานตายคิ้วไม่มีรูระบายน้ำ</t>
  </si>
  <si>
    <t>F7937</t>
  </si>
  <si>
    <t>เฟรมบานตายคิ้วใน</t>
  </si>
  <si>
    <t>F7871</t>
  </si>
  <si>
    <t>เฟรมบานตายคิ้วใน (ตัวหนา)</t>
  </si>
  <si>
    <t>F7939B</t>
  </si>
  <si>
    <t>เฟรมบานกระทุ้ง</t>
  </si>
  <si>
    <t>F7938B</t>
  </si>
  <si>
    <t>เฟรมบานกระทุ้ง (ติดมุ้ง)</t>
  </si>
  <si>
    <t>F7861</t>
  </si>
  <si>
    <t>ตบเฟรมแบ่งบาน</t>
  </si>
  <si>
    <t>F7944B</t>
  </si>
  <si>
    <t>กรอบมุ้ง-มุ้งนิรภัย</t>
  </si>
  <si>
    <t>F7958B</t>
  </si>
  <si>
    <t>รับล็อคปิดกลางบานมุ้ง</t>
  </si>
  <si>
    <t>F7998</t>
  </si>
  <si>
    <t>กล่องก้านบานตายคิ้วใน</t>
  </si>
  <si>
    <t>F7940B</t>
  </si>
  <si>
    <t>กล่องก้านคิ้วนิก</t>
  </si>
  <si>
    <t>F7868</t>
  </si>
  <si>
    <t>กล่องก้าน 2 ทางคิ้วนอก (ติดมุ้ง)</t>
  </si>
  <si>
    <t>F7997</t>
  </si>
  <si>
    <t>กล่องก้านสลับ</t>
  </si>
  <si>
    <t>F7854</t>
  </si>
  <si>
    <t>เฟรมแบ่งบานคิ้วนอก</t>
  </si>
  <si>
    <t>F7852</t>
  </si>
  <si>
    <t>ตบเฟรมแบ่งบานคิ้วใน</t>
  </si>
  <si>
    <t>F7999</t>
  </si>
  <si>
    <t>เฟรมแบ่งบานคิ้วใน</t>
  </si>
  <si>
    <t>F7942</t>
  </si>
  <si>
    <t>ตบเฟรมแบ่งบานคิ้วนอก</t>
  </si>
  <si>
    <t>F7943B</t>
  </si>
  <si>
    <t>กรอบบานกระทุ้ง</t>
  </si>
  <si>
    <t>F7945C</t>
  </si>
  <si>
    <t>เสารับล็อกเปิดกลาง</t>
  </si>
  <si>
    <t>F7960</t>
  </si>
  <si>
    <t>F7959</t>
  </si>
  <si>
    <t>กล่องค้ำบานมุ้ง</t>
  </si>
  <si>
    <t>F7865B</t>
  </si>
  <si>
    <t>แผงประตู</t>
  </si>
  <si>
    <t>F7965</t>
  </si>
  <si>
    <t>ลูกฟักแบ่งบาน</t>
  </si>
  <si>
    <t>F7946</t>
  </si>
  <si>
    <t>คิ้วตบในบานตาย</t>
  </si>
  <si>
    <t>F7947</t>
  </si>
  <si>
    <t>คิ้วตบนอกบานตาย</t>
  </si>
  <si>
    <t>F7968</t>
  </si>
  <si>
    <t>เฟรมบานเฟี้ยม</t>
  </si>
  <si>
    <t>F7969</t>
  </si>
  <si>
    <t>F7970</t>
  </si>
  <si>
    <t>F7972</t>
  </si>
  <si>
    <t>กรอบบานเฟี้ยม</t>
  </si>
  <si>
    <t>F7932</t>
  </si>
  <si>
    <t>รางยู</t>
  </si>
  <si>
    <t>F7962</t>
  </si>
  <si>
    <t>รับล็อกบานคู่ + บานคี่</t>
  </si>
  <si>
    <t>F7961</t>
  </si>
  <si>
    <t>รับล็อกเฟรมข้างบานคู่</t>
  </si>
  <si>
    <t>F7963</t>
  </si>
  <si>
    <t>รับล็อกเข้ามุมบานคู่</t>
  </si>
  <si>
    <t>F7964</t>
  </si>
  <si>
    <t>เสาเข้ามุม</t>
  </si>
  <si>
    <t>F7974</t>
  </si>
  <si>
    <t>ชนกลางบานคู่</t>
  </si>
  <si>
    <t>F7973</t>
  </si>
  <si>
    <t>ตบเรียบบานเฟี้ยม</t>
  </si>
  <si>
    <t>F7975</t>
  </si>
  <si>
    <t>บังใบสำหรับใส่กลอน</t>
  </si>
  <si>
    <t>━ เมืองทอง ━</t>
  </si>
  <si>
    <t>705</t>
  </si>
  <si>
    <t>แป๊บ 6 หุน</t>
  </si>
  <si>
    <t>อลูมิเนียม เมืองทอง</t>
  </si>
  <si>
    <t>706</t>
  </si>
  <si>
    <t>709</t>
  </si>
  <si>
    <t>แป๊บ 1 นิ้ว</t>
  </si>
  <si>
    <t>710</t>
  </si>
  <si>
    <t>711</t>
  </si>
  <si>
    <t>715</t>
  </si>
  <si>
    <t>แป๊บ 1¼ นิ้ว</t>
  </si>
  <si>
    <t>718</t>
  </si>
  <si>
    <t>แป๊บ 1½ นิ้ว</t>
  </si>
  <si>
    <t>745</t>
  </si>
  <si>
    <t>724A</t>
  </si>
  <si>
    <t>แป๊บ 1¾ นิ้ว</t>
  </si>
  <si>
    <t>724B</t>
  </si>
  <si>
    <t>724F</t>
  </si>
  <si>
    <t>726A</t>
  </si>
  <si>
    <t>726F</t>
  </si>
  <si>
    <t>728</t>
  </si>
  <si>
    <t>แป๊บ 2 นิ้ว</t>
  </si>
  <si>
    <t>749</t>
  </si>
  <si>
    <t>802</t>
  </si>
  <si>
    <t>½×1 นิ้ว</t>
  </si>
  <si>
    <t>808</t>
  </si>
  <si>
    <t>1½×1 นิ้ว</t>
  </si>
  <si>
    <t>812</t>
  </si>
  <si>
    <t>1¾×1 นิ้ว</t>
  </si>
  <si>
    <t>0827</t>
  </si>
  <si>
    <t>1×2 นิ้ว</t>
  </si>
  <si>
    <t>816</t>
  </si>
  <si>
    <t>820</t>
  </si>
  <si>
    <t>1×3 นิ้ว</t>
  </si>
  <si>
    <t>843</t>
  </si>
  <si>
    <t>0828</t>
  </si>
  <si>
    <t>1¾×3 นิ้ว</t>
  </si>
  <si>
    <t>823</t>
  </si>
  <si>
    <t>848</t>
  </si>
  <si>
    <t>0806</t>
  </si>
  <si>
    <t>1×4 นิ้ว</t>
  </si>
  <si>
    <t>831</t>
  </si>
  <si>
    <t>0829</t>
  </si>
  <si>
    <t>1¾×4 นิ้ว</t>
  </si>
  <si>
    <t>874</t>
  </si>
  <si>
    <t>837A</t>
  </si>
  <si>
    <t>837B</t>
  </si>
  <si>
    <t>837F</t>
  </si>
  <si>
    <t>0821</t>
  </si>
  <si>
    <t>2×4 นิ้ว</t>
  </si>
  <si>
    <t>0815</t>
  </si>
  <si>
    <t>TRT-1419</t>
  </si>
  <si>
    <t>ตัว Z 4 นิ้ว</t>
  </si>
  <si>
    <t>-</t>
  </si>
  <si>
    <t>ประตูรั้ว/เสา-คาน</t>
  </si>
  <si>
    <t>ติดตาย</t>
  </si>
  <si>
    <t>จันทันหลังคา</t>
  </si>
  <si>
    <t>ฉาก 6 หุน</t>
  </si>
  <si>
    <t>Z-1.6</t>
  </si>
  <si>
    <t>ตัว Z 1.6 นิ้ว</t>
  </si>
  <si>
    <t>━ SlimLux ━</t>
  </si>
  <si>
    <t>WM-K01</t>
  </si>
  <si>
    <t>ไส้เสาบาน</t>
  </si>
  <si>
    <t>อลูมิเนียม SlimLux</t>
  </si>
  <si>
    <t>WM-K02</t>
  </si>
  <si>
    <t>ฝาเสาเรียบ</t>
  </si>
  <si>
    <t>WM-K03</t>
  </si>
  <si>
    <t>ฝาเสาเกี่ยว</t>
  </si>
  <si>
    <t>WM-K04</t>
  </si>
  <si>
    <t>ขวางบนล่าง</t>
  </si>
  <si>
    <t>รางบน 3 ราง</t>
  </si>
  <si>
    <t>WM-K15</t>
  </si>
  <si>
    <t>รางแขวน 1 ราง</t>
  </si>
  <si>
    <t>WM-K19</t>
  </si>
  <si>
    <t>ข้อต่อรางแขวน</t>
  </si>
  <si>
    <t>WM-K18</t>
  </si>
  <si>
    <t>ฝาปิดข้างรางแขวน</t>
  </si>
  <si>
    <t>WM-K20</t>
  </si>
  <si>
    <t>ฝาปิดล่างรางแขวน</t>
  </si>
  <si>
    <t>WM-K21A</t>
  </si>
  <si>
    <t>ฝาปิดล่างรางแขวนตัวใหญ่</t>
  </si>
  <si>
    <t>วงกบ</t>
  </si>
  <si>
    <t>ลูกฟูก</t>
  </si>
  <si>
    <t>ซัพวงกบใน</t>
  </si>
  <si>
    <t>ซัพวงกบนอก</t>
  </si>
  <si>
    <t>บาน</t>
  </si>
  <si>
    <t>━ Velora ━</t>
  </si>
  <si>
    <t>อลูมิเนียม Velora</t>
  </si>
  <si>
    <t>━ E-series ━</t>
  </si>
  <si>
    <t>E-01</t>
  </si>
  <si>
    <t>อลูมิเนียม E-series</t>
  </si>
  <si>
    <t>E-01A</t>
  </si>
  <si>
    <t>E-03</t>
  </si>
  <si>
    <t>E-03C</t>
  </si>
  <si>
    <t>E-05</t>
  </si>
  <si>
    <t>E-02B</t>
  </si>
  <si>
    <t>E-02C</t>
  </si>
  <si>
    <t>E-04P</t>
  </si>
  <si>
    <t>E-04GP</t>
  </si>
  <si>
    <t>E-07</t>
  </si>
  <si>
    <t>E-07A</t>
  </si>
  <si>
    <t>E-04E</t>
  </si>
  <si>
    <t>E-05E</t>
  </si>
  <si>
    <t>E-06E</t>
  </si>
  <si>
    <t>E-07E</t>
  </si>
  <si>
    <t>E-01L</t>
  </si>
  <si>
    <t>E-02L</t>
  </si>
  <si>
    <t>E-03L</t>
  </si>
  <si>
    <t>X-01</t>
  </si>
  <si>
    <t>X-02</t>
  </si>
  <si>
    <t>X-03</t>
  </si>
  <si>
    <t>X-J</t>
  </si>
  <si>
    <t>📈 บันทึกราคาขึ้น — ทุน @ บานมาตรฐาน 150×150 ซม (2.25 ตร.ม.)</t>
  </si>
  <si>
    <t>ทุก ครั้งที่อลู/กก. ขึ้น → มดเพิ่มคอลัมน์วันที่ใหม่ + %ขึ้น · ดูได้ว่าบานไหนขึ้นเท่าไหร่ + ตรวจว่าเพิ่มถูก (ทุน=วัสดุ อลู+กระจก+อุปกรณ์ ไม่รวมค่าแรง · อลูเท่านั้นที่ขึ้นตาม/กก.)</t>
  </si>
  <si>
    <t>① ประวัติเรตอลู (บาท/กก.)</t>
  </si>
  <si>
    <t>วันที่</t>
  </si>
  <si>
    <t>ยูโร/Fuji</t>
  </si>
  <si>
    <t>เมืองทอง</t>
  </si>
  <si>
    <t>25/6/69</t>
  </si>
  <si>
    <t>② ทุน @150×150 ต่อบาน (บาท)</t>
  </si>
  <si>
    <t>config</t>
  </si>
  <si>
    <t>ทุนอลูฐาน</t>
  </si>
  <si>
    <t>กระจก+อุปกรณ์</t>
  </si>
  <si>
    <t>ทุนรวม ปัจจุบัน
(สูตร live)</t>
  </si>
  <si>
    <t>25/6/69
(บันทึก)</t>
  </si>
  <si>
    <t>%ขึ้น</t>
  </si>
  <si>
    <t>บานเลื่อน SMS</t>
  </si>
  <si>
    <t>2 บาน</t>
  </si>
  <si>
    <t>ฐาน</t>
  </si>
  <si>
    <t>บานเลื่อน ยูโร</t>
  </si>
  <si>
    <t>บานเลื่อน SlimLux</t>
  </si>
  <si>
    <t>บานเลื่อน Velora</t>
  </si>
  <si>
    <t>บานเลื่อน E-series</t>
  </si>
  <si>
    <t>บานเปิด (ยูโร)</t>
  </si>
  <si>
    <t>PC Door</t>
  </si>
  <si>
    <t>1 บาน</t>
  </si>
  <si>
    <t>บานกระทุ้ง</t>
  </si>
  <si>
    <t>บานยก</t>
  </si>
  <si>
    <t>บานเฟี้ยม</t>
  </si>
  <si>
    <t>4 บาน</t>
  </si>
  <si>
    <t>เฟี้ยมยูโร</t>
  </si>
  <si>
    <t>บานติดตาย</t>
  </si>
  <si>
    <t>ตายดัดโค้ง</t>
  </si>
  <si>
    <t>เปิดดัดโค้ง</t>
  </si>
  <si>
    <t>บานเลื่อนรางบน</t>
  </si>
  <si>
    <t>🔧 วิธีเพิ่มรอบใหม่เมื่ออลูขึ้น:</t>
  </si>
  <si>
    <t>1) แก้ราคา/กก. ที่ชีท "อัปเดตราคาอลู" → ช่อง "ทุนรวม ปัจจุบัน(สูตร)" ขยับเอง</t>
  </si>
  <si>
    <t>2) มดเพิ่ม 2 คอลัมน์ใหม่ (วันที่ + %ขึ้น) คัดค่าจากช่องสูตร + เพิ่มแถวเรตใน ① → ได้ประวัติว่าบานไหนขึ้นเท่าไหร่</t>
  </si>
  <si>
    <t>หมายเหตุ: ตายดัดโค้ง/เปิดดัดโค้ง อลูตั้งราคาตายตัว ไม่ขึ้นตาม/กก. · รางบน/เฟี้ยม สูตร live ประมาณ (เลขเป๊ะดูคอลัมน์บันทึกวันที่)</t>
  </si>
  <si>
    <t>⚠️  ทุนอลูฐาน(ส้ม)/กระจก+อุปกรณ์(เทา) = ค่าคงที่ @150×150 · ทุนรวม(เขียว) = อลูฐาน×ตัวคูณ + อื่นๆ → ขึ้นเองเมื่อ/กก.ขึ้น</t>
  </si>
  <si>
    <t>⚠️ แก้ราคาที่นี่ → 📋 ราคาวัสดุงานเสริม — แก้ราคาที่นี่ที่เดียว (ช่องเหลือง) · ทุกชีทดึงไปใช้อัตโนมัติ</t>
  </si>
  <si>
    <t>งาน</t>
  </si>
  <si>
    <t>วัสดุ</t>
  </si>
  <si>
    <t>หน่วย</t>
  </si>
  <si>
    <t>ราคา (บาท)</t>
  </si>
  <si>
    <t>ฝ้ายิปซัม</t>
  </si>
  <si>
    <t>แผ่นยิปซัม 9มม</t>
  </si>
  <si>
    <t>แผ่น</t>
  </si>
  <si>
    <t>โครงซีไลน์ (ฟิวริ่ง)</t>
  </si>
  <si>
    <t>เส้น</t>
  </si>
  <si>
    <t>โครงเคร่าหลัก (อาบ)</t>
  </si>
  <si>
    <t>ขาแขวน</t>
  </si>
  <si>
    <t>สกรูยึดแผ่น</t>
  </si>
  <si>
    <t>ตัว</t>
  </si>
  <si>
    <t>สกรูยึดโครง</t>
  </si>
  <si>
    <t>ปูนฉาบรอยต่อ</t>
  </si>
  <si>
    <t>ถุง</t>
  </si>
  <si>
    <t>เทป/ตาข่าย</t>
  </si>
  <si>
    <t>ม้วน</t>
  </si>
  <si>
    <t>ฉากโอบ อลู 4หุน</t>
  </si>
  <si>
    <t>ฉนวน rockwool 3"</t>
  </si>
  <si>
    <t>งานไฟ</t>
  </si>
  <si>
    <t>ไฟดาวน์ไลท์</t>
  </si>
  <si>
    <t>ดวง</t>
  </si>
  <si>
    <t>เต้ารับ+หน้ากาก</t>
  </si>
  <si>
    <t>จุด</t>
  </si>
  <si>
    <t>สวิตช์+หน้ากาก</t>
  </si>
  <si>
    <t>กล่องไฟ</t>
  </si>
  <si>
    <t>กล่อง</t>
  </si>
  <si>
    <t>สายไฟ THW/VAF</t>
  </si>
  <si>
    <t>เมตร</t>
  </si>
  <si>
    <t>ท่อ PVC+ข้อต่อ</t>
  </si>
  <si>
    <t>เทป+เบ็ดเตล็ด</t>
  </si>
  <si>
    <t>สมาร์ทบอร์ด</t>
  </si>
  <si>
    <t>แผ่นสมาร์ทบอร์ด 12มม</t>
  </si>
  <si>
    <t>โครงเหล็กกรอบ 1½×3"</t>
  </si>
  <si>
    <t>ซีไลน์ 3" ดิ่ง</t>
  </si>
  <si>
    <t>ซีไลน์ 3" นอน</t>
  </si>
  <si>
    <t>ฉนวน 3"</t>
  </si>
  <si>
    <t>ไอโซวอล</t>
  </si>
  <si>
    <t>แผ่นไอโซวอล ≤2.4ม</t>
  </si>
  <si>
    <t>แผ่นไอโซวอล &gt;2.4ม</t>
  </si>
  <si>
    <t>กล่อง 1.6×4" โครงรอบ</t>
  </si>
  <si>
    <t>ฉาก 4หุน</t>
  </si>
  <si>
    <t>สกรู/รีเวท</t>
  </si>
  <si>
    <t>ซิลิโคน/ซีล</t>
  </si>
  <si>
    <t>หลอด</t>
  </si>
  <si>
    <t>ฝ้าไม้เทียม</t>
  </si>
  <si>
    <t>ขาจับฝ้า (ไม้ทิพย์)</t>
  </si>
  <si>
    <t>โครงซีไลน์</t>
  </si>
  <si>
    <t>⚠️ แก้ราคาที่นี่ → ราคาออโต้/มอเตอร์ (ทุน) — มดอัปเดตที่นี่ที่เดียว · ชีทบานติ๊กเลือกแล้วดึงมาใช้</t>
  </si>
  <si>
    <t>หมวด/บาน</t>
  </si>
  <si>
    <t>รุ่น/รายการ</t>
  </si>
  <si>
    <t>ราคา</t>
  </si>
  <si>
    <t>ค่าส่ง</t>
  </si>
  <si>
    <t>หน่วย/เงื่อนไข</t>
  </si>
  <si>
    <t>บานยก / เฟี้ยมยก</t>
  </si>
  <si>
    <t>ยก 80 กก.</t>
  </si>
  <si>
    <t>ยก 300 กก.</t>
  </si>
  <si>
    <t>หลังคาเลื่อน</t>
  </si>
  <si>
    <t>80 กก.</t>
  </si>
  <si>
    <t>300 กก.</t>
  </si>
  <si>
    <t>1500 กก.</t>
  </si>
  <si>
    <t>มีฟันเฟือง+เซนเซอร์</t>
  </si>
  <si>
    <t>ฟันเฟือง (เฉพาะ1500)</t>
  </si>
  <si>
    <t>บาท/ม. × ระยะยื่น</t>
  </si>
  <si>
    <t>เซนเซอร์กันฝน (ออป,1500)</t>
  </si>
  <si>
    <t>ออปชั่น</t>
  </si>
  <si>
    <t>บานเกล็ด 38.1</t>
  </si>
  <si>
    <t>มอเตอร์บานเกล็ด</t>
  </si>
  <si>
    <t>ไม่มีค่าส่ง</t>
  </si>
  <si>
    <t>ระแนงหมุน</t>
  </si>
  <si>
    <t>มอเตอร์ระแนงหมุน</t>
  </si>
  <si>
    <t>รวมส่งแล้ว</t>
  </si>
  <si>
    <t>โช็ค เปิด 50</t>
  </si>
  <si>
    <t>2 ตัว→+อุปกรณ์พิเศษ</t>
  </si>
  <si>
    <t>โช็ค เปิด 80</t>
  </si>
  <si>
    <t>โซ่เดี่ยว 50</t>
  </si>
  <si>
    <t>โซ่คู่ 50</t>
  </si>
  <si>
    <t>อุปกรณ์พิเศษ (โช็ค 2 ตัว)</t>
  </si>
  <si>
    <t>บวกเมื่อใช้ 2 ตัว</t>
  </si>
  <si>
    <t>เลื่อน SMS/ยูโร</t>
  </si>
  <si>
    <t>Evecca (จีน)</t>
  </si>
  <si>
    <t>สายพาน Evecca</t>
  </si>
  <si>
    <t>บาท/ม. = กว้างช่อง×2</t>
  </si>
  <si>
    <t>ออป Smart lock</t>
  </si>
  <si>
    <t>ออปชั่น Evecca</t>
  </si>
  <si>
    <t>ช่างแซก</t>
  </si>
  <si>
    <t>เซฟตี้ตาแมว (บังคับช่างแซก)</t>
  </si>
  <si>
    <t>บวกทุกชุดช่างแซก</t>
  </si>
  <si>
    <t>ราง ช่างแซก</t>
  </si>
  <si>
    <t>บาท/ม. = กว้างช่อง</t>
  </si>
  <si>
    <t>ออป Touch Switch (ช่างแซก)</t>
  </si>
  <si>
    <t>ออป Infrared (ช่างแซก)</t>
  </si>
  <si>
    <t>ชุด SlimLux (บานแรก)</t>
  </si>
  <si>
    <t>บานแรก</t>
  </si>
  <si>
    <t>บานเพิ่ม</t>
  </si>
  <si>
    <t>บาท/บานเพิ่ม</t>
  </si>
  <si>
    <t>ราง SlimLux</t>
  </si>
  <si>
    <t>บาท/ม. = กว้างช่อง×จำนวนบาน</t>
  </si>
  <si>
    <t>ออป สแกนหน้า (บังคับเลือก1)</t>
  </si>
  <si>
    <t>เลือก 1 ใน 2</t>
  </si>
  <si>
    <t>ออป Touch Switch (บังคับเลือก1)</t>
  </si>
  <si>
    <t>⚠️ แก้ราคาที่นี่ → 📋 ราคาวัสดุกลาง — แก้ที่นี่ที่เดียวเมื่อราคาขึ้น</t>
  </si>
  <si>
    <t>อลูเมืองทองขึ้นราคา? แก้ที่ชีท "อัปเดตราคาอลู" ช่องเมืองทอง (บาท/กก.) → จันทัน/แป/ฉาก/แซด/คาน ขยับเอง</t>
  </si>
  <si>
    <t>โปรไฟล์อลูมิเนียม (เส้นยาว 6 ม.)</t>
  </si>
  <si>
    <t>◀ ราคาอลู (บาท/กก.) · เหล็กแก้ราคา/เส้น ในตารางเลย (สีเหลือง)</t>
  </si>
  <si>
    <t>หมายเหตุ</t>
  </si>
  <si>
    <t>ราคาฐาน</t>
  </si>
  <si>
    <t>น้ำหนัก/เส้น(กก.)</t>
  </si>
  <si>
    <t>กล่อง 1.6"×4"</t>
  </si>
  <si>
    <t>แกนหลัก / จันทัน</t>
  </si>
  <si>
    <t>กล่อง 1.6"×1.6"</t>
  </si>
  <si>
    <t>แป — แปเดี่ยว</t>
  </si>
  <si>
    <t>กล่อง 1"×1½"</t>
  </si>
  <si>
    <t>แป — แปคู่</t>
  </si>
  <si>
    <t>ยึดติดผนัง</t>
  </si>
  <si>
    <t>แซด 4"</t>
  </si>
  <si>
    <t>ร่องน้ำ / ขอบ</t>
  </si>
  <si>
    <t>กล่องเหล็ก 1"×1"</t>
  </si>
  <si>
    <t>เสริมโครง</t>
  </si>
  <si>
    <t>เพลทเหล็ก</t>
  </si>
  <si>
    <t>ยึดด้านหลัง</t>
  </si>
  <si>
    <t>กล่อง 4"×4"</t>
  </si>
  <si>
    <t>คาน T หลังคาจั่ว</t>
  </si>
  <si>
    <t>วัสดุปิดผิว</t>
  </si>
  <si>
    <t>ไวนิล</t>
  </si>
  <si>
    <t>แผ่น (7 ม.)</t>
  </si>
  <si>
    <t>จันทันห่าง ≤100 ซม.</t>
  </si>
  <si>
    <t>ฝาครอบไวนิล</t>
  </si>
  <si>
    <t>เส้น (7 ม.)</t>
  </si>
  <si>
    <t>1 เส้น/แผ่นไวนิล</t>
  </si>
  <si>
    <t>ดีไลท์</t>
  </si>
  <si>
    <t>แผ่น (6 ม.)</t>
  </si>
  <si>
    <t>ฝาครอบแถมฟรี</t>
  </si>
  <si>
    <t>โพลีตัน</t>
  </si>
  <si>
    <t>จันทันห่าง ≤122 ซม.</t>
  </si>
  <si>
    <t>ตัวครอบโพลีตัน</t>
  </si>
  <si>
    <t>จุด/จันทัน</t>
  </si>
  <si>
    <t>1 จุดต่อ 1 จันทัน</t>
  </si>
  <si>
    <t>ชินโคร์ไลท์ Heat Cut</t>
  </si>
  <si>
    <t>ตร.ม.</t>
  </si>
  <si>
    <t>รวมฝาครอบ</t>
  </si>
  <si>
    <t>ชินโคร์ไลท์ Superior</t>
  </si>
  <si>
    <t>เมทัลชีท PU 2" Snap</t>
  </si>
  <si>
    <t>กระจกลามิเนต 4+4</t>
  </si>
  <si>
    <t>ฟิล์มเขียว/ใส 0.38</t>
  </si>
  <si>
    <t>กระจกลามิเนต 5+5</t>
  </si>
  <si>
    <t>⚠️ แก้ราคาที่นี่ → ค่าแรง ผลิต + ติดตั้ง (สูตร: ค่าเริ่มต้น + เรต×ตร.ม.) — จากไฟล์ค่าแรง นิด</t>
  </si>
  <si>
    <t>เลือกแบบ →</t>
  </si>
  <si>
    <t>พื้นที่ (ตร.ม.) →</t>
  </si>
  <si>
    <t>ค่าแรงผลิต =</t>
  </si>
  <si>
    <t>ค่าแรงติดตั้ง =</t>
  </si>
  <si>
    <t>รวมค่าแรง (ผลิต+ติดตั้ง) =</t>
  </si>
  <si>
    <t>ตารางค่าแรง (แก้ที่นี่ถ้าค่าแรงเปลี่ยน) — ค่าแรง/ชม.=87.5</t>
  </si>
  <si>
    <t>แบบบาน</t>
  </si>
  <si>
    <t>ผลิต: ค่าเริ่มต้น</t>
  </si>
  <si>
    <t>ผลิต: /ตร.ม.</t>
  </si>
  <si>
    <t>ติดตั้ง: ค่าเริ่มต้น</t>
  </si>
  <si>
    <t>ติดตั้ง: /ตร.ม.</t>
  </si>
  <si>
    <t>ชม.ฐานผลิต</t>
  </si>
  <si>
    <t>ชม.ฐานติดตั้ง</t>
  </si>
  <si>
    <t>ค่าแรง/ชม.</t>
  </si>
  <si>
    <t>ชม.เพิ่มผลิต/ตร.ม.</t>
  </si>
  <si>
    <t>ชม.เพิ่มติดตั้ง/ตร.ม.</t>
  </si>
  <si>
    <t>บานกระทุ้ง (ยูโร)</t>
  </si>
  <si>
    <t>บานเฟี้ยม (sms)</t>
  </si>
  <si>
    <t>บานยก (เซมิ)</t>
  </si>
  <si>
    <t>หลังคา</t>
  </si>
  <si>
    <t>บานเฟี้ยมยูโร</t>
  </si>
  <si>
    <t>มุ้งเฟรมเล็ก</t>
  </si>
  <si>
    <t>หลังคาจั่ว</t>
  </si>
  <si>
    <t>▶ งานเสริม (ฝ้า/ผนัง/ไฟ) — บาท</t>
  </si>
  <si>
    <t>ค่าแรงผลิต/หลัก</t>
  </si>
  <si>
    <t>ค่าแรงติดตั้ง</t>
  </si>
  <si>
    <t>ฝ้ายิปซัมฉาบเรียบ</t>
  </si>
  <si>
    <t>— ไม่มี</t>
  </si>
  <si>
    <t>/ตร.ม. (รวม)</t>
  </si>
  <si>
    <t>ผนังสมาร์ทบอร์ด</t>
  </si>
  <si>
    <t>/ตร.ม.</t>
  </si>
  <si>
    <t>ผนังไอโซวอล</t>
  </si>
  <si>
    <t>งานไฟ — เดินสายไฟ</t>
  </si>
  <si>
    <t>/เมตร</t>
  </si>
  <si>
    <t>งานไฟ — ติดดาวน์ไลท์</t>
  </si>
  <si>
    <t>/ดวง</t>
  </si>
  <si>
    <t>⚠️ แก้ราคาช่องเหลืองที่นี่ — ทุกบานลิงก์อัตโนมัติ</t>
  </si>
  <si>
    <t>ราคา ฿/ตร.ม.</t>
  </si>
  <si>
    <t>ประเภท</t>
  </si>
  <si>
    <t>บานที่เข้าได้</t>
  </si>
  <si>
    <t>ค่าแรงติดตั้ง/ตร.ม.</t>
  </si>
  <si>
    <t>ไม่มีมุ้ง</t>
  </si>
  <si>
    <t>ผ้ามุ้ง (กรอกราคา/ม้วน เหลือง → /ตร.ม.คิดเอง)</t>
  </si>
  <si>
    <t>฿/ตร.ม.</t>
  </si>
  <si>
    <t>ราคา/ม้วน (36.6 ตร.ม.)</t>
  </si>
  <si>
    <t>แรงผลิต พื้นฐาน</t>
  </si>
  <si>
    <t>แรงผลิต เพิ่ม/ตร.ม.</t>
  </si>
  <si>
    <t>แรงติดตั้ง พื้นฐาน</t>
  </si>
  <si>
    <t>แรงติดตั้ง เพิ่ม/ตร.ม.</t>
  </si>
  <si>
    <t>มุ้งจีบ</t>
  </si>
  <si>
    <t>ซื้อสำเร็จ</t>
  </si>
  <si>
    <t>ALL</t>
  </si>
  <si>
    <t>ทุกบาน</t>
  </si>
  <si>
    <t>ไฟเบอร์</t>
  </si>
  <si>
    <t>มุ้งม้วน ขาว/ดำ/น้ำตาล</t>
  </si>
  <si>
    <t>ไนล่อน</t>
  </si>
  <si>
    <t>มุ้งม้วน ซาฮาร่า</t>
  </si>
  <si>
    <t>สแตนเลส</t>
  </si>
  <si>
    <t>มุ้งม้วน ลายไม้สักทอง</t>
  </si>
  <si>
    <t>กันแมว</t>
  </si>
  <si>
    <t>มุ้งม้วน ไลท์โอ๊ค</t>
  </si>
  <si>
    <t>มุ้งจีบนิรภัย ≤3ม. ขาว/ดำ</t>
  </si>
  <si>
    <t>มุ้งจีบนิรภัย ≤3ม. ซาฮาร่า</t>
  </si>
  <si>
    <t>+400</t>
  </si>
  <si>
    <t>มุ้งจีบนิรภัย ≤3ม. สักทอง</t>
  </si>
  <si>
    <t>+500</t>
  </si>
  <si>
    <t>มุ้งจีบนิรภัย &gt;3ม. ขาว/ดำ</t>
  </si>
  <si>
    <t>มุ้งจีบนิรภัย &gt;3ม. ซาฮาร่า</t>
  </si>
  <si>
    <t>มุ้งจีบนิรภัย &gt;3ม. สักทอง</t>
  </si>
  <si>
    <t>ผลิตเอง</t>
  </si>
  <si>
    <t>SMS|เปิด|กระทุ้ง</t>
  </si>
  <si>
    <t>กรอบ+ยาง+ผ้า+ค่าแรง</t>
  </si>
  <si>
    <t>มุ้งเฟรมใหญ่</t>
  </si>
  <si>
    <t>SMS|ยูโร|เปิด|กระทุ้ง</t>
  </si>
  <si>
    <t>โปรไฟล์บาน+ยาง+ผ้า+ค่าแรง</t>
  </si>
  <si>
    <t>มุ้งนิรภัย</t>
  </si>
  <si>
    <t>โปรไฟล์บาน+ยาง+ผ้านิรภัย650+ค่าแรง</t>
  </si>
  <si>
    <t>🟢 มุ้งผลิตเอง — แก้ค่ากรอบ(เหลือง)/ยาง/ผ้า · ราคาโชว์อัตโนมัติ</t>
  </si>
  <si>
    <t>รุ่นมุ้ง</t>
  </si>
  <si>
    <t>ค่ากรอบ /เส้น</t>
  </si>
  <si>
    <t>ผ้าที่ใช้ได้ (บาท/ตร.ม.)</t>
  </si>
  <si>
    <t>ยางอัด /ม.</t>
  </si>
  <si>
    <t>ค่าแรงผลิต</t>
  </si>
  <si>
    <t>เฟรมเล็ก</t>
  </si>
  <si>
    <t>เฟรมใหญ่</t>
  </si>
  <si>
    <t>ขึ้นตามเสากุญแจบาน (อัตโนมัติ)</t>
  </si>
  <si>
    <t>นิรภัย</t>
  </si>
  <si>
    <t>สแตนเลสนิรภัย 650</t>
  </si>
  <si>
    <t>📌 แก้ราคามุ้งตรงไหน — แก้เฉพาะช่องสีเหลืองเท่านั้น</t>
  </si>
  <si>
    <t>① มุ้งซื้อสำเร็จขึ้นราคา → คอลัมน์ B (ราคา/ตร.ม.) แถว 2-12</t>
  </si>
  <si>
    <t>② ค่าแรงติดตั้งมุ้งสำเร็จ → คอลัมน์ F แถว 2-12</t>
  </si>
  <si>
    <t>③ ราคาผ้า (ไฟเบอร์/ไนล่อน/สแตนเลส/กันแมว) → คอลัมน์ J (บล็อกส้ม)</t>
  </si>
  <si>
    <t>④ ค่ากรอบมุ้งผลิตเอง → B19 (เล็ก) · B21 (นิรภัย)  [เฟรมใหญ่ใช้เสากุญแจบาน ขึ้นเองตามราคาอลู]</t>
  </si>
  <si>
    <t>⑤ ยางอัด → D19</t>
  </si>
  <si>
    <t>ค่าแรงผลิตมุ้ง = คอลัมน์ L-O (ซ่อนไว้ ไม่ค่อยเปลี่ยน · จะแก้ คลิกขวาหัวคอลัมน์→ยกเลิกซ่อน)</t>
  </si>
  <si>
    <t>log ราคากระจก — R3.9 เดิม vs ใหม่ (ร้าน×10.764) | ช่องว่าง=ยังไม่มีข้อมูลฝั่งนั้น | สี: ส้ม=อัปเดต เขียว=เพิ่ม เทา=ขาดราคา ฟ้า=PDFเกิน แดง=เดา</t>
  </si>
  <si>
    <t>ลำดับ</t>
  </si>
  <si>
    <t>ชื่อรุ่น</t>
  </si>
  <si>
    <t>สถานะ</t>
  </si>
  <si>
    <t>ราคาเดิม R3.9</t>
  </si>
  <si>
    <t>ราคาใหม่ ×10.764</t>
  </si>
  <si>
    <t>Δ</t>
  </si>
  <si>
    <t>เขียว 8มม.</t>
  </si>
  <si>
    <t>อัปเดต</t>
  </si>
  <si>
    <t>-54</t>
  </si>
  <si>
    <t>เขียว8</t>
  </si>
  <si>
    <t>เขียว 10มม.</t>
  </si>
  <si>
    <t>เขียว10</t>
  </si>
  <si>
    <t>ยูโรเกรย์ 10มม.</t>
  </si>
  <si>
    <t>-216</t>
  </si>
  <si>
    <t>75</t>
  </si>
  <si>
    <t>ยูโรบรอนซ์ 6มม.</t>
  </si>
  <si>
    <t>-1</t>
  </si>
  <si>
    <t>53</t>
  </si>
  <si>
    <t>เทมเปอร์ 8มม.(เขียว)</t>
  </si>
  <si>
    <t>-104</t>
  </si>
  <si>
    <t>66.5</t>
  </si>
  <si>
    <t>เทมเปอร์ 10มม.</t>
  </si>
  <si>
    <t>-175</t>
  </si>
  <si>
    <t>78.75</t>
  </si>
  <si>
    <t>เทมเปอร์ 12มม.</t>
  </si>
  <si>
    <t>-217</t>
  </si>
  <si>
    <t>87.5</t>
  </si>
  <si>
    <t>ชา/ฝ้า 5-6มม.</t>
  </si>
  <si>
    <t>-99</t>
  </si>
  <si>
    <t>28</t>
  </si>
  <si>
    <t>เงา 5มม.</t>
  </si>
  <si>
    <t>-202</t>
  </si>
  <si>
    <t>37</t>
  </si>
  <si>
    <t>ลอนแก้ว 5มม.</t>
  </si>
  <si>
    <t>60</t>
  </si>
  <si>
    <t>เงาทอง</t>
  </si>
  <si>
    <t>+172</t>
  </si>
  <si>
    <t>81 ขึ้น!</t>
  </si>
  <si>
    <t>ลามิเนต 4+4 0.38</t>
  </si>
  <si>
    <t>-182</t>
  </si>
  <si>
    <t>82</t>
  </si>
  <si>
    <t>ลามิเนต 5+5 0.38</t>
  </si>
  <si>
    <t>-409</t>
  </si>
  <si>
    <t>80</t>
  </si>
  <si>
    <t>ลามิเนต 6+6 0.38</t>
  </si>
  <si>
    <t>-507</t>
  </si>
  <si>
    <t>83</t>
  </si>
  <si>
    <t>ลามิเนตใส 4+4 ฟิล์มสี</t>
  </si>
  <si>
    <t>-1307</t>
  </si>
  <si>
    <t>123.5</t>
  </si>
  <si>
    <t>SolarMax 4+4 0.76</t>
  </si>
  <si>
    <t>-913</t>
  </si>
  <si>
    <t>164</t>
  </si>
  <si>
    <t>เขียว 6มม.</t>
  </si>
  <si>
    <t>✓ มีราคา</t>
  </si>
  <si>
    <t>+0</t>
  </si>
  <si>
    <t>ใบราคาร้าน (ฉิน/BGF)</t>
  </si>
  <si>
    <t>ยูโรเกรย์ 6มม.</t>
  </si>
  <si>
    <t>ยูโรเกรย์ 8มม.</t>
  </si>
  <si>
    <t>เท่าเดิม</t>
  </si>
  <si>
    <t>เทมเปอร์ 6มม.</t>
  </si>
  <si>
    <t>ใส 6มม.</t>
  </si>
  <si>
    <t>เพิ่ม(ใส)</t>
  </si>
  <si>
    <t>แยกใส</t>
  </si>
  <si>
    <t>ใส 8มม.</t>
  </si>
  <si>
    <t>ใส 10มม.</t>
  </si>
  <si>
    <t>เทมเปอร์ใส 6มม.</t>
  </si>
  <si>
    <t>เทมเปอร์ใส 8มม.</t>
  </si>
  <si>
    <t>เทมเปอร์ใส 10มม.</t>
  </si>
  <si>
    <t>เทมเปอร์ใส 12มม.</t>
  </si>
  <si>
    <t>ลามิเนตกันเสียง 0.76</t>
  </si>
  <si>
    <t>เดา⚠</t>
  </si>
  <si>
    <t>-2345</t>
  </si>
  <si>
    <t>ลามิเนตกันขโมย STG 1.52</t>
  </si>
  <si>
    <t>-2980</t>
  </si>
  <si>
    <t>เคลือบขาว 6มม.</t>
  </si>
  <si>
    <t>ร้านแจ้ง 95/ฟุต</t>
  </si>
  <si>
    <t>ยูโรบรอนซ์ 10มม.</t>
  </si>
  <si>
    <t>✂ ตัดออก (ไม่ใช้)</t>
  </si>
  <si>
    <t>PDF ไม่มี-รอเติม</t>
  </si>
  <si>
    <t>reflective เทา 6มม.</t>
  </si>
  <si>
    <t>CH262853 17/6/69</t>
  </si>
  <si>
    <t>reflective เขียว 6มม.</t>
  </si>
  <si>
    <t>reflective ฟ้า/เทา 6มม.</t>
  </si>
  <si>
    <t>เทมเปอร์ 15มม.</t>
  </si>
  <si>
    <t>เทมเปอร์ใสพิเศษ 6มม.</t>
  </si>
  <si>
    <t>เทมเปอร์ใสพิเศษ 8มม.</t>
  </si>
  <si>
    <t>เทมเปอร์ใสพิเศษ 10มม.</t>
  </si>
  <si>
    <t>เทมเปอร์ฝ้า 6มม.</t>
  </si>
  <si>
    <t>ร้านส่ง 74.8/ฟุต</t>
  </si>
  <si>
    <t>เทมเปอร์ฝ้า 8มม.</t>
  </si>
  <si>
    <t>ร้านส่ง 103.4/ฟุต</t>
  </si>
  <si>
    <t>เทมเปอร์ยูโรเกรย์ 4มม.</t>
  </si>
  <si>
    <t>เทมเปอร์ยูโรเกรย์ 5มม.</t>
  </si>
  <si>
    <t>เทมเปอร์ยูโรเกรย์ 6มม.</t>
  </si>
  <si>
    <t>เทมเปอร์ยูโรเกรย์ 10มม.</t>
  </si>
  <si>
    <t>เทมเปอร์ยูโรบรอนซ์ 5มม.</t>
  </si>
  <si>
    <t>เทมเปอร์ยูโรบรอนซ์ 6มม.</t>
  </si>
  <si>
    <t>เทมเปอร์ยูโรบรอนซ์ 10มม.</t>
  </si>
  <si>
    <t>ร้านส่ง 137.5/ฟุต</t>
  </si>
  <si>
    <t>เทมเปอร์ reflective เทา 6มม.</t>
  </si>
  <si>
    <t>ใบราคาร้าน (TE/CS)</t>
  </si>
  <si>
    <t>เทมเปอร์ reflective เขียว 6มม.</t>
  </si>
  <si>
    <t>เทมเปอร์ reflective ฟ้า 6มม.</t>
  </si>
  <si>
    <t>เทมเปอร์สีชาดำ 6มม.</t>
  </si>
  <si>
    <t>เทมเปอร์สีชาดำ 10มม.</t>
  </si>
  <si>
    <t>เทมเปอร์สีฟ้า 6มม.</t>
  </si>
  <si>
    <t>ลามิเนต 4+4 สูง&gt;2.5 0.76</t>
  </si>
  <si>
    <t>ลามิเนต 5+5 สูง&gt;2.5 0.76</t>
  </si>
  <si>
    <t>ลามิเนต 6+6 สูง&gt;2.5 0.76</t>
  </si>
  <si>
    <t>อินซูเลท 6+6+6มม.</t>
  </si>
  <si>
    <t>ลามิเนตยูโรเกรย์+ใส 6+6</t>
  </si>
  <si>
    <t>ลามิเนตยูโรเกรย์+ยูโรเกรย์ 6+6</t>
  </si>
  <si>
    <t>ลามิเนตชาดำ+ใส 6+6</t>
  </si>
  <si>
    <t>ลามิเนตชาดำ+ชาดำ 6+6</t>
  </si>
  <si>
    <t>ลามิเนตคริสตัลเกรย์+ใส 6+6</t>
  </si>
  <si>
    <t>ลามิเนตคริสตัลเกรย์+คริสตัลเกรย์ 6+6</t>
  </si>
  <si>
    <t>ลามิเนตสีฟ้า+ใส 6+6</t>
  </si>
  <si>
    <t>ลามิเนตสีฟ้า+สีฟ้า 6+6</t>
  </si>
  <si>
    <t>ลามิเนตยูโรบรอนซ์+ใส 6+6</t>
  </si>
  <si>
    <t>ลามิเนตยูโรบรอนซ์+ยูโรบรอนซ์ 6+6</t>
  </si>
  <si>
    <t>ลามิเนต 4+4 ยูโรเกรย์</t>
  </si>
  <si>
    <t>ลามิเนตลอนแก้ว/เงาทอง 4+4</t>
  </si>
  <si>
    <t>เทมเปอร์ลามิเนต 6+6 1.52</t>
  </si>
  <si>
    <t>กระจกดัดโค้ง 10มม.</t>
  </si>
  <si>
    <t>CH262853 17/6/69 (ไม่รวมค่าโมล)</t>
  </si>
  <si>
    <t>ดัดโค้งลามิเนตใส 5+5</t>
  </si>
  <si>
    <t>ใส 5มม.</t>
  </si>
  <si>
    <t>PDF เกิน</t>
  </si>
  <si>
    <t>PDF เกิน-เพิ่มได้</t>
  </si>
  <si>
    <t>เขียว 5มม.</t>
  </si>
  <si>
    <t>ยูโรเกรย์ 5มม.</t>
  </si>
  <si>
    <t>ยูโรบรอนซ์ 5มม.</t>
  </si>
  <si>
    <t>ชาดา 3มม.</t>
  </si>
  <si>
    <t>ชาดา 5มม.</t>
  </si>
  <si>
    <t>เงา 6มม.</t>
  </si>
  <si>
    <t>ลามิเนต ใส5+5 0.76</t>
  </si>
  <si>
    <t>ลามิเนต ใส5+5 1.52</t>
  </si>
  <si>
    <t>ลามิเนต ใส6+6 1.52</t>
  </si>
  <si>
    <t>ลามิเนต เขียว4+4 0.76</t>
  </si>
  <si>
    <t>ลามิเนต ใส6HS SGP</t>
  </si>
  <si>
    <t>ลามิเนต ใส5+5 SGP</t>
  </si>
  <si>
    <t>ลามิเนตฟิล์มฝ้า 4+4</t>
  </si>
  <si>
    <t>ลามิเนตฟิล์มสีทั่วไป 4+4</t>
  </si>
  <si>
    <t>ลามิเนตฟิล์มขาวนม-ดำทึบ 4+4</t>
  </si>
  <si>
    <t>key</t>
  </si>
  <si>
    <t>ร้าน</t>
  </si>
  <si>
    <t>รุ่น</t>
  </si>
  <si>
    <t>width_m</t>
  </si>
  <si>
    <t>len_m</t>
  </si>
  <si>
    <t>price</t>
  </si>
  <si>
    <t>edge_p</t>
  </si>
  <si>
    <t>edge_len</t>
  </si>
  <si>
    <t>carrier</t>
  </si>
  <si>
    <t>bundled</t>
  </si>
  <si>
    <t>ไม้ทิพย์|สีพื้น</t>
  </si>
  <si>
    <t>ไม้ทิพย์</t>
  </si>
  <si>
    <t>สีพื้น</t>
  </si>
  <si>
    <t>ไม้ทิพย์|ลายไม้</t>
  </si>
  <si>
    <t>ลายไม้</t>
  </si>
  <si>
    <t>fameline</t>
  </si>
  <si>
    <t>fameline|สีมาตรฐาน</t>
  </si>
  <si>
    <t>สีมาตรฐาน</t>
  </si>
  <si>
    <t>HIGO</t>
  </si>
  <si>
    <t>fameline|สีอื่น</t>
  </si>
  <si>
    <t>สีอื่น</t>
  </si>
  <si>
    <t>remood</t>
  </si>
  <si>
    <t>HIGO|C19 (ใน)</t>
  </si>
  <si>
    <t>C19 (ใน)</t>
  </si>
  <si>
    <t>HIGO|G15 (ใน)</t>
  </si>
  <si>
    <t>G15 (ใน)</t>
  </si>
  <si>
    <t>HIGO|R16 (ใน)</t>
  </si>
  <si>
    <t>R16 (ใน)</t>
  </si>
  <si>
    <t>HIGO|Y18 (ใน)</t>
  </si>
  <si>
    <t>Y18 (ใน)</t>
  </si>
  <si>
    <t>HIGO|P155 (นอก)</t>
  </si>
  <si>
    <t>P155 (นอก)</t>
  </si>
  <si>
    <t>HIGO|WH200 (นอก)</t>
  </si>
  <si>
    <t>WH200 (นอก)</t>
  </si>
  <si>
    <t>remood|Entree เรียบ</t>
  </si>
  <si>
    <t>Entree เรียบ</t>
  </si>
  <si>
    <t>remood|Entree มีลาย</t>
  </si>
  <si>
    <t>Entree มีลาย</t>
  </si>
  <si>
    <t>remood|Entree ชักร่อง</t>
  </si>
  <si>
    <t>Entree ชักร่อง</t>
  </si>
  <si>
    <t>remood|Duratech+ เรียบ13</t>
  </si>
  <si>
    <t>Duratech+ เรียบ13</t>
  </si>
  <si>
    <t>remood|Duratech+ เรียบ16</t>
  </si>
  <si>
    <t>Duratech+ เรียบ16</t>
  </si>
  <si>
    <t>remood|Duratech+ เรียบ14</t>
  </si>
  <si>
    <t>Duratech+ เรียบ14</t>
  </si>
  <si>
    <t>remood|Duratech+ ชักร่อง15</t>
  </si>
  <si>
    <t>Duratech+ ชักร่อง15</t>
  </si>
  <si>
    <t>remood|Duratech+ ชักร่อง21</t>
  </si>
  <si>
    <t>Duratech+ ชักร่อง21</t>
  </si>
  <si>
    <t>remood|LIGHT+ เรียบ12</t>
  </si>
  <si>
    <t>LIGHT+ เรียบ12</t>
  </si>
  <si>
    <t>remood|LIGHT+ ลอนเล็ก</t>
  </si>
  <si>
    <t>LIGHT+ ลอนเล็ก</t>
  </si>
  <si>
    <t>remood|LIGHT+ ชักร่อง16</t>
  </si>
  <si>
    <t>LIGHT+ ชักร่อง16</t>
  </si>
  <si>
    <t>remood|LIGHT+ ชักร่อง21</t>
  </si>
  <si>
    <t>LIGHT+ ชักร่อง21</t>
  </si>
  <si>
    <t>remood|Duralight+ เรียบ15</t>
  </si>
  <si>
    <t>Duralight+ เรียบ15</t>
  </si>
  <si>
    <t>remood|Duralight+ ชักร่อง</t>
  </si>
  <si>
    <t>Duralight+ ชักร่อง</t>
  </si>
  <si>
    <t>น้ำหนักโปรไฟล์อลูมิเนียม — เอาไปเสียบระบบ ราคาเส้น = น้ำหนัก × ราคา/กก.</t>
  </si>
  <si>
    <t>หนา/ขนาด</t>
  </si>
  <si>
    <t>ชื่อ/รายการ</t>
  </si>
  <si>
    <t>ยาว(ม.)</t>
  </si>
  <si>
    <t>กก./ม.</t>
  </si>
  <si>
    <t>กก./เส้น</t>
  </si>
  <si>
    <t>เมืองทอง — กล่องสี่เหลี่ยมด้านเท่า (ยาว 6 ม.)</t>
  </si>
  <si>
    <t>1.00 มม.</t>
  </si>
  <si>
    <t>1.20 มม.</t>
  </si>
  <si>
    <t>1.10 มม.</t>
  </si>
  <si>
    <t>1.50 มม.</t>
  </si>
  <si>
    <t>0.80 มม.</t>
  </si>
  <si>
    <t>0.90 มม.</t>
  </si>
  <si>
    <t>1.35 มม.</t>
  </si>
  <si>
    <t>1.40 มม.</t>
  </si>
  <si>
    <t>เมืองทอง — กล่องสี่เหลี่ยมด้านไม่เท่า (ยาว 6 ม.)</t>
  </si>
  <si>
    <t>1.30 มม.</t>
  </si>
  <si>
    <t>2.00 มม.</t>
  </si>
  <si>
    <t>เมืองทอง — ตัว Z</t>
  </si>
  <si>
    <t>126.3×77.7 ×1.3</t>
  </si>
  <si>
    <t>สลิม KOYO (SlimLux) — ยาว 6 ม.</t>
  </si>
  <si>
    <t>9073 กลางบาน (เสากุญแจ)</t>
  </si>
  <si>
    <t>9072 หัวบาน (ขวางบน/ล่าง)</t>
  </si>
  <si>
    <t>Velora — ยาว 6 ม.</t>
  </si>
  <si>
    <t>Fuji (Euro bi-fold) — เบอร์ดาย · ตรวจหน่วย/ความยาวเส้นอีกที</t>
  </si>
  <si>
    <t>Fuji</t>
  </si>
  <si>
    <t>เฟรมบนบานเฟี้ยม A</t>
  </si>
  <si>
    <t>ตรวจหน่วย</t>
  </si>
  <si>
    <t>เฟรมล่างบานเฟี้ยม A</t>
  </si>
  <si>
    <t>F7971</t>
  </si>
  <si>
    <t>คิ้วตบเฟรมข้าง</t>
  </si>
  <si>
    <t>ตบปิดเฟรม (ตั้ง)</t>
  </si>
  <si>
    <t>กรอบบานเฟี้ยม (ตั้ง) A</t>
  </si>
  <si>
    <t>F7935</t>
  </si>
  <si>
    <t>คิ้วกระจก 5-12มิล</t>
  </si>
  <si>
    <t>รับล็อคเสาเข้ามุมบานคู่</t>
  </si>
  <si>
    <t>บังใบ</t>
  </si>
  <si>
    <t>รับล็อคเฟรมข้างบานคู่</t>
  </si>
  <si>
    <t>รับล็อคบานคู่+บานคี่</t>
  </si>
  <si>
    <t>รางยู A</t>
  </si>
  <si>
    <t>F7949</t>
  </si>
  <si>
    <t>คิ้วกระจก 14-20มิล</t>
  </si>
  <si>
    <t>วงกบ 3 ด้าน (บานเปิด/กระทุ้ง)</t>
  </si>
  <si>
    <t>ยืนยัน /เส้น แล้ว</t>
  </si>
  <si>
    <t>SMS — บานยก/Double Hung (ยาว 6.4 ม.)</t>
  </si>
  <si>
    <t>B28009-12</t>
  </si>
  <si>
    <t>HEAD เฟรมบน</t>
  </si>
  <si>
    <t>B28010-12</t>
  </si>
  <si>
    <t>COVER HEAD ตบปิดเฟรมบน</t>
  </si>
  <si>
    <t>B28011-12</t>
  </si>
  <si>
    <t>SASH กรอบบาน</t>
  </si>
  <si>
    <t>B28012-12</t>
  </si>
  <si>
    <t>ADAPTOR INTERLOCK ค้ำอินเตอร์ล็อก</t>
  </si>
  <si>
    <t>B28013-12</t>
  </si>
  <si>
    <t>INTERLOCK เสาเกี่ยว</t>
  </si>
  <si>
    <t>B28014-12</t>
  </si>
  <si>
    <t>SILL เฟรมล่าง</t>
  </si>
  <si>
    <t>B28015-12</t>
  </si>
  <si>
    <t>JAMB ADAPTOR เสาเสริมเฟรมข้าง</t>
  </si>
  <si>
    <t>B10004-12</t>
  </si>
  <si>
    <t>NARROW FRAME เฟรมข้าง</t>
  </si>
  <si>
    <t>SMS — บานเฟี้ยม (B24) · ยาว 6.4 ม. (มาตรฐาน SMS)</t>
  </si>
  <si>
    <t>SMS(เฟี้ยม)</t>
  </si>
  <si>
    <t>B24001-18</t>
  </si>
  <si>
    <t>1.80 มม.</t>
  </si>
  <si>
    <t>Head เฟรมบนกลาง</t>
  </si>
  <si>
    <t>B24002-14</t>
  </si>
  <si>
    <t>Door Stop Head คิ้วเฟรมบน</t>
  </si>
  <si>
    <t>B24003-15</t>
  </si>
  <si>
    <t>Sill เฟรมล่าง</t>
  </si>
  <si>
    <t>B24004-14</t>
  </si>
  <si>
    <t>Door Stop Sill ตบธรณี</t>
  </si>
  <si>
    <t>B24005-15</t>
  </si>
  <si>
    <t>Jamb เฟรมข้าง</t>
  </si>
  <si>
    <t>B24006-12</t>
  </si>
  <si>
    <t>Door Stop Jamb คิ้วเฟรมข้างประตู</t>
  </si>
  <si>
    <t>B24007-15</t>
  </si>
  <si>
    <t>Sash เสาบาน</t>
  </si>
  <si>
    <t>B24008-12</t>
  </si>
  <si>
    <t>Glazing Bead คิ้วตบกระจก</t>
  </si>
  <si>
    <t>B24009-12</t>
  </si>
  <si>
    <t>Sash Stop บังใบเสาประตู</t>
  </si>
  <si>
    <t>B24013-15</t>
  </si>
  <si>
    <t>Butterfly Glazing Bead คิ้วกบ</t>
  </si>
  <si>
    <t>B24016-12</t>
  </si>
  <si>
    <t>Glazing Bead คิ้วกบ</t>
  </si>
  <si>
    <t>B24017-15</t>
  </si>
  <si>
    <t>Bifold Roller รางหู(ใหม่)</t>
  </si>
  <si>
    <t>B24018-15</t>
  </si>
  <si>
    <t>Bifold Roller รางบานเฟี้ยมภายใน</t>
  </si>
  <si>
    <t>เมืองทอง — กล่องเพิ่ม (เสา-คาน/ติดตาย/จันทัน) · ยาว 6 ม.</t>
  </si>
  <si>
    <t>กล่อง 1.6"×3"</t>
  </si>
  <si>
    <t>6 หุน</t>
  </si>
  <si>
    <t>E-series (SMS) · ยาว 6.4 ม.</t>
  </si>
  <si>
    <t>E-series</t>
  </si>
  <si>
    <t>Fuji เพิ่ม — กก./ม. (รอความยาวเส้น Fuji เพื่อคิด /เส้น)</t>
  </si>
  <si>
    <t>F7863</t>
  </si>
  <si>
    <t>วงกบ/เฟรม บานเปิด</t>
  </si>
  <si>
    <t>เฟรม บานเปิด/PC</t>
  </si>
  <si>
    <t>เฟรมบานกระทุ้ง(เดิม)</t>
  </si>
  <si>
    <t>เฟรมบานกระทุ้ง (ใช้ตัวนี้)</t>
  </si>
  <si>
    <t>หมายเหตุ: เมืองทองมีน้ำหนัก/เส้นในตารางตรงๆ · สลิม/Velora แปลง /ม.=/6 · Fuji ค่าจาก guide ยังต้องยืนยันหน่วย(กก./เส้นหรือ/ม.)+ความยาวเส้น · ฉ(ฉาก)เมืองทองยังไม่ใส่ (แคปเพิ่มได้)</t>
  </si>
  <si>
    <t>━━━ น้ำหนักคำนวณจาก Stock (ราคาขาว÷180÷ยาว) — รหัสตรงร้าน ━━━</t>
  </si>
  <si>
    <t>── SMS (33 เส้น) ──</t>
  </si>
  <si>
    <t>ราคา 1125</t>
  </si>
  <si>
    <t>ราคา 1205</t>
  </si>
  <si>
    <t>ราคา 870</t>
  </si>
  <si>
    <t>ราคา 660</t>
  </si>
  <si>
    <t>ราคา 690</t>
  </si>
  <si>
    <t>ราคา 1235</t>
  </si>
  <si>
    <t>ราคา 175</t>
  </si>
  <si>
    <t>ราคา 360</t>
  </si>
  <si>
    <t>ราคา 2070</t>
  </si>
  <si>
    <t>ราคา 310</t>
  </si>
  <si>
    <t>ราคา 240</t>
  </si>
  <si>
    <t>ราคา 825</t>
  </si>
  <si>
    <t>ราคา 145</t>
  </si>
  <si>
    <t>ราคา 885</t>
  </si>
  <si>
    <t>ราคา 1550</t>
  </si>
  <si>
    <t>ราคา 1060</t>
  </si>
  <si>
    <t>ราคา 1030</t>
  </si>
  <si>
    <t>ราคา 305</t>
  </si>
  <si>
    <t>ราคา 2105</t>
  </si>
  <si>
    <t>ราคา 320</t>
  </si>
  <si>
    <t>ราคา 1455</t>
  </si>
  <si>
    <t>ราคา 570</t>
  </si>
  <si>
    <t>ราคา 1000</t>
  </si>
  <si>
    <t>ราคา 280</t>
  </si>
  <si>
    <t>ราคา 1210</t>
  </si>
  <si>
    <t>ราคา 265</t>
  </si>
  <si>
    <t>ราคา 270</t>
  </si>
  <si>
    <t>ราคา 905</t>
  </si>
  <si>
    <t>ราคา 625</t>
  </si>
  <si>
    <t>── Fuji (74 เส้น) ──</t>
  </si>
  <si>
    <t>ราคา 2110</t>
  </si>
  <si>
    <t>ราคา 2525</t>
  </si>
  <si>
    <t>ราคา 1420</t>
  </si>
  <si>
    <t>ราคา 940</t>
  </si>
  <si>
    <t>ราคา 1130</t>
  </si>
  <si>
    <t>ราคา 880</t>
  </si>
  <si>
    <t>ราคา 650</t>
  </si>
  <si>
    <t>ราคา 1105</t>
  </si>
  <si>
    <t>ราคา 1370</t>
  </si>
  <si>
    <t>ราคา 1075</t>
  </si>
  <si>
    <t>ราคา 285</t>
  </si>
  <si>
    <t>ราคา 490</t>
  </si>
  <si>
    <t>ราคา 395</t>
  </si>
  <si>
    <t>ราคา 455</t>
  </si>
  <si>
    <t>ราคา 750</t>
  </si>
  <si>
    <t>ราคา 760</t>
  </si>
  <si>
    <t>ราคา 1960</t>
  </si>
  <si>
    <t>F7856</t>
  </si>
  <si>
    <t>อแดปเตอร์ประตูดิจิตอล</t>
  </si>
  <si>
    <t>ราคา 665</t>
  </si>
  <si>
    <t>ราคา 775</t>
  </si>
  <si>
    <t>ราคา 120</t>
  </si>
  <si>
    <t>ราคา 130</t>
  </si>
  <si>
    <t>ราคา 150</t>
  </si>
  <si>
    <t>ราคา 185</t>
  </si>
  <si>
    <t>ราคา 160</t>
  </si>
  <si>
    <t>ราคา 540</t>
  </si>
  <si>
    <t>ราคา 355</t>
  </si>
  <si>
    <t>10.0</t>
  </si>
  <si>
    <t>ราคา 1345</t>
  </si>
  <si>
    <t>ราคา 1180</t>
  </si>
  <si>
    <t>ราคา 1505</t>
  </si>
  <si>
    <t>ราคา 1350</t>
  </si>
  <si>
    <t>ราคา 735</t>
  </si>
  <si>
    <t>ราคา 555</t>
  </si>
  <si>
    <t>ราคา 1680</t>
  </si>
  <si>
    <t>ราคา 1780</t>
  </si>
  <si>
    <t>ราคา 1825</t>
  </si>
  <si>
    <t>ราคา 1320</t>
  </si>
  <si>
    <t>ราคา 1335</t>
  </si>
  <si>
    <t>ราคา 800</t>
  </si>
  <si>
    <t>ราคา 695</t>
  </si>
  <si>
    <t>ราคา 550</t>
  </si>
  <si>
    <t>ราคา 505</t>
  </si>
  <si>
    <t>ราคา 1485</t>
  </si>
  <si>
    <t>ราคา 995</t>
  </si>
  <si>
    <t>ราคา 230</t>
  </si>
  <si>
    <t>ราคา 260</t>
  </si>
  <si>
    <t>ราคา 3140</t>
  </si>
  <si>
    <t>ราคา 1730</t>
  </si>
  <si>
    <t>ราคา 1065</t>
  </si>
  <si>
    <t>ราคา 1670</t>
  </si>
  <si>
    <t>ราคา 390</t>
  </si>
  <si>
    <t>ราคา 965</t>
  </si>
  <si>
    <t>ราคา 590</t>
  </si>
  <si>
    <t>ราคา 1115</t>
  </si>
  <si>
    <t>ราคา 930</t>
  </si>
  <si>
    <t>⚠️ แก้ราคาที่นี่ → ราคาวัสดุกลาง — แก้ราคา/กก. ที่นี่ที่เดียว</t>
  </si>
  <si>
    <t>ชื่อกระจก (R3.9 ข้อ 31.1)</t>
  </si>
  <si>
    <t>ทุน/ตร.ม.</t>
  </si>
  <si>
    <t>ราคาอลู SMS (บาท/กก.) →</t>
  </si>
  <si>
    <t>ราคาขึ้น พิมพ์เลขบาท/กก.ใหม่ ช่องเดียว ทุกอย่างขยับเอง</t>
  </si>
  <si>
    <t>ความยาวเส้น (ม.) →</t>
  </si>
  <si>
    <t>เส้นเต็ม 6.4 ม.</t>
  </si>
  <si>
    <t>ราคาอลู ยูโร (บาท/กก.) →</t>
  </si>
  <si>
    <t>* สำหรับบานยูโร (รอบหน้า)</t>
  </si>
  <si>
    <t>ตัวคูณสี</t>
  </si>
  <si>
    <t>อบขาว/ดำ</t>
  </si>
  <si>
    <t>ลายไม้สักทอง</t>
  </si>
  <si>
    <t>รหัส Stock</t>
  </si>
  <si>
    <t>ชื่อโปรไฟล์ (คีย์)</t>
  </si>
  <si>
    <t>น้ำหนักเส้น
(กก. ล็อก)</t>
  </si>
  <si>
    <t>น้ำหนัก/ม.</t>
  </si>
  <si>
    <t>ราคาเส้นขาว</t>
  </si>
  <si>
    <t>เฟรมบน</t>
  </si>
  <si>
    <t>เฟรมข้าง</t>
  </si>
  <si>
    <t>Stock=1,030 ใช้ 1,045 ตามไฟล์</t>
  </si>
  <si>
    <t>เฟรมล่างกันน้ำ</t>
  </si>
  <si>
    <t>ใช้ภายนอก (เลือกในชีทคิดทุน)</t>
  </si>
  <si>
    <t>เฟรมล่างภายใน</t>
  </si>
  <si>
    <t>ใช้ภายใน (เลือกในชีทคิดทุน)</t>
  </si>
  <si>
    <t>เสากุญแจ ML</t>
  </si>
  <si>
    <t>ชิดเฟรม 2 ต้นเสมอ</t>
  </si>
  <si>
    <t>เสาเกี่ยวธรรมดา</t>
  </si>
  <si>
    <t>ใช้ 745 (พี่นัทเคาะ) Stock=690</t>
  </si>
  <si>
    <t>เสาเกี่ยวรับแรง</t>
  </si>
  <si>
    <t>เฉพาะสูง&gt;2.4ม.</t>
  </si>
  <si>
    <t>ขวางบน/ล่าง</t>
  </si>
  <si>
    <t>ตบปิดเฟรม</t>
  </si>
  <si>
    <t>⚠ ยืนยันขึ้นกับจำนวนบานไหม</t>
  </si>
  <si>
    <t>ตบปิดเฟรมล่างเตี้ย</t>
  </si>
  <si>
    <t>ตบรางล้อ</t>
  </si>
  <si>
    <t>F7994 เส้นรางเลื่อน (ราคา150 ตามไฟล์)</t>
  </si>
  <si>
    <t>กระจก (ทุน/ตร.ม.)</t>
  </si>
  <si>
    <t>เขียว/ใส 6 มม.</t>
  </si>
  <si>
    <t>R3.9 v11 ข้อ 31.1 (ฐานเขียว/ใส 6มม. 264)</t>
  </si>
  <si>
    <t>เขียว/ใส 8 มม.</t>
  </si>
  <si>
    <t>เทมเปอร์ 6 มม.</t>
  </si>
  <si>
    <t>เทมเปอร์ 10 มม.</t>
  </si>
  <si>
    <t>ลามิเนต 4+4 (6.38)</t>
  </si>
  <si>
    <t>ยูโรเกรย์ 6 มม.</t>
  </si>
  <si>
    <t>ลามิเนต 4+4 ฟิล์ม 0.38</t>
  </si>
  <si>
    <t>อุปกรณ์ (ราคา/ชุด)</t>
  </si>
  <si>
    <t>ลามิเนต 5+5 ฟิล์ม 0.38</t>
  </si>
  <si>
    <t>ชุดอุปกรณ์บานเลื่อน</t>
  </si>
  <si>
    <t>ลามิเนตใส 4+4 ฟิล์มสี 0.38</t>
  </si>
  <si>
    <t>ลามิเนตใส 4+4 กันเสียง 0.76</t>
  </si>
  <si>
    <t>ลามิเนต 4+4 Solar Max 0.76</t>
  </si>
  <si>
    <t>240 บาท/ตร.ฟ ×10.764</t>
  </si>
  <si>
    <t>ยูโร — น้ำหนักเส้น + ราคาเส้นขาว (=นน.×ราคา/กก.ยูโร 185)</t>
  </si>
  <si>
    <t>ลามิเนตใส 4+4 STG 1.52</t>
  </si>
  <si>
    <t>น้ำหนักเส้น</t>
  </si>
  <si>
    <t>352 บาท/ตร.ฟ ×10.764</t>
  </si>
  <si>
    <t>กรอบเฟรมบน/ล่างนอก</t>
  </si>
  <si>
    <t>กระจกชา/ฝ้า/ลายผ้า 5-6มม.</t>
  </si>
  <si>
    <t>กระจกเงา 5มม.</t>
  </si>
  <si>
    <t>เฟรมล่างใน</t>
  </si>
  <si>
    <t>กระจกลอนแก้ว 5มม.</t>
  </si>
  <si>
    <t>กรอบบาน</t>
  </si>
  <si>
    <t>วิ่งรอบบาน เสา+ขวาง รหัสเดียว</t>
  </si>
  <si>
    <t>เทมเปอร์ 8มม.</t>
  </si>
  <si>
    <t>คิ้วกระจก</t>
  </si>
  <si>
    <t>เท่ากรอบบาน</t>
  </si>
  <si>
    <t>เดือยเฟรมข้าง</t>
  </si>
  <si>
    <t>ตบเกี่ยว</t>
  </si>
  <si>
    <t>ตบปิดน๊อต</t>
  </si>
  <si>
    <t>ตบปิดรางล้อ</t>
  </si>
  <si>
    <t>ลามิเนต 6+6 ฟิล์ม 0.38</t>
  </si>
  <si>
    <t>ตบรางล้อ(ยูโร)</t>
  </si>
  <si>
    <t>ลามิเนต 4+4 สูง&gt;2.5ม. 0.76</t>
  </si>
  <si>
    <t>ตบปิดร่องข้างเฟรมบน</t>
  </si>
  <si>
    <t>ลามิเนต 5+5 สูง&gt;2.5ม. 0.76</t>
  </si>
  <si>
    <t>โหนกเกี่ยว</t>
  </si>
  <si>
    <t>เสริมแรง เมื่อสูง&gt;3ม.</t>
  </si>
  <si>
    <t>ลามิเนต 6+6 สูง&gt;2.5ม. 0.76</t>
  </si>
  <si>
    <t>ชนกลาง</t>
  </si>
  <si>
    <t>จุดบานชนกลาง (เปิดคู่กลาง)</t>
  </si>
  <si>
    <t>ตบปิดเฟรมร่องใน</t>
  </si>
  <si>
    <t>ตบปิดเฟรมร่องกลาง</t>
  </si>
  <si>
    <t>B24009 ต่อกลาง — แก้ราคาที่นี่ที่เดียว</t>
  </si>
  <si>
    <t>กระจกดัดโค้งลามิเนตใส 5+5</t>
  </si>
  <si>
    <t>กระจกเงาทอง</t>
  </si>
  <si>
    <t>เทมเปอร์ลามิเนต 6+6 PVB 1.52</t>
  </si>
  <si>
    <t>ลามิเนตใส 5+5 กันเสียง 0.76</t>
  </si>
  <si>
    <t>ลามิเนตใส 5+5 STG 1.52</t>
  </si>
  <si>
    <t>ลามิเนต ใส6HS SGP0.89</t>
  </si>
  <si>
    <t>ลามิเนต ใส5+5 SGP0.89</t>
  </si>
  <si>
    <t>272 บาท/ตร.ฟ ×10.764</t>
  </si>
  <si>
    <t>ลามิเนตลอนแก้วเล็ก เงาทอง 5+5</t>
  </si>
  <si>
    <t>ลามิเนตลอนแก้วกลาง เงาทอง 5+5</t>
  </si>
  <si>
    <t>ลามิเนตลอนแก้วใหญ่ เงาทอง 5+5</t>
  </si>
  <si>
    <t>ลามิเนตลอนแก้วเล็ก เงาทอง 5+6</t>
  </si>
  <si>
    <t>ลามิเนตลอนแก้วกลาง เงาทอง 5+6</t>
  </si>
  <si>
    <t>ลามิเนตลอนแก้วใหญ่ เงาทอง 5+6</t>
  </si>
  <si>
    <t>เทมเปอร์ยูโรบรอนซ์ 8มม.</t>
  </si>
  <si>
    <t>เทมเปอร์ใสพ่นสีขาว 6มม.</t>
  </si>
  <si>
    <t>เทมเปอร์ใสพ่นสีขาว 8มม.</t>
  </si>
  <si>
    <t>กระจกเส้นลวดใส 6มม.</t>
  </si>
  <si>
    <t>เทมเปอร์เขียว 6มม.</t>
  </si>
  <si>
    <t>เทมเปอร์เขียว 8มม.</t>
  </si>
  <si>
    <t>เทมเปอร์เขียว 10มม.</t>
  </si>
  <si>
    <t>เทมเปอร์เขียว 12มม.</t>
  </si>
  <si>
    <t>ชาดำ 3มม.</t>
  </si>
  <si>
    <t>ชาดำ 5มม.</t>
  </si>
  <si>
    <t>ลามิเนตชาเทา+ใส 6+6</t>
  </si>
  <si>
    <t>ลามิเนตชาเทา+ชาเทา 6+6</t>
  </si>
  <si>
    <t>ลามิเนตชาทอง+ชาทอง 6+6</t>
  </si>
  <si>
    <t>เทมเปอร์ชาทอง 10มม.</t>
  </si>
  <si>
    <t>ลามิเนตลอนแก้วใส+เงาชาทอง 5+5</t>
  </si>
  <si>
    <t>คิดทุนบานเลื่อน SMS — เลือกรูปแบบ + อุปกรณ์แยกชิ้น</t>
  </si>
  <si>
    <t>กว้างรวม (ซม.) →</t>
  </si>
  <si>
    <t>เลื่อน(ล้อ)=</t>
  </si>
  <si>
    <t>สูง (ซม.) →</t>
  </si>
  <si>
    <t>มือจับบาน=</t>
  </si>
  <si>
    <t>จำนวนบาน →</t>
  </si>
  <si>
    <t>ล็อคบาน=</t>
  </si>
  <si>
    <t>รูปแบบ → (อิสระ/ลากจูง/เปิดคู่กลาง)</t>
  </si>
  <si>
    <t>อิสระ</t>
  </si>
  <si>
    <t>เสากุญแจ=</t>
  </si>
  <si>
    <t>พื้นที่ (ตร.ม.) =</t>
  </si>
  <si>
    <t>รอยต่อ=</t>
  </si>
  <si>
    <t>บวกกำไร % →</t>
  </si>
  <si>
    <t>รางล่าง →</t>
  </si>
  <si>
    <t>ภายนอก</t>
  </si>
  <si>
    <t>ราคาซิลิโคน/หลอด →</t>
  </si>
  <si>
    <t>กระจก →</t>
  </si>
  <si>
    <t>← ราคากระจก/ตร.ม. (อัตโนมัติ)</t>
  </si>
  <si>
    <t>สี →</t>
  </si>
  <si>
    <t>สีอบขาว/ดำ</t>
  </si>
  <si>
    <t>จำนวน</t>
  </si>
  <si>
    <t>ราคา/หน่วย</t>
  </si>
  <si>
    <t>ทุน(บาท)</t>
  </si>
  <si>
    <t>ตบราง(นอก)/ตบปิดรางเตี้ย20050(ใน)</t>
  </si>
  <si>
    <t>กระจก (ตร.ม.)</t>
  </si>
  <si>
    <t>ล้อ 27 (2/บาน)</t>
  </si>
  <si>
    <t>มือจับ Align (2/บาน)</t>
  </si>
  <si>
    <t>ชุดล็อค</t>
  </si>
  <si>
    <t>สักหลาด (ม.)</t>
  </si>
  <si>
    <t>น็อต</t>
  </si>
  <si>
    <t>ซิลิโคน (หลอด) ใน+นอก</t>
  </si>
  <si>
    <t>ค่าเปิดตู้อบ</t>
  </si>
  <si>
    <t>สีอบพิเศษ / ลายไม้อบพิเศษ เท่านั้น</t>
  </si>
  <si>
    <t>ทุนรวม</t>
  </si>
  <si>
    <t>🔍 แยกก้อนต้นทุน</t>
  </si>
  <si>
    <t>ทุนอลู (×ราคา/กก.)</t>
  </si>
  <si>
    <t>ราคาขาย/ตร.ม. (ทุน+กำไร%)</t>
  </si>
  <si>
    <t>ทุนกระจก</t>
  </si>
  <si>
    <t>%กำไรจริง</t>
  </si>
  <si>
    <t>ทุนอุปกรณ์+ซิลิโคน</t>
  </si>
  <si>
    <t>ราคาขายรวม/ชุด</t>
  </si>
  <si>
    <t>รวมวัสดุ</t>
  </si>
  <si>
    <t>— มุ้ง (ออปชั่น) — บวกเข้าทุน —</t>
  </si>
  <si>
    <t>อลูเท่านั้นที่ ×ราคา/กก. · กระจก/อุปกรณ์คงที่</t>
  </si>
  <si>
    <t>เลือกมุ้ง →</t>
  </si>
  <si>
    <t>ชนิดผ้า / สี →</t>
  </si>
  <si>
    <t>เทา</t>
  </si>
  <si>
    <t>› เสา (เส้น 6ม.)</t>
  </si>
  <si>
    <t>› ขวาง (เส้น 6ม.)</t>
  </si>
  <si>
    <t>› ยางอัด (ม.)</t>
  </si>
  <si>
    <t>› ผ้า / มุ้งสำเร็จ</t>
  </si>
  <si>
    <t>› ค่าแรงผลิตมุ้ง</t>
  </si>
  <si>
    <t>› ค่าแรงติดตั้งมุ้ง</t>
  </si>
  <si>
    <t>รวมมุ้ง →</t>
  </si>
  <si>
    <t>— ผูกค่าแรง (ราคาขายรวมค่าแรง) —</t>
  </si>
  <si>
    <t>ค่าแรงผลิต (จากชีทค่าแรง)</t>
  </si>
  <si>
    <t>ค่าแรงติดตั้ง (จากชีทค่าแรง)</t>
  </si>
  <si>
    <t>กำไรติดตั้ง % →</t>
  </si>
  <si>
    <t>ราคาขาย ผลิตอย่างเดียว</t>
  </si>
  <si>
    <t>ราคาขาย ผลิต+ติดตั้ง</t>
  </si>
  <si>
    <t>%กำไรจริง (ผลิต+ติดตั้ง)</t>
  </si>
  <si>
    <t>— ชุด auto (ออปชั่น) — บวกเข้าทุน × กำไ%</t>
  </si>
  <si>
    <t>ใส่ auto? →</t>
  </si>
  <si>
    <t>ไม่มี</t>
  </si>
  <si>
    <t>Evecca base</t>
  </si>
  <si>
    <t>ชุด auto →</t>
  </si>
  <si>
    <t>สายพาน/ม</t>
  </si>
  <si>
    <t>ออป Smart lock (Evecca) →</t>
  </si>
  <si>
    <t>ส่ง Evecca</t>
  </si>
  <si>
    <t>ออป Touch (ช่างแซก) →</t>
  </si>
  <si>
    <t>Smart lock</t>
  </si>
  <si>
    <t>ออป Infrared (ช่างแซก) →</t>
  </si>
  <si>
    <t>ช่างแซก base</t>
  </si>
  <si>
    <t>เซฟตี้ตาแมว</t>
  </si>
  <si>
    <t>ทุนชุด auto</t>
  </si>
  <si>
    <t>ราง/ม</t>
  </si>
  <si>
    <t>Touch</t>
  </si>
  <si>
    <t>Infrared</t>
  </si>
  <si>
    <t>คิดทุนบานเลื่อนยูโร — เลือกรูปแบบ + อุปกรณ์แยกชิ้น</t>
  </si>
  <si>
    <t>กรอบบาน (รอบ)</t>
  </si>
  <si>
    <t>เฟรมล่างนอก</t>
  </si>
  <si>
    <t>เดือย</t>
  </si>
  <si>
    <t>โหนกเกี่ยว(≥3ม.)</t>
  </si>
  <si>
    <t>ตบปิดน๊อต F7988</t>
  </si>
  <si>
    <t>ตบปิดราง F7993</t>
  </si>
  <si>
    <t>ตบราง F7994</t>
  </si>
  <si>
    <t>ตบปิดร่องบน</t>
  </si>
  <si>
    <t>ชนกลาง(เปิดคู่กลาง)</t>
  </si>
  <si>
    <t>มุมเลื่อน (8/บาน)</t>
  </si>
  <si>
    <t>สปริงก็อต (4/บาน)</t>
  </si>
  <si>
    <t>— ชุด auto (ออปชั่น) — บวกเข้าทุน × กำไร%</t>
  </si>
  <si>
    <t>รวมราคามุ้ง (บวกเข้าทุนแล้ว)</t>
  </si>
  <si>
    <t>คิดทุนบานเลื่อน SlimLux — เลือกรูปแบบ + จำนวนบาน</t>
  </si>
  <si>
    <t>รูปแบบ →</t>
  </si>
  <si>
    <t>มือจับ →</t>
  </si>
  <si>
    <t>มือจับล็อค</t>
  </si>
  <si>
    <t>ขวางบน/ล่าง (WM-K04)</t>
  </si>
  <si>
    <t>เสาบาน (WM-K01)</t>
  </si>
  <si>
    <t>ตบเรียบ (WM-K02)</t>
  </si>
  <si>
    <t>ตบเกี่ยว (WM-K03)</t>
  </si>
  <si>
    <t>รางแขวน (WM-K15)</t>
  </si>
  <si>
    <t>ฝาล่างเล็ก (WM-K20)</t>
  </si>
  <si>
    <t>ฝาล่างใหญ่ (WM-K21A)</t>
  </si>
  <si>
    <t>ฉากปิดราง</t>
  </si>
  <si>
    <t>กล่องเฟรม/คาน</t>
  </si>
  <si>
    <t>9072 หัวบาน</t>
  </si>
  <si>
    <t>9073 กลางบาน</t>
  </si>
  <si>
    <t>ตัวต่อ+สักหลาด (ชุด)</t>
  </si>
  <si>
    <t>ข้อต่อบาน</t>
  </si>
  <si>
    <t>ล้อล่าง (ตัว)</t>
  </si>
  <si>
    <t>soft close (ชุด)</t>
  </si>
  <si>
    <t>สลิง (ชุด)</t>
  </si>
  <si>
    <t>มือจับ</t>
  </si>
  <si>
    <t>มือจับล็อค=200/ชุด · X-J=860/บาน · ลูกค้าเตรียมเอง=0</t>
  </si>
  <si>
    <t>ซิลิโคน (หลอด)</t>
  </si>
  <si>
    <t>ราคาขาย/ตร.ม. (markup%)</t>
  </si>
  <si>
    <t>%กำไรจริง (บนทุน)</t>
  </si>
  <si>
    <t>อิสระ: 2/3/4/5 บาน · ลากจูง: 3/4/5 บาน · เปิดคู่กลาง: 4/6 บาน</t>
  </si>
  <si>
    <t>อิสระ-2</t>
  </si>
  <si>
    <t>อิสระ-3</t>
  </si>
  <si>
    <t>อิสระ-4</t>
  </si>
  <si>
    <t>อิสระ-5</t>
  </si>
  <si>
    <t>ลากจูง-3</t>
  </si>
  <si>
    <t>ลากจูง-4</t>
  </si>
  <si>
    <t>ลากจูง-5</t>
  </si>
  <si>
    <t>เปิดคู่กลาง-4</t>
  </si>
  <si>
    <t>เปิดคู่กลาง-6</t>
  </si>
  <si>
    <t>ชุด SlimLux</t>
  </si>
  <si>
    <t>ออป SlimLux (บังคับเลือก1) →</t>
  </si>
  <si>
    <t>สแกนหน้า</t>
  </si>
  <si>
    <t>คิดทุน บานเลื่อนรางบน (Hafele · เลื่อนซ้อน) — ข้อ14</t>
  </si>
  <si>
    <t>กว้างช่อง (ซม.) →</t>
  </si>
  <si>
    <t>กว้าง/บาน=</t>
  </si>
  <si>
    <t>สูงช่อง (ซม.) →</t>
  </si>
  <si>
    <t>พื้นที่ ตร.ม.=</t>
  </si>
  <si>
    <t>ราง/บาน (เส้น6ม.)=</t>
  </si>
  <si>
    <t>สีอลู →</t>
  </si>
  <si>
    <t>ราคากระจก/ตร.ม.=</t>
  </si>
  <si>
    <t>สีพิเศษ?=</t>
  </si>
  <si>
    <t>เสากุญแจ/เส้น(สี)=</t>
  </si>
  <si>
    <t>ปัจจัยสีกล่อง=</t>
  </si>
  <si>
    <t>รายการวัสดุ</t>
  </si>
  <si>
    <t>ทุน (บาท)</t>
  </si>
  <si>
    <t>รางบน Hafele (กว้าง×2/บาน · เส้น6ม.)</t>
  </si>
  <si>
    <t>ล้อ Hafele (1 กล่อง/บาน)</t>
  </si>
  <si>
    <t>เสารับ 1"×4" (1 ต้น · ยาว=สูง)</t>
  </si>
  <si>
    <t>คานรับราง 1.6"×4" (1 เส้น · ยาว=ราง)</t>
  </si>
  <si>
    <t>กรอบบาน เสากุญแจ 20051 (รอบ4ด้าน×บาน)</t>
  </si>
  <si>
    <t>ชนกลางรับบาน (1 ท่อน · ยาว=สูง)</t>
  </si>
  <si>
    <t>ฉาก 4" ปิดราง (2 ท่อน · ยาว=ราง)</t>
  </si>
  <si>
    <t>ชุดล็อค (1/บาน)</t>
  </si>
  <si>
    <t>ค่าเปิดตู้อบ (สีพิเศษ)</t>
  </si>
  <si>
    <t>หมายเหตุ: เพิ่มบาน=เพิ่มราง+ล้อ (รางบน 1 บาน/ราง) · ราง/ฉาก/คานคิดเส้น 6ม. · เสากุญแจ20051 คิด นน.×ราคา/กก.(mult_sms) ราคาสีในช่อง F7 · ค่าแรงยังไม่รวม (รอเรต)</t>
  </si>
  <si>
    <t>— ค่าแรง (ผลิต 6ชม×1 · ติดตั้ง 2คน×4ชม · เพิ่ม/ตร.ม. อ้าง SMS) —</t>
  </si>
  <si>
    <t>ราคาขาย ผลิต+ติดตั้ง (ทุน×2)</t>
  </si>
  <si>
    <t>คิดทุนบานเปิด (Fuji, ขาวดำ) — นับเส้นเต็ม</t>
  </si>
  <si>
    <t>ธรณี (มี/ไม่มี) →</t>
  </si>
  <si>
    <t>มี</t>
  </si>
  <si>
    <t>วงกบ 3 ด้าน F7859</t>
  </si>
  <si>
    <t>ธรณี F7938B</t>
  </si>
  <si>
    <t>ตบธรณี F7960</t>
  </si>
  <si>
    <t>เสริมใต้บาน F7863</t>
  </si>
  <si>
    <t>กรอบประตู 7864</t>
  </si>
  <si>
    <t>คิ้ว F7935</t>
  </si>
  <si>
    <t>เปิดกลาง F7945c</t>
  </si>
  <si>
    <t>บานพับ hyda</t>
  </si>
  <si>
    <t>มือจับ+ล็อค ใบหลัก</t>
  </si>
  <si>
    <t>ชุดกลอน ใบลอง</t>
  </si>
  <si>
    <t>น็อตเฟรม</t>
  </si>
  <si>
    <t>ยาง (ม.)</t>
  </si>
  <si>
    <t>คิดทุนบานกระทุ้ง (Fuji, ขาวดำ) — นับเส้นเต็ม</t>
  </si>
  <si>
    <t>ธรณี F7939B</t>
  </si>
  <si>
    <t>กรอบ 7943B</t>
  </si>
  <si>
    <t>วิทโก้ (2/บาน)</t>
  </si>
  <si>
    <t>CDQ</t>
  </si>
  <si>
    <t>รับล็อคลูกเบี้ยว</t>
  </si>
  <si>
    <t>ลูกเบี้ยว</t>
  </si>
  <si>
    <t>แกนล็อค</t>
  </si>
  <si>
    <t>แป้นรับล็อค</t>
  </si>
  <si>
    <t>สปริก็อต</t>
  </si>
  <si>
    <t>คลิปเข้ามุม</t>
  </si>
  <si>
    <t>น็อตประกอบบาน</t>
  </si>
  <si>
    <t>ยางอัดกระจก (ม.)</t>
  </si>
  <si>
    <t>ยาง foam (ม.)</t>
  </si>
  <si>
    <t>วาวล์ระบายน้ำ</t>
  </si>
  <si>
    <t>จำนวนมอเตอร์ (=จำนวนบาน) →</t>
  </si>
  <si>
    <t>ถอดทุนบานเฟี้ยม (sms, ขาวดำ) — นับเส้นเต็ม</t>
  </si>
  <si>
    <t>2บาน: 2-0 พับข้างเดียว</t>
  </si>
  <si>
    <t>2บาน: 1-1 เปิดกลาง</t>
  </si>
  <si>
    <t>จำนวนบาน (auto) →</t>
  </si>
  <si>
    <t>2บาน: 0-2 พับข้างเดียว</t>
  </si>
  <si>
    <t>รูปแบบพับ →</t>
  </si>
  <si>
    <t>3บาน: 3-0 พับข้างเดียว</t>
  </si>
  <si>
    <t>เฟรมล่าง →</t>
  </si>
  <si>
    <t>ธรณี</t>
  </si>
  <si>
    <t>3บาน: 2-1 พับสลับ</t>
  </si>
  <si>
    <t>3บาน: 1-2 พับสลับ</t>
  </si>
  <si>
    <t>3บาน: 0-3 พับข้างเดียว</t>
  </si>
  <si>
    <t>4บาน: 4-0 พับข้างเดียว</t>
  </si>
  <si>
    <t>4บาน: 3-1 พับสลับ</t>
  </si>
  <si>
    <t>4บาน: 2-2 เปิดกลาง</t>
  </si>
  <si>
    <t>B24001 เฟรมบน</t>
  </si>
  <si>
    <t>4บาน: 1-3 พับสลับ</t>
  </si>
  <si>
    <t>— มุ้ง (ออปชั่น · ซื้อสำเร็จ) — บวกเข้าทุนแล้ว</t>
  </si>
  <si>
    <t>B24002 คิ้วเฟรมบน</t>
  </si>
  <si>
    <t>4บาน: 0-4 พับข้างเดียว</t>
  </si>
  <si>
    <t>เฟรมล่าง (เลือกที่ B6)</t>
  </si>
  <si>
    <t>5บาน: 5-0 พับข้างเดียว</t>
  </si>
  <si>
    <t>รวมราคามุ้ง (บวกเข้าทุน)</t>
  </si>
  <si>
    <t>B24004 ตบธรณี</t>
  </si>
  <si>
    <t>5บาน: 4-1 พับสลับ</t>
  </si>
  <si>
    <t>B24005 เฟรมข้าง</t>
  </si>
  <si>
    <t>5บาน: 3-2 พับสลับ</t>
  </si>
  <si>
    <t>B24006 คิ้วเฟรมข้าง</t>
  </si>
  <si>
    <t>5บาน: 2-3 พับสลับ</t>
  </si>
  <si>
    <t>B24007 เสาบาน</t>
  </si>
  <si>
    <t>5บาน: 1-4 พับสลับ</t>
  </si>
  <si>
    <t>B24008 คิ้วตบกระจก</t>
  </si>
  <si>
    <t>5บาน: 0-5 พับข้างเดียว</t>
  </si>
  <si>
    <t>B24009 ต่อกลาง</t>
  </si>
  <si>
    <t>6บาน: 6-0 พับข้างเดียว</t>
  </si>
  <si>
    <t>6บาน: 5-1 พับสลับ</t>
  </si>
  <si>
    <t>6บาน: 4-2 พับสลับ</t>
  </si>
  <si>
    <t>อุปกรณ์</t>
  </si>
  <si>
    <t>auto-lookup จาก B5</t>
  </si>
  <si>
    <t>6บาน: 3-3 เปิดกลาง</t>
  </si>
  <si>
    <t>6บาน: 2-4 พับสลับ</t>
  </si>
  <si>
    <t>6บาน: 1-5 พับสลับ</t>
  </si>
  <si>
    <t>6บาน: 0-6 พับข้างเดียว</t>
  </si>
  <si>
    <t>7บาน: 7-0 พับข้างเดียว</t>
  </si>
  <si>
    <t>7บาน: 6-1 พับสลับ</t>
  </si>
  <si>
    <t>7บาน: 5-2 พับสลับ</t>
  </si>
  <si>
    <t>ต่อกลาง B24009 ขาวดำ 325 · ราคาขาย/ตร.ม. = ทุน×(1+markup%) · อุปกรณ์ดูตารางล่าง</t>
  </si>
  <si>
    <t>7บาน: 4-3 พับสลับ</t>
  </si>
  <si>
    <t>7บาน: 3-4 พับสลับ</t>
  </si>
  <si>
    <t>ตารางอุปกรณ์อ้างอิง (สีเหลือง=ประมาณ)</t>
  </si>
  <si>
    <t>7บาน: 2-5 พับสลับ</t>
  </si>
  <si>
    <t>pattern</t>
  </si>
  <si>
    <t>อุปกรณ์ (บาท)</t>
  </si>
  <si>
    <t>7บาน: 1-6 พับสลับ</t>
  </si>
  <si>
    <t>0-2 / 2-0</t>
  </si>
  <si>
    <t>7บาน: 0-7 พับข้างเดียว</t>
  </si>
  <si>
    <t>0-3 / 3-0 พับข้างเดียว</t>
  </si>
  <si>
    <t>8บาน: 8-0 พับข้างเดียว</t>
  </si>
  <si>
    <t>1-2 / 2-1 พับสลับ</t>
  </si>
  <si>
    <t>8บาน: 7-1 พับสลับ</t>
  </si>
  <si>
    <t>4-0 / 0-4 พับข้างเดียว</t>
  </si>
  <si>
    <t>8บาน: 6-2 พับสลับ</t>
  </si>
  <si>
    <t>1-3 / 3-1 พับสลับ</t>
  </si>
  <si>
    <t>8บาน: 5-3 พับสลับ</t>
  </si>
  <si>
    <t>2-2 เปิดกลาง</t>
  </si>
  <si>
    <t>8บาน: 4-4 เปิดกลาง</t>
  </si>
  <si>
    <t>5-0 / 0-5 พับข้างเดียว</t>
  </si>
  <si>
    <t>8บาน: 3-5 พับสลับ</t>
  </si>
  <si>
    <t>พับสลับ ทุก pattern</t>
  </si>
  <si>
    <t>8บาน: 2-6 พับสลับ</t>
  </si>
  <si>
    <t>6-0 / 0-6 พับข้างเดียว</t>
  </si>
  <si>
    <t>8บาน: 1-7 พับสลับ</t>
  </si>
  <si>
    <t>พับสลับ + 3-3 เปิดกลาง</t>
  </si>
  <si>
    <t>8บาน: 0-8 พับข้างเดียว</t>
  </si>
  <si>
    <t>ทุก pattern</t>
  </si>
  <si>
    <t>9บาน: 9-0 พับข้างเดียว</t>
  </si>
  <si>
    <t>4-4 เปิดกลาง</t>
  </si>
  <si>
    <t>9บาน: 8-1 พับสลับ</t>
  </si>
  <si>
    <t>พับข้างเดียว / สลับ</t>
  </si>
  <si>
    <t>9บาน: 7-2 พับสลับ</t>
  </si>
  <si>
    <t>9บาน: 6-3 พับสลับ</t>
  </si>
  <si>
    <t>9บาน: 5-4 พับสลับ</t>
  </si>
  <si>
    <t>5-5 เปิดกลาง</t>
  </si>
  <si>
    <t>9บาน: 4-5 พับสลับ</t>
  </si>
  <si>
    <t>9บาน: 3-6 พับสลับ</t>
  </si>
  <si>
    <t>9บาน: 2-7 พับสลับ</t>
  </si>
  <si>
    <t>6-6 เปิดกลาง</t>
  </si>
  <si>
    <t>9บาน: 1-8 พับสลับ</t>
  </si>
  <si>
    <t>9-12 บาน (ประมาณ ±5% — อัพเดตเมื่อได้ catalog)</t>
  </si>
  <si>
    <t>9บาน: 0-9 พับข้างเดียว</t>
  </si>
  <si>
    <t>รูปแบบพับ</t>
  </si>
  <si>
    <t>10บาน: 10-0 พับข้างเดียว</t>
  </si>
  <si>
    <t>ทุก pattern (9-0 ถึง 0-9)</t>
  </si>
  <si>
    <t>10บาน: 9-1 พับสลับ</t>
  </si>
  <si>
    <t>พับข้างเดียว/สลับ (10-0 ถึง 0-10)</t>
  </si>
  <si>
    <t>10บาน: 8-2 พับสลับ</t>
  </si>
  <si>
    <t>10บาน: 7-3 พับสลับ</t>
  </si>
  <si>
    <t>ทุก pattern (11-0 ถึง 0-11)</t>
  </si>
  <si>
    <t>10บาน: 6-4 พับสลับ</t>
  </si>
  <si>
    <t>พับข้างเดียว/สลับ (12-0 ถึง 0-12)</t>
  </si>
  <si>
    <t>10บาน: 5-5 เปิดกลาง</t>
  </si>
  <si>
    <t>10บาน: 4-6 พับสลับ</t>
  </si>
  <si>
    <t>10บาน: 3-7 พับสลับ</t>
  </si>
  <si>
    <t>10บาน: 2-8 พับสลับ</t>
  </si>
  <si>
    <t>× จำนวนบาน (คิดต่อใบเฟี้ยม)</t>
  </si>
  <si>
    <t>10บาน: 1-9 พับสลับ</t>
  </si>
  <si>
    <t>10บาน: 0-10 พับข้างเดียว</t>
  </si>
  <si>
    <t>11บาน: 11-0 พับข้างเดียว</t>
  </si>
  <si>
    <t>11บาน: 10-1 พับสลับ</t>
  </si>
  <si>
    <t>11บาน: 9-2 พับสลับ</t>
  </si>
  <si>
    <t>11บาน: 8-3 พับสลับ</t>
  </si>
  <si>
    <t>11บาน: 7-4 พับสลับ</t>
  </si>
  <si>
    <t>11บาน: 6-5 พับสลับ</t>
  </si>
  <si>
    <t>11บาน: 5-6 พับสลับ</t>
  </si>
  <si>
    <t>11บาน: 4-7 พับสลับ</t>
  </si>
  <si>
    <t>11บาน: 3-8 พับสลับ</t>
  </si>
  <si>
    <t>11บาน: 2-9 พับสลับ</t>
  </si>
  <si>
    <t>11บาน: 1-10 พับสลับ</t>
  </si>
  <si>
    <t>11บาน: 0-11 พับข้างเดียว</t>
  </si>
  <si>
    <t>12บาน: 12-0 พับข้างเดียว</t>
  </si>
  <si>
    <t>12บาน: 11-1 พับสลับ</t>
  </si>
  <si>
    <t>12บาน: 10-2 พับสลับ</t>
  </si>
  <si>
    <t>12บาน: 9-3 พับสลับ</t>
  </si>
  <si>
    <t>12บาน: 8-4 พับสลับ</t>
  </si>
  <si>
    <t>12บาน: 7-5 พับสลับ</t>
  </si>
  <si>
    <t>12บาน: 6-6 เปิดกลาง</t>
  </si>
  <si>
    <t>12บาน: 5-7 พับสลับ</t>
  </si>
  <si>
    <t>12บาน: 4-8 พับสลับ</t>
  </si>
  <si>
    <t>12บาน: 3-9 พับสลับ</t>
  </si>
  <si>
    <t>12บาน: 2-10 พับสลับ</t>
  </si>
  <si>
    <t>12บาน: 1-11 พับสลับ</t>
  </si>
  <si>
    <t>12บาน: 0-12 พับข้างเดียว</t>
  </si>
  <si>
    <t>ใส่ auto? (เฟี้ยมยก) →</t>
  </si>
  <si>
    <t>คิดทุนบานติดตาย (กระจกล้วน)</t>
  </si>
  <si>
    <t>กล่อง/เส้น</t>
  </si>
  <si>
    <t>9014/เส้น</t>
  </si>
  <si>
    <t>จำนวนช่อง →</t>
  </si>
  <si>
    <t>ชนิดกระจก →</t>
  </si>
  <si>
    <t>ราคากระจก (auto/แก้ได้) →</t>
  </si>
  <si>
    <t>กล่อง 1.6"x3" (วิ่งรอบ)</t>
  </si>
  <si>
    <t>9014 ตัวตบหน้ากระจก (วิ่งรอบ)</t>
  </si>
  <si>
    <t>ฉาก อลู 1"x1" (4 มุม/ช่อง)</t>
  </si>
  <si>
    <t>เหมา 5 บาท/มุม × 4 มุม × ช่อง (ฉากเข้ามุมใช้จริง ~10ซม./มุม)</t>
  </si>
  <si>
    <t>เทปหนุนกระจก (ม.)</t>
  </si>
  <si>
    <t>ค่าแรงผลิต (175/ตร.ม.)</t>
  </si>
  <si>
    <t>ค่าแรงติดตั้ง (175/ตร.ม.)</t>
  </si>
  <si>
    <t>ขายผลิตอย่างเดียว</t>
  </si>
  <si>
    <t>ขายผลิต+ติดตั้ง</t>
  </si>
  <si>
    <t>%กำไร (ฐานวัสดุ+ผลิต)</t>
  </si>
  <si>
    <t>คิดทุนบาน Velora — อลูดิบ+อบสีแยก</t>
  </si>
  <si>
    <t>กว้างช่องปูน (ซม.) →</t>
  </si>
  <si>
    <t>N_วงกบ</t>
  </si>
  <si>
    <t>เทมเปอร์เขียว/ใส 6มม.</t>
  </si>
  <si>
    <t>สูงช่องปูน (ซม.) →</t>
  </si>
  <si>
    <t>N_บาน</t>
  </si>
  <si>
    <t>เทมเปอร์ชาดำ 6มม.</t>
  </si>
  <si>
    <t>น้ำหนัก(กก.)</t>
  </si>
  <si>
    <t>เทมเปอร์ฟ้า 6มม.</t>
  </si>
  <si>
    <t>อบขาว/ดำ/เทา</t>
  </si>
  <si>
    <t>ค่าอบสี</t>
  </si>
  <si>
    <t>มือจับคู่ →</t>
  </si>
  <si>
    <t>ธรณี →</t>
  </si>
  <si>
    <t>ราคากระจก (บาท/ตร.ม.) =</t>
  </si>
  <si>
    <t>เทมเปอร์ Reflective เทา 6มม.</t>
  </si>
  <si>
    <t>เทมเปอร์ Reflective เขียว 6มม.</t>
  </si>
  <si>
    <t>เทมเปอร์ Reflective ฟ้า 6มม.</t>
  </si>
  <si>
    <t>วงกบ 3 ด้าน (บน+ซ้าย+ขวา)</t>
  </si>
  <si>
    <t>ROUNDUP((W+2H)/600) เส้น</t>
  </si>
  <si>
    <t>บาน (วิ่งรอบ 4 ด้าน)</t>
  </si>
  <si>
    <t>1ใบ=ROUNDUP(2(W+H)/600) · 2ใบ+1เสากลาง</t>
  </si>
  <si>
    <t>ขาว/ดำ/เทา: ≤20กก.=3,000 / &gt;20กก.=×110 | พิเศษ=×130 | ลายไม้=×140</t>
  </si>
  <si>
    <t>บานพับ (4 ตัว/บาน)</t>
  </si>
  <si>
    <t>4 ตัว/บาน × 110 บาท</t>
  </si>
  <si>
    <t>เดี่ยว=450 | คู่=900</t>
  </si>
  <si>
    <t>ธรณี (ไม่คิดเงิน)</t>
  </si>
  <si>
    <t>มีหรือไม่มีราคาเท่ากัน</t>
  </si>
  <si>
    <t>น้ำหนักรวม (กก.) =</t>
  </si>
  <si>
    <t>คิดทุนบานเลื่อน E-series (aluinch) — นับเส้นเต็ม 6.4ม. | ไม่มีมือจับ</t>
  </si>
  <si>
    <t>ราคา/กก.=</t>
  </si>
  <si>
    <t>ล็อคก้นหอย (ตัว) →</t>
  </si>
  <si>
    <t>← กรอกจำนวนเอง (default 2)</t>
  </si>
  <si>
    <t>บวกกำไร % → (1 = 100%)</t>
  </si>
  <si>
    <t>เฟรมบน E-01</t>
  </si>
  <si>
    <t>1 เส้น × กว้าง</t>
  </si>
  <si>
    <t>เฟรมล่างกันน้ำ E-03</t>
  </si>
  <si>
    <t>เฟรมข้าง E-02C</t>
  </si>
  <si>
    <t>2 เส้น × สูง</t>
  </si>
  <si>
    <t>ถาดลองน้ำ E-03B</t>
  </si>
  <si>
    <t>ใต้เฟรมล่าง = เท่าเฟรมล่าง</t>
  </si>
  <si>
    <t>เสากุญแจสลิม E-04e</t>
  </si>
  <si>
    <t>เสากุญแจ × สูง (ไม่ใส่มือจับ)</t>
  </si>
  <si>
    <t>เสาเกี่ยวสลิม E-05e</t>
  </si>
  <si>
    <t>2 ต้น/รอยต่อ × สูง</t>
  </si>
  <si>
    <t>ขวางบน/ล่าง E-07e</t>
  </si>
  <si>
    <t>2 × บาน × กว้างบาน</t>
  </si>
  <si>
    <t>ตบปิดเฟรมบน E-01A</t>
  </si>
  <si>
    <t>อิสระ3บาน → 0 · อื่นๆ: กว้าง&gt;300?2:1</t>
  </si>
  <si>
    <t>ตบธรณีเฟรมล่าง E-03C</t>
  </si>
  <si>
    <t>เท่าตบปิดเฟรมบน</t>
  </si>
  <si>
    <t>กว้าง+ซ้อนเกย × สูง</t>
  </si>
  <si>
    <t>ล้อ ehr-80 (2/บานเลื่อน)</t>
  </si>
  <si>
    <t>ล็อคก้นหอย</t>
  </si>
  <si>
    <t>สูตรเดียวกับ SMS</t>
  </si>
  <si>
    <t>สูตรเดียวกับ SMS (ราคา/ตัวรอเคาะ)</t>
  </si>
  <si>
    <t>สีพิเศษเท่านั้น</t>
  </si>
  <si>
    <t>คิดทุน PC Door — บานเปิด (Fuji)  |  นับเส้นเต็ม</t>
  </si>
  <si>
    <t>แบ่ง 2</t>
  </si>
  <si>
    <t>ซอฟโค้ด →</t>
  </si>
  <si>
    <t>ใส่</t>
  </si>
  <si>
    <t>← ใส่ = 1,170 บาท/ชุด | ไม่ใส่ = ตัดออก</t>
  </si>
  <si>
    <t>ซิลิโคน/หลอด (บาท) →</t>
  </si>
  <si>
    <t>จำนวนบาน =</t>
  </si>
  <si>
    <t>รายการ</t>
  </si>
  <si>
    <t>ราคา/หน่วย (บาท)</t>
  </si>
  <si>
    <t>บานพับ hyda (ตัว)</t>
  </si>
  <si>
    <t>4/บานที่มีบานพับ</t>
  </si>
  <si>
    <t>ล้อ+ซอฟโค้ด (ชุด)  ⚠</t>
  </si>
  <si>
    <t>1/บานที่เลื่อน  ← เติม B10</t>
  </si>
  <si>
    <t>มือจับ Align SMS (บาน)</t>
  </si>
  <si>
    <t>2×99=198/บาน</t>
  </si>
  <si>
    <t>กลอนบานลอง (ชุด)</t>
  </si>
  <si>
    <t>ทั้งสอง config มี 1 บานลอง</t>
  </si>
  <si>
    <t>น็อตเฟรม (ตัว)</t>
  </si>
  <si>
    <t>11 บาท/ม.</t>
  </si>
  <si>
    <t>ซิลิโคน ใน+นอก (หลอด)</t>
  </si>
  <si>
    <t>▶  สรุปทุนและราคาขาย</t>
  </si>
  <si>
    <t>ทุนรวม (บาท)</t>
  </si>
  <si>
    <t>ทุน/ตร.ม. (บาท)</t>
  </si>
  <si>
    <t>ราคาขาย/ตร.ม. (Markup)</t>
  </si>
  <si>
    <t>ราคาขายรวม/ชุด (บาท)</t>
  </si>
  <si>
    <t>%กำไร จากทุน</t>
  </si>
  <si>
    <t>▶  เทียบ R3.9 v11</t>
  </si>
  <si>
    <t>ข้อ R3.9</t>
  </si>
  <si>
    <t>เรต (บาท/ตร.ม.)</t>
  </si>
  <si>
    <t>ราคาขาย R3.9/ชุด</t>
  </si>
  <si>
    <t>%กำไร R3.9 (บนทุน)</t>
  </si>
  <si>
    <t>— มุ้ง (ออปชั่น · ซื้อสำเร็จ) — บวกเข้าทุน —</t>
  </si>
  <si>
    <t>คิดทุนบานยก (sms, ขาวดำ) — เดี่ยว/ถ่วง</t>
  </si>
  <si>
    <t>(จำนวนบาน) →</t>
  </si>
  <si>
    <t>แบบ (เดี่ยว/ถ่วง) →</t>
  </si>
  <si>
    <t>เดี่ยว</t>
  </si>
  <si>
    <t>กล่องร่องมีสกรู</t>
  </si>
  <si>
    <t>อแดปเตอร์บน</t>
  </si>
  <si>
    <t>เฟรมล่าง</t>
  </si>
  <si>
    <t>อแดปเตอร์รูสกรู</t>
  </si>
  <si>
    <t>เสาเกี่ยว</t>
  </si>
  <si>
    <t>รางข้าง</t>
  </si>
  <si>
    <t>กล่องอุปกรณ์</t>
  </si>
  <si>
    <t>ล๊อคกลาง</t>
  </si>
  <si>
    <t>คอยสปริง</t>
  </si>
  <si>
    <t>ฝาปิดฝุ่น</t>
  </si>
  <si>
    <t>ตลับตะขอเกี่ยว</t>
  </si>
  <si>
    <t>กิ๊ปล็อค</t>
  </si>
  <si>
    <t>กล่องใส่สปริง</t>
  </si>
  <si>
    <t>ถอดทุนบานเฟี้ยมยูโร (Fuji bi-fold) — นับเส้นเต็ม Σ÷6400</t>
  </si>
  <si>
    <t>LUT รูปแบบ (ซ่อนได้)</t>
  </si>
  <si>
    <t>ชนกลาง=</t>
  </si>
  <si>
    <t>บานพับ=</t>
  </si>
  <si>
    <t>สีidx=</t>
  </si>
  <si>
    <t>กว้างบาน(มม)=</t>
  </si>
  <si>
    <t>ปกติ</t>
  </si>
  <si>
    <t>W(มม)=</t>
  </si>
  <si>
    <t>H(มม)=</t>
  </si>
  <si>
    <t>← ราคากระจก/ตร.ม.</t>
  </si>
  <si>
    <t>วัสดุอลู (F79xx)</t>
  </si>
  <si>
    <t>Σยาว(มม)</t>
  </si>
  <si>
    <t>ราคา/เส้น</t>
  </si>
  <si>
    <t>F7968 เฟรมบน</t>
  </si>
  <si>
    <t>F7969 เฟรมล่าง</t>
  </si>
  <si>
    <t>F7970 เฟรมข้าง</t>
  </si>
  <si>
    <t>F7971 คิ้วตบเฟรมข้าง</t>
  </si>
  <si>
    <t>F7973 ตบปิดเฟรม (=เฟรมบน)</t>
  </si>
  <si>
    <t>F7972 กรอบบาน (4ด้าน)</t>
  </si>
  <si>
    <t>F7974 ชนกลางบานคู่</t>
  </si>
  <si>
    <t>F7962 รับล็อค</t>
  </si>
  <si>
    <t>F7935 คิ้วกระจก (4ด้าน)</t>
  </si>
  <si>
    <t>— ฮาร์ดแวร์ (HD, ราคา guide) —</t>
  </si>
  <si>
    <t>HD-640 บานพับล้อบน</t>
  </si>
  <si>
    <t>HD-641 บานพับเฟี้ยม</t>
  </si>
  <si>
    <t>HD-642 บานพับมือจับ</t>
  </si>
  <si>
    <t>HD-643 บานพับไกด์ล่าง</t>
  </si>
  <si>
    <t>HD-474 มือจับกลอน</t>
  </si>
  <si>
    <t>HD-312 ตลับกลอนล็อค</t>
  </si>
  <si>
    <t>HD-1180 ก้านสไลด์</t>
  </si>
  <si>
    <t>HD-213 ฉากเข้ามุม</t>
  </si>
  <si>
    <t>HD-200 ฉากประคองมุม</t>
  </si>
  <si>
    <t>— ยาง/สักหลาด (สูตร guide × ราคาต้นทุน) —</t>
  </si>
  <si>
    <t>ยางลูกโป่ง 6mm</t>
  </si>
  <si>
    <t>สักหลาด 5mm</t>
  </si>
  <si>
    <t>ยางอัด</t>
  </si>
  <si>
    <t>ยางรอง</t>
  </si>
  <si>
    <t>รางยู (=SMS) + กรีดพื้น 200/ม.</t>
  </si>
  <si>
    <t>ราคาขาย/ตร.ม. (markup)</t>
  </si>
  <si>
    <t>คิดทุนบานตายดัดโค้ง (ช่องปูนโค้ง บานแบน) — 1 โค้ง/ชีท</t>
  </si>
  <si>
    <t>กว้าง (ซม.) →</t>
  </si>
  <si>
    <t>ราคากระจก/ตร.ม. (auto) →</t>
  </si>
  <si>
    <t>จำนวนโค้ง →</t>
  </si>
  <si>
    <t>ค่าดัดโค้ง (อลูทั้งชุด รวมกล่อง)</t>
  </si>
  <si>
    <t>กล่องเปิด(1267)+ตบปิดเปิด(582) ยาว=กว้าง</t>
  </si>
  <si>
    <t>ปัดขึ้นหลักร้อย</t>
  </si>
  <si>
    <t>ค่าแรงผลิต (263/ตร.ม.)</t>
  </si>
  <si>
    <t>ค่าแรงติดตั้ง (263/ตร.ม.)</t>
  </si>
  <si>
    <t>คิดทุนบานเปิดดัดโค้ง (สั่งร้านอื่น + กระจก + ซิลิโคน + ค่าแรง)</t>
  </si>
  <si>
    <t>น้ำหนักอลู(กก.)=</t>
  </si>
  <si>
    <t>LUT ราคาบาน (ซ่อนได้) key|ขาว-ดำ|เทา|ลายไม้</t>
  </si>
  <si>
    <t>1|2.4</t>
  </si>
  <si>
    <t>สูงรวมโค้ง (ซม.) →</t>
  </si>
  <si>
    <t>key=</t>
  </si>
  <si>
    <t>1|2.6</t>
  </si>
  <si>
    <t>1|2.7</t>
  </si>
  <si>
    <t>ความสูงโค้ง (ซม.) →</t>
  </si>
  <si>
    <t>1|2.8</t>
  </si>
  <si>
    <t>2|2.4</t>
  </si>
  <si>
    <t>2|2.6</t>
  </si>
  <si>
    <t>2|2.7</t>
  </si>
  <si>
    <t>2|2.8</t>
  </si>
  <si>
    <t>ราคาซิลิโคน/หลอด (PU) →</t>
  </si>
  <si>
    <t>ราคาบาน กรอกเอง (ว่าง=ใช้ตาราง) →</t>
  </si>
  <si>
    <t>กฎโค้ง:</t>
  </si>
  <si>
    <t>ราคาบาน (สั่งร้านอื่น รวมอุปกรณ์)</t>
  </si>
  <si>
    <t>กระจก (เต็ม กว้าง×สูง)</t>
  </si>
  <si>
    <t>ตัดโค้งทิ้ง คิดเต็ม</t>
  </si>
  <si>
    <t>ซิลิโคน (PU) ใน+นอก</t>
  </si>
  <si>
    <t>90/หลอด</t>
  </si>
  <si>
    <t>ค่าแรงผลิต (90/ตร.ม.)</t>
  </si>
  <si>
    <t>ค่าแรงติดตั้ง (=บานเปิดยูโร)</t>
  </si>
  <si>
    <t>ราคาขาย/ชุด (markup)</t>
  </si>
  <si>
    <t>คิดทุนบานระแนง 38.4 (บังตา/ผนัง) — เลือกรุ่น → ทุน → เทียบ R3.9</t>
  </si>
  <si>
    <t>LUT (ซ่อนได้)</t>
  </si>
  <si>
    <t>ตัวหาร 600</t>
  </si>
  <si>
    <t>กล่องระแนง →</t>
  </si>
  <si>
    <t>พื้นที่ (ตร.ม.)</t>
  </si>
  <si>
    <t>เส้นโครง</t>
  </si>
  <si>
    <t>กล่อง 1×5 cm</t>
  </si>
  <si>
    <t>กล่อง 1×5 cm|1 cm|5</t>
  </si>
  <si>
    <t>1 cm</t>
  </si>
  <si>
    <t>5 cm</t>
  </si>
  <si>
    <t>ด้านโชว์ →</t>
  </si>
  <si>
    <t>1.6"</t>
  </si>
  <si>
    <t>โชว์ (ซม.)</t>
  </si>
  <si>
    <t>ราคาโครง/เส้น</t>
  </si>
  <si>
    <t>กล่อง 1"×1"</t>
  </si>
  <si>
    <t>กล่อง 1×5 cm|1 cm|3</t>
  </si>
  <si>
    <t>1"</t>
  </si>
  <si>
    <t>ช่องห่าง (ซม.) →</t>
  </si>
  <si>
    <t>pitch (ซม.)</t>
  </si>
  <si>
    <t>สีพิเศษ (บาท)</t>
  </si>
  <si>
    <t>กล่อง 1"×1.5"</t>
  </si>
  <si>
    <t>กล่อง 1×5 cm|1 cm|2</t>
  </si>
  <si>
    <t>1.5"</t>
  </si>
  <si>
    <t>โครง →</t>
  </si>
  <si>
    <t>ไม่รวม</t>
  </si>
  <si>
    <t>ยาว/ใบ (ซม.)</t>
  </si>
  <si>
    <t>ขาย N</t>
  </si>
  <si>
    <t>กล่อง 1"×1.6"</t>
  </si>
  <si>
    <t>กล่อง 1×5 cm|5 cm|5</t>
  </si>
  <si>
    <t>ช่วงกระจาย (ซม.)</t>
  </si>
  <si>
    <t>ขาย F</t>
  </si>
  <si>
    <t>กล่อง 1"×4"</t>
  </si>
  <si>
    <t>กล่อง 1×5 cm|5 cm|3</t>
  </si>
  <si>
    <t>4"</t>
  </si>
  <si>
    <t>แนวเกล็ด →</t>
  </si>
  <si>
    <t>นอน</t>
  </si>
  <si>
    <t>จำนวนใบ</t>
  </si>
  <si>
    <t>addสี</t>
  </si>
  <si>
    <t>กล่อง 1×5 cm|5 cm|2</t>
  </si>
  <si>
    <t>เส้นใบ</t>
  </si>
  <si>
    <t>ขาย/ตร.ม.</t>
  </si>
  <si>
    <t>กล่อง 1"×1.6"|1"|5</t>
  </si>
  <si>
    <t>ปัจจัยสี</t>
  </si>
  <si>
    <t>กล่อง 1"×1.6"|1"|3</t>
  </si>
  <si>
    <t>ค่าแรงผลิต (บาท/ตร.ม.) →</t>
  </si>
  <si>
    <t>ราคากล่อง/เส้น</t>
  </si>
  <si>
    <t>low กว้าง</t>
  </si>
  <si>
    <t>กล่อง 1"×1.6"|1"|2</t>
  </si>
  <si>
    <t>ต่อระแนง →</t>
  </si>
  <si>
    <t>ไม่ต่อ</t>
  </si>
  <si>
    <t>snap ช่องห่าง</t>
  </si>
  <si>
    <t>up กว้าง</t>
  </si>
  <si>
    <t>กล่อง 1"×1.6"|1.6"|5</t>
  </si>
  <si>
    <t>ค่าแรงติดตั้ง (บาท/ตร.ม.) →</t>
  </si>
  <si>
    <t>snap กว้าง</t>
  </si>
  <si>
    <t>กล่อง 1"×1.6"|1.6"|3</t>
  </si>
  <si>
    <t>sellRow</t>
  </si>
  <si>
    <t>low สูง</t>
  </si>
  <si>
    <t>ลายไม้สต๊อก</t>
  </si>
  <si>
    <t>กล่อง 1"×1.6"|1.6"|2</t>
  </si>
  <si>
    <t>ระยะห่างจริง(ลงตัว)</t>
  </si>
  <si>
    <t>up สูง</t>
  </si>
  <si>
    <t>กล่อง 1"×1"|1"|5</t>
  </si>
  <si>
    <t>snap สูง</t>
  </si>
  <si>
    <t>กล่อง 1"×1"|1"|3</t>
  </si>
  <si>
    <t>กว้างใช้</t>
  </si>
  <si>
    <t>กล่อง 1"×1"|1"|2</t>
  </si>
  <si>
    <t>โครงดาม 1"x1.6"</t>
  </si>
  <si>
    <t>สูงใช้</t>
  </si>
  <si>
    <t>กล่อง 1"×1.5"|1"|5</t>
  </si>
  <si>
    <t>สีพิเศษ (ค่าเปิดตู้อบ)</t>
  </si>
  <si>
    <t>L0 ฐาน</t>
  </si>
  <si>
    <t>กล่อง 1"×1.5"|1"|3</t>
  </si>
  <si>
    <t>ค่าแรง (ผลิต+ติดตั้ง)</t>
  </si>
  <si>
    <t>R เศษ</t>
  </si>
  <si>
    <t>กล่อง 1"×1.5"|1"|2</t>
  </si>
  <si>
    <t>เส้นไม่ต่อ</t>
  </si>
  <si>
    <t>กล่อง 1"×1.5"|1.5"|5</t>
  </si>
  <si>
    <t>เส้นต่อ</t>
  </si>
  <si>
    <t>กล่อง 1"×1.5"|1.5"|3</t>
  </si>
  <si>
    <t>ขาย R3.9/ตร.ม.</t>
  </si>
  <si>
    <t>ค่าใบไม่ต่อ</t>
  </si>
  <si>
    <t>กล่อง 1"×1.5"|1.5"|2</t>
  </si>
  <si>
    <t>ค่าใบต่อ</t>
  </si>
  <si>
    <t>กล่อง 1"×4"|1"|5</t>
  </si>
  <si>
    <t>%กำไร (บนทุน)</t>
  </si>
  <si>
    <t>กล่อง 1"×4"|1"|3</t>
  </si>
  <si>
    <t>กล่อง 1"×4"|1"|2</t>
  </si>
  <si>
    <t>หมายเหตุ: ใบ+โครงเป็นกล่องทั้งหมด · ช่องห่างกรอกเอง · ขาย R3.9 เทียบเรตช่องห่างใกล้สุด 5/3/2 ซม. · rnSL + 38.1/38.2/38.3 ทำทีหลัง</t>
  </si>
  <si>
    <t>กล่อง 1"×4"|4"|5</t>
  </si>
  <si>
    <t>ค่าใบ ไม่ต่อ =</t>
  </si>
  <si>
    <t>กล่อง 1"×4"|4"|3</t>
  </si>
  <si>
    <t>ค่าใบ ต่อ =</t>
  </si>
  <si>
    <t>กล่อง 1"×4"|4"|2</t>
  </si>
  <si>
    <t>ต่อ ถูกลง =</t>
  </si>
  <si>
    <t>กล่อง 1"×4"|4"|0</t>
  </si>
  <si>
    <t>กล่อง 1.6"×1.6"|1.6"|5</t>
  </si>
  <si>
    <t>กล่อง 1.6"×1.6"|1.6"|3</t>
  </si>
  <si>
    <t>กล่อง 1.6"×1.6"|1.6"|2</t>
  </si>
  <si>
    <t>กล่อง 1.6"×4"|1.6"|5</t>
  </si>
  <si>
    <t>กล่อง 1.6"×4"|1.6"|3</t>
  </si>
  <si>
    <t>กล่อง 1.6"×4"|1.6"|2</t>
  </si>
  <si>
    <t>กล่อง 1.6"×4"|4"|5</t>
  </si>
  <si>
    <t>กล่อง 1.6"×4"|4"|3</t>
  </si>
  <si>
    <t>กล่อง 1.6"×4"|4"|2</t>
  </si>
  <si>
    <t>คิดทุนระแนงวางสลับ 2 โปรไฟล์ — ปรับระยะห่างเต็มบานพอดี</t>
  </si>
  <si>
    <t>LUT</t>
  </si>
  <si>
    <t>idx</t>
  </si>
  <si>
    <t>กล่อง A →</t>
  </si>
  <si>
    <t>พื้นที่ ตร.ม.</t>
  </si>
  <si>
    <t>โชว์ A →</t>
  </si>
  <si>
    <t>โชว์A ซม.</t>
  </si>
  <si>
    <t>A กี่ท่อน/ชุด →</t>
  </si>
  <si>
    <t>โชว์B ซม.</t>
  </si>
  <si>
    <t>กล่อง B →</t>
  </si>
  <si>
    <t>L0</t>
  </si>
  <si>
    <t>โชว์ B →</t>
  </si>
  <si>
    <t>ราคา A/เส้น</t>
  </si>
  <si>
    <t>R</t>
  </si>
  <si>
    <t>B กี่ท่อน/ชุด →</t>
  </si>
  <si>
    <t>ราคา B/เส้น</t>
  </si>
  <si>
    <t>เส้นA ไม่ต่อ</t>
  </si>
  <si>
    <t>ระยะห่างเป้า (ซม.) →</t>
  </si>
  <si>
    <t>ท่อนรวม</t>
  </si>
  <si>
    <t>เส้นA ต่อ</t>
  </si>
  <si>
    <t>กว้างบาน (ซม.) →</t>
  </si>
  <si>
    <t>ท่อน A</t>
  </si>
  <si>
    <t>เส้นB ไม่ต่อ</t>
  </si>
  <si>
    <t>สูงบาน (ซม.) →</t>
  </si>
  <si>
    <t>ท่อน B</t>
  </si>
  <si>
    <t>เส้นB ต่อ</t>
  </si>
  <si>
    <t>หน้ารวม(ซม.)</t>
  </si>
  <si>
    <t>ค่าต่อ</t>
  </si>
  <si>
    <t>ระยะห่างจริง</t>
  </si>
  <si>
    <t>เส้น A</t>
  </si>
  <si>
    <t>เส้น B</t>
  </si>
  <si>
    <t>สีพิเศษ</t>
  </si>
  <si>
    <t>▶ ระยะห่างจริง (ลงตัว) ซม.</t>
  </si>
  <si>
    <t>ราคาโครง</t>
  </si>
  <si>
    <t>ค่าต่อระแนง (80/ท่อน)</t>
  </si>
  <si>
    <t>โครงดาม 1"×1.6"</t>
  </si>
  <si>
    <t>ทุนวัสดุ (ไม่รวมค่าแรง)</t>
  </si>
  <si>
    <t>ขายผลิตอย่างเดียว (กำไร 100%)</t>
  </si>
  <si>
    <t>ขายผลิต+ติดตั้ง (กำไร 100%)</t>
  </si>
  <si>
    <t>กำไร% (ฐานวัสดุ+ค่าแรงผลิต)</t>
  </si>
  <si>
    <t>คิดทุนประตูรั้วบานเลื่อน (ข้อ 37) — บานระแนง + โครง/ราง/ล้อ/มอเตอร์</t>
  </si>
  <si>
    <t>กล่องใบระแนง →</t>
  </si>
  <si>
    <t>ชนิดใบประตู →</t>
  </si>
  <si>
    <t>ระแนง</t>
  </si>
  <si>
    <t>โชว์ ซม.</t>
  </si>
  <si>
    <t>━ ระแนงสลับ: กรอกค่าช่อง F สีเหลือง ↓ (เมื่อใบ=ระแนงสลับ)</t>
  </si>
  <si>
    <t>pitch</t>
  </si>
  <si>
    <t>สลับ ท่อน A →</t>
  </si>
  <si>
    <t>ยาว/ใบ</t>
  </si>
  <si>
    <t>สลับ กล่อง B →</t>
  </si>
  <si>
    <t>ช่วง</t>
  </si>
  <si>
    <t>สลับ โชว์ B →</t>
  </si>
  <si>
    <t>สลับ ท่อน B →</t>
  </si>
  <si>
    <t>ความยาวราง (ม.) →</t>
  </si>
  <si>
    <t>สลับ ระยะห่าง →</t>
  </si>
  <si>
    <t>ล้อ 3" (จำนวน) →</t>
  </si>
  <si>
    <t>ราคากล่องใบ</t>
  </si>
  <si>
    <t>รีโมท (จำนวน) →</t>
  </si>
  <si>
    <t>มอเตอร์ →</t>
  </si>
  <si>
    <t>เส้นโครง 2x4</t>
  </si>
  <si>
    <t>รางโค้ง (ซอยบาน≤75ซม.) →</t>
  </si>
  <si>
    <t>ราคาโครง 2x4</t>
  </si>
  <si>
    <t>กรีดพื้น →</t>
  </si>
  <si>
    <t>ราคาเสา 4x4</t>
  </si>
  <si>
    <t>เดินไฟ →</t>
  </si>
  <si>
    <t>ชุดราง</t>
  </si>
  <si>
    <t>ค่าแรง (บาท) →</t>
  </si>
  <si>
    <t>เรตกรีดพื้น</t>
  </si>
  <si>
    <t>บาน(โค้ง)</t>
  </si>
  <si>
    <t>snapGap</t>
  </si>
  <si>
    <t>keyR</t>
  </si>
  <si>
    <t>▶ ระยะห่างจริง ปกติ (ซม.)</t>
  </si>
  <si>
    <t>▶ ระยะห่างจริง สลับ (ซม.)</t>
  </si>
  <si>
    <t>โครงกรอบบาน 2"×4" (ตรง=รอบบาน / โค้ง=ทุกบาน)</t>
  </si>
  <si>
    <t>เสารับไกด์ 4"×4" (1 ต้น)</t>
  </si>
  <si>
    <t>ระแนงขาย/ตร.ม.</t>
  </si>
  <si>
    <t>เหล็กยัดเสา 4"×4"</t>
  </si>
  <si>
    <t>ล้อ 3" (ตรง=ล้อวิ่ง299 / โค้ง=สปริง290×(บาน+1))</t>
  </si>
  <si>
    <t>ล้อไกด์ประคองหลัง (4 ชิ้น)</t>
  </si>
  <si>
    <t>ราง (ชุด 6 ม.)</t>
  </si>
  <si>
    <t>มอเตอร์</t>
  </si>
  <si>
    <t>รีโมท</t>
  </si>
  <si>
    <t>กรีดพื้น (บาท/ม.×ราง)</t>
  </si>
  <si>
    <t>เดินไฟ (เหมา)</t>
  </si>
  <si>
    <t>ค่าแรงผลิต (560/ตร.ม.)</t>
  </si>
  <si>
    <t>ค่าแรงติดตั้ง (1120/ตร.ม.)</t>
  </si>
  <si>
    <t>ทุนรวมประตู</t>
  </si>
  <si>
    <t>ชนิดใบประตู → (ระแนง/ระแนงสลับ)</t>
  </si>
  <si>
    <t>* ใบ=ระแนงสลับ → ดึงทุนใบจากชีท คิดทุน ระแนงสลับ</t>
  </si>
  <si>
    <t>— ราคาขาย R3.9 ข้อ 37 (ไม่มีส่วนลด) —</t>
  </si>
  <si>
    <t>ค่าระแนง+สี (38.4 N × พื้นที่)</t>
  </si>
  <si>
    <t>โครงประตู (เหมา)</t>
  </si>
  <si>
    <t>ค่าราง R3.9 (1,500/2,500/ม. × ราง)</t>
  </si>
  <si>
    <t>ค่ามอเตอร์ (ขาย)</t>
  </si>
  <si>
    <t>เดินไฟ (ขาย)</t>
  </si>
  <si>
    <t>ราคาขายรวม R3.9</t>
  </si>
  <si>
    <t>คิดทุนบานเกล็ด 38.1 (เกล็ดโยก ลูกฟูก/กระจก) — กรอกช่องเหลือง</t>
  </si>
  <si>
    <t>ความสูง</t>
  </si>
  <si>
    <t>N</t>
  </si>
  <si>
    <t>ก้านโยก</t>
  </si>
  <si>
    <t>Wp กว้าง/ช่อง</t>
  </si>
  <si>
    <t>S ด้านสแต็ค</t>
  </si>
  <si>
    <t>L ยาวใบ</t>
  </si>
  <si>
    <t>limit ด้านจำกัด</t>
  </si>
  <si>
    <t>ใบเกล็ด →</t>
  </si>
  <si>
    <t>colMult</t>
  </si>
  <si>
    <t>ชนิดกระจก (ถ้าใบ=กระจก) →</t>
  </si>
  <si>
    <t>legGray</t>
  </si>
  <si>
    <t>matchRow</t>
  </si>
  <si>
    <t>N เกล็ดโยก</t>
  </si>
  <si>
    <t>━ คำนวณตามความสูง (ตาราง GUT) ━</t>
  </si>
  <si>
    <t>Hrow ความสูงแถว</t>
  </si>
  <si>
    <t>จำนวนเกล็ด/ช่อง =</t>
  </si>
  <si>
    <t>G เศษ</t>
  </si>
  <si>
    <t>ขาเกล็ดยาว (มม.) =</t>
  </si>
  <si>
    <t>tie เกล็ดติดตาย</t>
  </si>
  <si>
    <t>ก้านโยก =</t>
  </si>
  <si>
    <t>perBlades/ช่อง</t>
  </si>
  <si>
    <t>จำนวนขาเกล็ด (ชุด) =</t>
  </si>
  <si>
    <t>totalBlades</t>
  </si>
  <si>
    <t>legRate</t>
  </si>
  <si>
    <t>frameLen</t>
  </si>
  <si>
    <t>frameLines</t>
  </si>
  <si>
    <t>glassPrice</t>
  </si>
  <si>
    <t>motorCost</t>
  </si>
  <si>
    <t>เฟรม 1"×4" (รอบ+เสาแบ่ง)</t>
  </si>
  <si>
    <t>ขาเกล็ดโยก</t>
  </si>
  <si>
    <t>ใบเกล็ด</t>
  </si>
  <si>
    <t>ยู4หุน เกล็ดติดตาย</t>
  </si>
  <si>
    <t>ทุนวัสดุ</t>
  </si>
  <si>
    <t>ค่าแรงผลิต (196/ตร.ม.)</t>
  </si>
  <si>
    <t>ค่าแรงติดตั้ง (196/ตร.ม.)</t>
  </si>
  <si>
    <t>หมายเหตุ: ขาย=markup กำไร% · R3.9 38.1 (ยึดเกล็ด max500/พื้นที่×1500) สูตรสีรอเฟิร์น</t>
  </si>
  <si>
    <t>ทุน/ตร.ม. (รวมค่าแรง)</t>
  </si>
  <si>
    <t>คิดทุนบานระแนงหมุน 38.4 (ใบพลิกได้ + มอเตอร์)</t>
  </si>
  <si>
    <t>ช่องห่าง (บังคับ 0.2 ซม.) →</t>
  </si>
  <si>
    <t>ชุดมอเตอร์ →</t>
  </si>
  <si>
    <t>เอา</t>
  </si>
  <si>
    <t>เพลาหมุน กล่อง 4"×4" (ยาว=กว้าง)</t>
  </si>
  <si>
    <t>อุปกรณ์หมุน(200/ม.)+จุดหมุน(160/ใบ บน-ล่าง)</t>
  </si>
  <si>
    <t>ราคาขาย/ชุด (ทุน×2)</t>
  </si>
  <si>
    <t>%กำไร</t>
  </si>
  <si>
    <t>คิดทุนหลังคา (รวม) — เลือกประเภทแล้วกรอกขนาด</t>
  </si>
  <si>
    <t>ตั้งค่า</t>
  </si>
  <si>
    <t>ทรงหลังคา →</t>
  </si>
  <si>
    <t>หลังคาเพิง</t>
  </si>
  <si>
    <t>ชนิดหลังคา →</t>
  </si>
  <si>
    <t>แป →</t>
  </si>
  <si>
    <t>แปเดี่ยว</t>
  </si>
  <si>
    <t>ปลายหลังคา →</t>
  </si>
  <si>
    <t>ยื่นปลาย</t>
  </si>
  <si>
    <t>มีส่วนเลื่อน →</t>
  </si>
  <si>
    <t>ไม่</t>
  </si>
  <si>
    <t>← เสริมได้ทั้งเพิงและจั่ว</t>
  </si>
  <si>
    <t>ขนาด</t>
  </si>
  <si>
    <t>เลื่อนยื่น</t>
  </si>
  <si>
    <t>ผลลัพธ์</t>
  </si>
  <si>
    <t>ทุนวัสดุรวม (บาท)</t>
  </si>
  <si>
    <t>ทุนรวม วัสดุ+ค่าแรง (บาท)</t>
  </si>
  <si>
    <t>ราคาขาย/ชุด ทุน×2 (บาท)</t>
  </si>
  <si>
    <t>ส่วนติดตาย</t>
  </si>
  <si>
    <t>ค่าแรง</t>
  </si>
  <si>
    <t>ถอดทุน — ฝ้ายิปซัมฉาบเรียบทาสีขาว (เวเทอร์บล็อค 9 มม.)   |   เทียบ R3.9 ข้อ 35</t>
  </si>
  <si>
    <t xml:space="preserve">  ① กรอกข้อมูลงาน  (กรอกแค่ช่องเหลือง)</t>
  </si>
  <si>
    <t>ความกว้าง</t>
  </si>
  <si>
    <t>ม.</t>
  </si>
  <si>
    <t>← กรอก</t>
  </si>
  <si>
    <t>ความยาว</t>
  </si>
  <si>
    <t>พื้นที่ฝ้า (อัตโนมัติ)</t>
  </si>
  <si>
    <t>กว้าง × ยาว</t>
  </si>
  <si>
    <t>เส้นรอบฝ้า (อัตโนมัติ)</t>
  </si>
  <si>
    <t>2×(กว้าง+ยาว) · สำหรับฉากโอบ</t>
  </si>
  <si>
    <t>ใส่ฉนวนกันร้อน rockwool 3"?</t>
  </si>
  <si>
    <t>ไม่ใส่</t>
  </si>
  <si>
    <t>เลือก ใส่/ไม่ใส่ · ถ้าใส่คิดเต็มพื้นที่ + R3.9 +600/ตร.ม.</t>
  </si>
  <si>
    <t xml:space="preserve">  ② รายการวัสดุ + ค่าแรง  (ราคา/หน่วย=ของจริงที่พี่ส่ง — จำนวน+ทุนคำนวณเอง)</t>
  </si>
  <si>
    <t>ทุน</t>
  </si>
  <si>
    <t>แผ่นยิปซัมเวเทอร์บล็อค 9 มม. (1.2×2.4)</t>
  </si>
  <si>
    <t>เผื่อเศษ 10% · 2.88 ตร.ม./แผ่น</t>
  </si>
  <si>
    <t>โครงซีไลน์ (ฟิวริ่ง) @0.40 ม.</t>
  </si>
  <si>
    <t>เส้นยาว 4 ม. · 2.5 ม./ตร.ม.</t>
  </si>
  <si>
    <t>โครงเคร่าหลัก (โครงอาบ) @1.00 ม.</t>
  </si>
  <si>
    <t>เส้นยาว 4 ม. · 1.0 ม./ตร.ม.</t>
  </si>
  <si>
    <t>ขาแขวน (ตัดจากซีไลน์)</t>
  </si>
  <si>
    <t>1 จุด/ตร.ม. × ดรอป 0.3 ม. (มาตรฐาน)</t>
  </si>
  <si>
    <t>สกรูยึดแผ่น (เกลียวปล่อย)</t>
  </si>
  <si>
    <t>15 ตัว/ตร.ม.</t>
  </si>
  <si>
    <t>สกรูยึดโครง (เมทัล)</t>
  </si>
  <si>
    <t>5 ตัว/ตร.ม.</t>
  </si>
  <si>
    <t>ปูนฉาบรอยต่อ (50 กก./ถุง)</t>
  </si>
  <si>
    <t>ใช้จริง 0.5 กก./ตร.ม. (ฉาบรอยต่อ)</t>
  </si>
  <si>
    <t>เทปผ้า/ตาข่ายปิดรอยต่อ</t>
  </si>
  <si>
    <t>1 ม้วนคลุม ~60 ตร.ม.</t>
  </si>
  <si>
    <t>ฉากโอบ อลู 4 หุน (เส้น 6 ม.)</t>
  </si>
  <si>
    <t>ตามเส้นรอบ · เส้นยาว 6 ม.</t>
  </si>
  <si>
    <t>ฉนวน rockwool 3" (60×120 ซม.) [ถ้าใส่]</t>
  </si>
  <si>
    <t>0.72 ตร.ม./แผ่น · คิดเต็มพื้นที่</t>
  </si>
  <si>
    <t>ค่าแรง (ติดโครง+แผ่น+ฉาบ+ทาสี)</t>
  </si>
  <si>
    <t>รวมค่าทาสีแล้ว</t>
  </si>
  <si>
    <t>ทุนรวมทั้งงาน</t>
  </si>
  <si>
    <t xml:space="preserve">  ③ ราคาขาย (กำไร 100% = ทุน×2)   ·   R3.9 ข้อ 35 = อ้างอิง</t>
  </si>
  <si>
    <t>ทุนเฉลี่ย / ตร.ม.</t>
  </si>
  <si>
    <t>ทุนรวม ÷ พื้นที่</t>
  </si>
  <si>
    <t>ราคาขาย (กำไร 100% = ทุน×2)</t>
  </si>
  <si>
    <t>ทุนรวม × 2</t>
  </si>
  <si>
    <t>กำไร (บาท)</t>
  </si>
  <si>
    <t>เท่าทุนรวม (กำไร 100%)</t>
  </si>
  <si>
    <t>· ราคาขาย R3.9 (อ้างอิง)</t>
  </si>
  <si>
    <t>ข้อ 35 — ไว้เทียบเฉยๆ</t>
  </si>
  <si>
    <t>· กำไร% ถ้าขายตาม R3.9</t>
  </si>
  <si>
    <t>อ้างอิง</t>
  </si>
  <si>
    <t>ราคา/หน่วย = ของจริง (มิ.ย.69) · จำนวนคำนวณจากพื้นที่ปัดขึ้น · สมมติมาตรฐาน: ขาแขวน 1จุด/ตร.ม.×0.3ม. · ปูน 0.5กก./ตร.ม. · สกรู 15&amp;5 ตัว/ตร.ม. (ปรับได้)</t>
  </si>
  <si>
    <t>ถอดทุน — งานไฟ (ดาวน์ไลท์ + ปลั๊ก + สวิตช์ + เดินสายไฟ)   |   ตั้ง % กำไรเอง</t>
  </si>
  <si>
    <t>← กรอกจำนวน</t>
  </si>
  <si>
    <t>ปลั๊ก</t>
  </si>
  <si>
    <t>สวิตช์</t>
  </si>
  <si>
    <t>เดินสายไฟ</t>
  </si>
  <si>
    <t>← ความยาวสายไฟรวม</t>
  </si>
  <si>
    <t>% กำไรที่ต้องการ</t>
  </si>
  <si>
    <t>%</t>
  </si>
  <si>
    <t>งานไฟไม่มี R3.9 จึงตั้งเอง</t>
  </si>
  <si>
    <t xml:space="preserve">  ② รายการวัสดุ + ค่าแรง  (ราคา/หน่วย ช่องเหลือง — จำนวน+ทุนคำนวณเอง)</t>
  </si>
  <si>
    <t>ตามจำนวนดาวน์ไลท์</t>
  </si>
  <si>
    <t>เต้ารับ + หน้ากาก (ปลั๊ก)</t>
  </si>
  <si>
    <t>ตามจำนวนปลั๊ก</t>
  </si>
  <si>
    <t>สวิตช์ + หน้ากาก</t>
  </si>
  <si>
    <t>ตามจำนวนสวิตช์</t>
  </si>
  <si>
    <t>กล่องไฟ (ลอย/ฝัง)</t>
  </si>
  <si>
    <t>ปลั๊ก + สวิตช์</t>
  </si>
  <si>
    <t>2,500/ม้วน 100 ม. = 25/ม.</t>
  </si>
  <si>
    <t>ท่อ PVC + ข้อต่อ</t>
  </si>
  <si>
    <t>20/เส้น 3 ม. = 6.67/ม.</t>
  </si>
  <si>
    <t>เทป + อุปกรณ์เบ็ดเตล็ด</t>
  </si>
  <si>
    <t>เหมาต่องาน</t>
  </si>
  <si>
    <t>ค่าแรงเดินสายไฟ</t>
  </si>
  <si>
    <t>ฐานหลัก/เมตร (รวมปลั๊ก+สวิตช์)</t>
  </si>
  <si>
    <t>ค่าแรงติดตั้งดาวน์ไลท์ (เพิ่ม)</t>
  </si>
  <si>
    <t>เงื่อนไขเพิ่ม +90/ดวง</t>
  </si>
  <si>
    <t xml:space="preserve">  ③ ราคาขาย</t>
  </si>
  <si>
    <t>ค่าแรงรวม</t>
  </si>
  <si>
    <t>เดินสาย + ดาวน์ไลท์</t>
  </si>
  <si>
    <t>ราคาขาย (ทุน × กำไร)</t>
  </si>
  <si>
    <t>ทุนรวม × (1 + %กำไร)</t>
  </si>
  <si>
    <t>ค่าแรง: เดินสายไฟ 90/ม. (ฐาน รวมปลั๊ก+สวิตช์) + ดาวน์ไลท์ +90/ดวง (เพิ่ม) · สายไฟ+ท่อตามเมตร · งานไฟไม่มี R3.9 ตั้ง %กำไรเอง</t>
  </si>
  <si>
    <t>ถอดทุน — ผนังเบาสมาร์ทบอร์ด 12 มม. (2 หน้า ฉาบเรียบ)   |   เทียบ R3.9 ข้อ 40.1</t>
  </si>
  <si>
    <t>ความกว้างผนัง</t>
  </si>
  <si>
    <t>ความสูงผนัง</t>
  </si>
  <si>
    <t>พื้นที่ผนัง (อัตโนมัติ)</t>
  </si>
  <si>
    <t>กว้าง × สูง (1 หน้า)</t>
  </si>
  <si>
    <t>ใส่ฉนวนกันร้อน/เสียง 3"?</t>
  </si>
  <si>
    <t>R3.9 ข้อ 40.1 รวมฉนวน 3" เป็นมาตรฐาน</t>
  </si>
  <si>
    <t xml:space="preserve">  ② รายการวัสดุ + ค่าแรง  (ราคา/หน่วย=ของจริง — จำนวน+ทุนคำนวณเอง)</t>
  </si>
  <si>
    <t>แผ่นสมาร์ทบอร์ด 12 มม. (กรุ 2 หน้า)</t>
  </si>
  <si>
    <t>2 หน้า×เผื่อเศษ10% · 2.88 ตร.ม./แผ่น</t>
  </si>
  <si>
    <t>โครงเหล็กกรอบ 4 ด้าน (1½×3")</t>
  </si>
  <si>
    <t>รอบผนัง 2×(ก+ส) · เส้นยาว 6 ม.</t>
  </si>
  <si>
    <t>ซีไลน์ 3" เสาตั้ง (ดิ่ง) @0.60</t>
  </si>
  <si>
    <t>เสาตั้งใน · เส้นยาว 3 ม.</t>
  </si>
  <si>
    <t>ซีไลน์ 3" ถักนอน (ราบ) @0.40</t>
  </si>
  <si>
    <t>คานราบถัก · เส้นยาว 3 ม.</t>
  </si>
  <si>
    <t>ฉนวน 3" (60×120 ซม.) [ถ้าใส่]</t>
  </si>
  <si>
    <t>0.72 ตร.ม./แผ่น · เต็มพื้นที่</t>
  </si>
  <si>
    <t>สกรูยึดแผ่น (2 หน้า)</t>
  </si>
  <si>
    <t>30 ตัว/ตร.ม. (2 หน้า)</t>
  </si>
  <si>
    <t>10 ตัว/ตร.ม. (กริดถี่ขึ้น)</t>
  </si>
  <si>
    <t>ปูนฉาบรอยต่อ (2 หน้า, 50 กก./ถุง)</t>
  </si>
  <si>
    <t>1.0 กก./ตร.ม. (2 หน้า)</t>
  </si>
  <si>
    <t>เทปผ้า/ตาข่าย (2 หน้า)</t>
  </si>
  <si>
    <t>1 ม้วน ~30 ตร.ม. (2 หน้า)</t>
  </si>
  <si>
    <t>ผลิตโครง+ประกอบ ฿/ตร.ม.</t>
  </si>
  <si>
    <t>ติดตั้งหน้างาน ฿/ตร.ม.</t>
  </si>
  <si>
    <t xml:space="preserve">  ③ ราคาขาย (กำไร 100% = ทุน×2)   ·   R3.9 ข้อ 40.1 = อ้างอิง</t>
  </si>
  <si>
    <t>ค่าแรงรวม (ผลิต+ติดตั้ง)</t>
  </si>
  <si>
    <t>700+400 = 1,100/ตร.ม.</t>
  </si>
  <si>
    <t>ข้อ 40.1 — ไว้เทียบเฉยๆ</t>
  </si>
  <si>
    <t>โครง: เหล็กกรอบ 1½×3" รอบ 4 ด้าน + ซีไลน์ 3" ถักใน เสาตั้ง@0.60 + ถักนอน@0.40 · ค่าแรงผลิต700+ติดตั้ง400 · สกรูโครงเพิ่มเป็น 10/ตร.ม. (กริดถี่)</t>
  </si>
  <si>
    <t>ถอดทุน — ผนังไอโซวอล 100 มม. (สีขาว)   |   เทียบ R3.9 ข้อ 39</t>
  </si>
  <si>
    <t xml:space="preserve">  ① กรอกข้อมูลงาน + ราคาแผ่นตามความสูง  (ช่องเหลือง)</t>
  </si>
  <si>
    <t>← กรอก (เลือกแผ่นอัตโนมัติ)</t>
  </si>
  <si>
    <t>กว้าง × สูง</t>
  </si>
  <si>
    <t>เส้นรอบ (อัตโนมัติ)</t>
  </si>
  <si>
    <t>2×(ก+ส) · สำหรับกล่อง+ฉาก</t>
  </si>
  <si>
    <t>ราคาแผ่น ≤2.4 ม. (1.2×2.4)</t>
  </si>
  <si>
    <t>บาท/แผ่น</t>
  </si>
  <si>
    <t>ใช้เมื่อสูง ≤ 2.4 ม.</t>
  </si>
  <si>
    <t>ราคาแผ่น &gt;2.4 ม. (1.2×3.0)</t>
  </si>
  <si>
    <t>ใช้เมื่อสูง &gt; 2.4 ม.</t>
  </si>
  <si>
    <t>แผ่นไอโซวอล 100 มม. (เสาตั้ง 1.2 ม.)</t>
  </si>
  <si>
    <t>≤2.4→1.2×2.4 · &gt;2.4→1.2×3.0 (เลือกอัตโนมัติ)</t>
  </si>
  <si>
    <t>กล่อง 1.6"×4" โครงวิ่งรอบ</t>
  </si>
  <si>
    <t>1 เส้นรอบ · เส้นยาว 6 ม.</t>
  </si>
  <si>
    <t>ฉาก 4 หุน นอก+ใน (2 เส้นรอบ)</t>
  </si>
  <si>
    <t>2×เส้นรอบ · เส้นยาว 6 ม.</t>
  </si>
  <si>
    <t>สกรู/รีเวท + อุปกรณ์ยึด (เหมา)</t>
  </si>
  <si>
    <t>ขอบ 2 หน้า + รอยต่อแผ่น · 1 หลอด/10 ม.</t>
  </si>
  <si>
    <t>ผลิต/ประกอบ ฿/ตร.ม.</t>
  </si>
  <si>
    <t xml:space="preserve">  ③ ราคาขาย (กำไร 100% = ทุน×2)   ·   R3.9 ข้อ 39 = อ้างอิง</t>
  </si>
  <si>
    <t>700+440 = 1,140/ตร.ม.</t>
  </si>
  <si>
    <t>ข้อ 39 — ไว้เทียบเฉยๆ</t>
  </si>
  <si>
    <t>แผ่นเลือกอัตโนมัติตามความสูง (≤2.4→2,016 · &gt;2.4→2,520) นับแบบเสาตั้ง 1.2 ม. · กล่อง+ฉากตามเส้นรอบ · สกรูเหมา 50 · ซิลิโคนคำนวณจากแนวจริง</t>
  </si>
  <si>
    <t>ถอดทุน — ฝ้าไม้เทียม/ฝ้าอลู (4 ร้าน)   |   ขาย = ทุน×2</t>
  </si>
  <si>
    <t>ค่าดึงจาก LUT:</t>
  </si>
  <si>
    <t xml:space="preserve">  ① เลือก ร้าน → รุ่น → สี + ขนาด  (ช่องเหลือง)</t>
  </si>
  <si>
    <t>width</t>
  </si>
  <si>
    <t>len</t>
  </si>
  <si>
    <t>รุ่น/แบบ</t>
  </si>
  <si>
    <t>สี</t>
  </si>
  <si>
    <t>ขาว</t>
  </si>
  <si>
    <t>unit</t>
  </si>
  <si>
    <t>พื้นที่ (อัตโนมัติ)</t>
  </si>
  <si>
    <t>สำหรับฉากขอบ</t>
  </si>
  <si>
    <t xml:space="preserve">  ② รายการ (จำนวน+ทุนคำนวณเอง)</t>
  </si>
  <si>
    <t>เส้นฝ้า (ตามรุ่น)</t>
  </si>
  <si>
    <t>ต่อชนปลาย · fameline รวมทุกอย่าง/ตร.ม.</t>
  </si>
  <si>
    <t>ขาจับฝ้า (เฉพาะไม้ทิพย์)</t>
  </si>
  <si>
    <t>1 เส้น/ตร.ม. (6 ม.)</t>
  </si>
  <si>
    <t>ฉากเก็บขอบรอบ</t>
  </si>
  <si>
    <t>fameline=รวมแล้ว</t>
  </si>
  <si>
    <t>โครงซีไลน์ (มาตรฐาน @1.2)</t>
  </si>
  <si>
    <t>carrier@1.2 + ขาแขวน@1.2×1.2</t>
  </si>
  <si>
    <t>ผลิต+ติดตั้ง</t>
  </si>
  <si>
    <t>เลือก: ร้าน→รุ่น→สี เปลี่ยน cascade · เส้นฝ้าต่อชนปลาย · ซีไลน์มาตรฐาน @1.2 · ขาย=ทุน×2</t>
  </si>
  <si>
    <t>📊 หน้าตารางรวมทุกบาน — ทุน · ขาย · กำไร (ลิงก์สดจากทุกชีท)</t>
  </si>
  <si>
    <t>กำไร%</t>
  </si>
  <si>
    <t>▶ บานเลื่อน</t>
  </si>
  <si>
    <t>▶ บานเปิด / อื่นๆ</t>
  </si>
  <si>
    <t>บานเปิด</t>
  </si>
  <si>
    <t>▶ บานเฟี้ยม</t>
  </si>
  <si>
    <t>เฟี้ยม sms</t>
  </si>
  <si>
    <t>▶ ติดตาย / ดัดโค้ง</t>
  </si>
  <si>
    <t>▶ ระแนง / รั้ว</t>
  </si>
  <si>
    <t>ระแนงสลับ</t>
  </si>
  <si>
    <t>ประตูรั้ว</t>
  </si>
  <si>
    <t>หลังคา (รวม)</t>
  </si>
  <si>
    <t>สรุปค่าแรงทุกบาน (บาท/บาน ตามขนาด default ในแต่ละชีท) — ลิงก์สด</t>
  </si>
  <si>
    <t>รวมค่าแรง</t>
  </si>
  <si>
    <t>ระแนง 38.4</t>
  </si>
  <si>
    <t>รวมทั้งหมด</t>
  </si>
  <si>
    <t>สรุปถอดทุน — ทุกงาน  (ราคาขาย = ทุน×2 กำไร 100%)</t>
  </si>
  <si>
    <t>ราคาขาย (กำไร100%)</t>
  </si>
  <si>
    <t>กำไร</t>
  </si>
  <si>
    <t>R3.9 (อ้างอิง)</t>
  </si>
  <si>
    <t>—</t>
  </si>
  <si>
    <t>ข้อ 36</t>
  </si>
  <si>
    <t>หมายเหตุ: ตัวเลขลิงก์สดจากแต่ละชีท · แก้ขนาด/ราคาในชีทงาน ตัวเลขสรุปอัปเดตตาม · คลิกชื่องานเพื่อไปชีท</t>
  </si>
  <si>
    <t>ราคาขายตามกำไรเป้าหมาย — บานเลื่อน SMS (สีขาว)</t>
  </si>
  <si>
    <t>บวกกำไร % (บนทุน) →</t>
  </si>
  <si>
    <t>← ทุน×(1+กำไร%) ปัดขึ้นหลักร้อย เช่น 100%=ขาย 2 เท่าทุน · ภายนอก/ภายใน เลือก B2</t>
  </si>
  <si>
    <t>ช่วงพื้นที่</t>
  </si>
  <si>
    <t>กว้างซม.</t>
  </si>
  <si>
    <t>สูงซม.</t>
  </si>
  <si>
    <t>พื้นที่</t>
  </si>
  <si>
    <t>ราคาขาย/ตร.ม.
(ทุน+กำไร%)</t>
  </si>
  <si>
    <t>ขายรวม/ชุด</t>
  </si>
  <si>
    <t>R3.9 เดิม
(อ้างอิง)</t>
  </si>
  <si>
    <t>2.0–2.3</t>
  </si>
  <si>
    <t>2.3–3.5</t>
  </si>
  <si>
    <t>3.5–4.5</t>
  </si>
  <si>
    <t>4.5–5.0</t>
  </si>
  <si>
    <t>5.0–7.0</t>
  </si>
  <si>
    <t>7.0–9.0</t>
  </si>
  <si>
    <t>9.0–12</t>
  </si>
  <si>
    <t>&gt;12</t>
  </si>
  <si>
    <t>เหลือง=แก้ได้ (ขนาด/บาน/กำไรเป้า) · เขียว=ราคาขายที่คำนวณให้ได้กำไรเป้า · R3.9 เดิมไว้เทียบ · M–W=ช่องคำนวณเส้น</t>
  </si>
  <si>
    <t>ราคาขายตามกำไรเป้า — บานเลื่อนยูโร (สีขาว, รางนอก)</t>
  </si>
  <si>
    <t>ขาย=ทุน×(1+กำไร%) ปัดขึ้นหลักร้อย</t>
  </si>
  <si>
    <t>R3.9 ยูโรเดิม</t>
  </si>
  <si>
    <t>เหลือง=แก้ได้ · ราง=นอก · ทุน=นับเส้นเต็มยูโร · R3.9 ยูโร(ข้อ1.2)ไว้เทียบ · N–Y=ช่องคำนวณ</t>
  </si>
  <si>
    <t>เทียบทุน E-series — ตามขนาด (รางล่าง = ติ๊กไม่กระทบราคา)</t>
  </si>
  <si>
    <t>เลื่อน=</t>
  </si>
  <si>
    <t>ถาดลองน้ำ</t>
  </si>
  <si>
    <t>กระจก บาท/ตร.ม. →</t>
  </si>
  <si>
    <t>เสากุญแจ</t>
  </si>
  <si>
    <t>บวกกำไร % (1=100%) →</t>
  </si>
  <si>
    <t>ซิลิโคน/หลอด →</t>
  </si>
  <si>
    <t>ขวาง</t>
  </si>
  <si>
    <t>ตบปิดบน</t>
  </si>
  <si>
    <t>ก(ซม.)</t>
  </si>
  <si>
    <t>ส(ซม.)</t>
  </si>
  <si>
    <t>ขายรวม</t>
  </si>
  <si>
    <t>เทียบทุนบานเฟี้ยมยูโร — ตามจำนวนบาน (พับข้างเดียว N-0)</t>
  </si>
  <si>
    <t>กว้าง/บาน (ซม.) →</t>
  </si>
  <si>
    <t>ขนาด ก×ส</t>
  </si>
  <si>
    <t>ถอดทุนวัสดุ — หลังคาไวนิล</t>
  </si>
  <si>
    <t>#</t>
  </si>
  <si>
    <t>วัสดุ / รายการ</t>
  </si>
  <si>
    <t>แปคู่</t>
  </si>
  <si>
    <t>ขนาด 300×150 ซม.  (4.5 ตร.ม.)</t>
  </si>
  <si>
    <t>กล่อง 1.6"×1.6" (แปเดี่ยว)</t>
  </si>
  <si>
    <t>กล่อง 1"×1.2" (แปคู่)</t>
  </si>
  <si>
    <t>แผ่นเพลทเหล็ก</t>
  </si>
  <si>
    <t>แผ่นไวนิล (ยาว 7 ม.)</t>
  </si>
  <si>
    <t>ฝาครอบไวนิล (ยาว 7 ม.)</t>
  </si>
  <si>
    <t>✅  รวมทุนวัสดุ (300×150)</t>
  </si>
  <si>
    <t>ขนาด 600×150 ซม.  (9.0 ตร.ม.)</t>
  </si>
  <si>
    <t>✅  รวมทุนวัสดุ (600×150)</t>
  </si>
  <si>
    <t>ขนาด 900×150 ซม.  (13.5 ตร.ม.)</t>
  </si>
  <si>
    <t>✅  รวมทุนวัสดุ (900×150)</t>
  </si>
  <si>
    <t>ขนาด 1200×150 ซม.  (18.0 ตร.ม.)</t>
  </si>
  <si>
    <t>✅  รวมทุนวัสดุ (1200×150)</t>
  </si>
  <si>
    <t>ขนาด 1600×150 ซม.  (24.0 ตร.ม.)</t>
  </si>
  <si>
    <t>✅  รวมทุนวัสดุ (1600×150)</t>
  </si>
  <si>
    <t>ขนาด 2000×150 ซม.  (30.0 ตร.ม.)</t>
  </si>
  <si>
    <t>✅  รวมทุนวัสดุ (2000×150)</t>
  </si>
  <si>
    <t>ถอดทุนวัสดุ — หลังคาดีไลท์</t>
  </si>
  <si>
    <t>แผ่นดีไลท์ (ยาว 6 ม.)</t>
  </si>
  <si>
    <t>ฝาครอบดีไลท์ (แถมฟรี)</t>
  </si>
  <si>
    <t>ถอดทุนวัสดุ — หลังคาโพลีตัน</t>
  </si>
  <si>
    <t>แผ่นโพลีตัน (ยาว 1 ม.)</t>
  </si>
  <si>
    <t>ถอดทุนวัสดุ — ชินโคร์ไลท์ Heat Cut</t>
  </si>
  <si>
    <t>ถอดทุนวัสดุ — ชินโคร์ไลท์ Superior</t>
  </si>
  <si>
    <t>ถอดทุนวัสดุ — เมทัลชีท PU 2" Snap Lock</t>
  </si>
  <si>
    <t>เมทัลชีท PU 2" Snap Lock</t>
  </si>
  <si>
    <t>ถอดทุนวัสดุ — กระจกลามิเนต 4+4 มม.</t>
  </si>
  <si>
    <t>กระจกลามิเนต 4+4 มม.</t>
  </si>
  <si>
    <t>ถอดทุนวัสดุ — กระจกลามิเนต 5+5 มม.</t>
  </si>
  <si>
    <t>กระจกลามิเนต 5+5 มม.</t>
  </si>
  <si>
    <t>📊 เทียบทุนวัสดุ vs ราคาขาย R3.9 — ก่อนค่าแรง</t>
  </si>
  <si>
    <t>พื้นที่
(ตร.ม.)</t>
  </si>
  <si>
    <t>ทุนวัสดุ
แปเดี่ยว</t>
  </si>
  <si>
    <t>ทุน/ตร.ม.
แปเดี่ยว</t>
  </si>
  <si>
    <t>เรต R3.9
/ตร.ม.</t>
  </si>
  <si>
    <t>ราคาขาย
R3.9</t>
  </si>
  <si>
    <t>ขั้นต่ำ
R3.9</t>
  </si>
  <si>
    <t>ราคาขาย
จริง</t>
  </si>
  <si>
    <t>กำไร(บาท)
หลังหักค่าแรง</t>
  </si>
  <si>
    <t>กำไร(%)
หลังหักค่าแรง</t>
  </si>
  <si>
    <t>ขั้นต่ำ
ใช้ไหม</t>
  </si>
  <si>
    <t>▶  ไวนิล</t>
  </si>
  <si>
    <t>300×150 ซม.</t>
  </si>
  <si>
    <t>600×150 ซม.</t>
  </si>
  <si>
    <t>900×150 ซม.</t>
  </si>
  <si>
    <t>1200×150 ซม.</t>
  </si>
  <si>
    <t>1600×150 ซม.</t>
  </si>
  <si>
    <t>2000×150 ซม.</t>
  </si>
  <si>
    <t>▶  ดีไลท์</t>
  </si>
  <si>
    <t>▶  โพลีตัน</t>
  </si>
  <si>
    <t>▶  ชินโคร์HC</t>
  </si>
  <si>
    <t>ตามรุ่น</t>
  </si>
  <si>
    <t>▶  ชินโคร์Sup</t>
  </si>
  <si>
    <t>▶  เมทัลชีท</t>
  </si>
  <si>
    <t>▶  กระจก4+4</t>
  </si>
  <si>
    <t>▶  กระจก5+5</t>
  </si>
  <si>
    <t>หมายเหตุ: ทุนวัสดุ = โครงอลูมิเนียม + วัสดุปิดผิว (ยังไม่รวมค่าแรงผลิต+ติดตั้ง)  |  กำไร ≥25% = ✅  15-25% = ⚠️  &lt;15% = 🔴</t>
  </si>
  <si>
    <t>ดำ</t>
  </si>
  <si>
    <t>ไม้โอ๊ค</t>
  </si>
  <si>
    <t>ไม้แดง</t>
  </si>
  <si>
    <t>ไม้จามจุรี</t>
  </si>
  <si>
    <t>ไม้พะยุงทอง</t>
  </si>
  <si>
    <t>ไม้เมเปิ้ล</t>
  </si>
  <si>
    <t>ซิลเวอร์</t>
  </si>
  <si>
    <t>Traffic White</t>
  </si>
  <si>
    <t>Solid sand grey</t>
  </si>
  <si>
    <t>Beige</t>
  </si>
  <si>
    <t>Solid Light Oak</t>
  </si>
  <si>
    <t>Dff grey</t>
  </si>
  <si>
    <t>Solid beech</t>
  </si>
  <si>
    <t>Dark grey</t>
  </si>
  <si>
    <t>Solid golden teak</t>
  </si>
  <si>
    <t>Matt black</t>
  </si>
  <si>
    <t>Solid thai teak</t>
  </si>
  <si>
    <t>Thai teak</t>
  </si>
  <si>
    <t>Golden teak</t>
  </si>
  <si>
    <t>Beech</t>
  </si>
  <si>
    <t>Light Oak</t>
  </si>
  <si>
    <t>Sand grey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</si>
  <si>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</si>
  <si>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</si>
  <si>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</si>
  <si>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</si>
  <si>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</si>
  <si>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</si>
  <si>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</si>
  <si>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</si>
  <si>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</si>
  <si>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</si>
  <si>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g1501</t>
  </si>
  <si>
    <t>g1502</t>
  </si>
  <si>
    <t>g1503</t>
  </si>
  <si>
    <t>g1504</t>
  </si>
  <si>
    <t>g1505</t>
  </si>
  <si>
    <t>g1506</t>
  </si>
  <si>
    <t>g1507</t>
  </si>
  <si>
    <t>g1508</t>
  </si>
  <si>
    <t>g1509</t>
  </si>
  <si>
    <t>g1510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</si>
  <si>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</si>
  <si>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</si>
  <si>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</si>
  <si>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</si>
  <si>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</si>
  <si>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</si>
  <si>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</si>
  <si>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</si>
  <si>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</si>
  <si>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</si>
  <si>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Y1801</t>
  </si>
  <si>
    <t>Y1802</t>
  </si>
  <si>
    <t>Y1803</t>
  </si>
  <si>
    <t>Y1804</t>
  </si>
  <si>
    <t>Y1805</t>
  </si>
  <si>
    <t>Y1806</t>
  </si>
  <si>
    <t>Y1807</t>
  </si>
  <si>
    <t>Y1808</t>
  </si>
  <si>
    <t>Y1809</t>
  </si>
  <si>
    <t>Y1810</t>
  </si>
  <si>
    <t>P155-1</t>
  </si>
  <si>
    <t>P155-2</t>
  </si>
  <si>
    <t>P155-3</t>
  </si>
  <si>
    <t>P155-4</t>
  </si>
  <si>
    <t>P155-5</t>
  </si>
  <si>
    <t>P155-6</t>
  </si>
  <si>
    <t>WH200-1</t>
  </si>
  <si>
    <t>WH200-2</t>
  </si>
  <si>
    <t>WH200-3</t>
  </si>
  <si>
    <t>WH200-4</t>
  </si>
  <si>
    <t>WH200-5</t>
  </si>
  <si>
    <t>WH200-6</t>
  </si>
  <si>
    <t>thai makka</t>
  </si>
  <si>
    <t>burmese teak</t>
  </si>
  <si>
    <t>brazilian rosewood</t>
  </si>
  <si>
    <t>american white oak</t>
  </si>
  <si>
    <t>✅ เช็กขนาดกระจกผลิตได้</t>
  </si>
  <si>
    <t>minกว้าง</t>
  </si>
  <si>
    <t>minยาว</t>
  </si>
  <si>
    <t>maxกว้าง</t>
  </si>
  <si>
    <t>maxยาว</t>
  </si>
  <si>
    <t>ลามิเนต</t>
  </si>
  <si>
    <t>กระจกใส 5มม.</t>
  </si>
  <si>
    <t>กระจกใส 4มม.</t>
  </si>
  <si>
    <t>อื่นๆ (ไม่จำกัด)</t>
  </si>
  <si>
    <t>ด้านสั้น (มม.) =</t>
  </si>
  <si>
    <t>ด้านยาว (มม.) =</t>
  </si>
  <si>
    <t>ขีดจำกัด =</t>
  </si>
  <si>
    <t>ผลลัพธ์ →</t>
  </si>
  <si>
    <t>หมายเหตุ: ลามิเนต 250×620 – 2,800×6,000 มม. | ใส5มม. สูงสุด 108"×144" (2743×3658) | ใส4มม. 105"×144" (2667×3658)</t>
  </si>
  <si>
    <t>คิดทุนหลังคา (ขนาดอิสระ — กรอกกว้าง×ยื่น คำนวณเอง)</t>
  </si>
  <si>
    <t>ยื่น (ซม.) →</t>
  </si>
  <si>
    <t>ปลายหลังคา/รางน้ำ</t>
  </si>
  <si>
    <t>จันทัน 1.6×4 (วิ่งรอบ+ซอย)</t>
  </si>
  <si>
    <t>แป (เดี่ยว 1.6×1.6 / คู่ 1×1½)</t>
  </si>
  <si>
    <t>แผ่นหลังคา</t>
  </si>
  <si>
    <t>ฝาครอบ</t>
  </si>
  <si>
    <t>ทุนวัสดุรวม</t>
  </si>
  <si>
    <t>ทุนรวม (วัสดุ+ค่าแรง)</t>
  </si>
  <si>
    <t>กล่องครอบเพลท 1.6×4 (1/3 ยื่น × จันทัน)</t>
  </si>
  <si>
    <t>กล่องรัดรอบ 1×1½ (รอบทุกด้าน)</t>
  </si>
  <si>
    <t>คิดทุนหลังคาจั่ว (ขนาดอิสระ — กว้าง×ลึก×สูง คำนวณเฉียง 2 ด้าน + คาน T)</t>
  </si>
  <si>
    <t>กว้าง W (ซม.) →</t>
  </si>
  <si>
    <t>ลึก D (ซม.) →</t>
  </si>
  <si>
    <t>สูงยอดจั่ว H (ซม.) →</t>
  </si>
  <si>
    <t>ปลายหลังคา/รางน้ำ (2 ชายคา)</t>
  </si>
  <si>
    <t>จันทัน 1.6"×4" (เฉียง×2 ด้าน)</t>
  </si>
  <si>
    <t>แป (×2 ด้าน)</t>
  </si>
  <si>
    <t>ฉาก 6 หุน (2 ชายคา)</t>
  </si>
  <si>
    <t>แซด 4" (2 ชายคา)</t>
  </si>
  <si>
    <t>คาน 4"×4" T (W+H · เว้นจันทัน)</t>
  </si>
  <si>
    <t>แผ่นหลังคา (2 ด้าน)</t>
  </si>
  <si>
    <t>ฝาครอบ (2 ด้าน)</t>
  </si>
  <si>
    <t>ค่าแรงผลิต (700/ตร.ม.)</t>
  </si>
  <si>
    <t>ค่าแรงติดตั้ง (625/ตร.ม.)</t>
  </si>
  <si>
    <t>ทุน/ตร.ม. (footprint)</t>
  </si>
  <si>
    <t>เฉียง/ด้าน (ซม.)</t>
  </si>
  <si>
    <t>คิดทุนหลังคาเลื่อน (หลังคาติดตาย + หลังคาเลื่อน + ราง + มอเตอร์)</t>
  </si>
  <si>
    <t>count/บาน</t>
  </si>
  <si>
    <t>cost/บาน</t>
  </si>
  <si>
    <t>รูปแบบเลื่อน →</t>
  </si>
  <si>
    <t>ติดตาย: กว้าง×ยื่น (ซม.) →</t>
  </si>
  <si>
    <t>เลื่อน: กว้าง×ยื่น (ซม.) →</t>
  </si>
  <si>
    <t>หลังคาติดตาย (วัสดุ)</t>
  </si>
  <si>
    <t>หลังคาเลื่อน (วัสดุ)</t>
  </si>
  <si>
    <t>ราง (2 ฝั่ง)</t>
  </si>
  <si>
    <t>ค่าแรงผลิต (470/ตร.ม. รวม)</t>
  </si>
  <si>
    <t>ค่าแรงติดตั้ง (650/ตร.ม. รวม)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</si>
</sst>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"/>
    <numFmt numFmtId="166" formatCode="0.000"/>
    <numFmt numFmtId="167" formatCode="#,##0.0"/>
    <numFmt numFmtId="168" formatCode="0.##"/>
    <numFmt numFmtId="169" formatCode="#,##0.##"/>
    <numFmt numFmtId="170" formatCode="#,##0&quot; บาท&quot;"/>
    <numFmt numFmtId="171" formatCode="0&quot; /ตร.ม.&quot;;0;&quot;เหมา&quot;"/>
    <numFmt numFmtId="172" formatCode="#,##0;0;&quot;– คิด/ตร.ม. –&quot;"/>
  </numFmts>
  <fonts count="91" x14ac:knownFonts="1">
    <font>
      <sz val="11"/>
      <color theme="1"/>
      <name val="Calibri"/>
      <family val="2"/>
      <charset val="1"/>
    </font>
    <font>
      <b/>
      <sz val="10"/>
      <name val="Tahoma"/>
      <charset val="1"/>
    </font>
    <font>
      <sz val="10"/>
      <name val="Tahoma"/>
      <charset val="1"/>
    </font>
    <font>
      <sz val="10"/>
      <color rgb="FF000000"/>
      <name val="Tahoma"/>
      <charset val="1"/>
    </font>
    <font>
      <sz val="8"/>
      <color rgb="FF808080"/>
      <name val="Tahoma"/>
      <charset val="1"/>
    </font>
    <font>
      <b/>
      <sz val="11"/>
      <name val="Tahoma"/>
      <charset val="1"/>
    </font>
    <font>
      <i/>
      <sz val="9"/>
      <color rgb="FFC00000"/>
      <name val="Cambria"/>
      <charset val="1"/>
    </font>
    <font>
      <sz val="11"/>
      <name val="Cambria"/>
      <charset val="1"/>
    </font>
    <font>
      <sz val="8"/>
      <name val="Tahoma"/>
      <charset val="1"/>
    </font>
    <font>
      <b/>
      <sz val="10"/>
      <name val="Tahoma"/>
    </font>
    <font>
      <sz val="10"/>
      <name val="Tahoma"/>
    </font>
    <font>
      <sz val="9"/>
      <name val="Tahoma"/>
    </font>
    <font>
      <b/>
      <sz val="13"/>
      <color rgb="FFFFFFFF"/>
      <name val="Tahoma"/>
    </font>
    <font>
      <b/>
      <sz val="11"/>
      <name val="Tahoma"/>
    </font>
    <font>
      <b/>
      <sz val="13"/>
      <name val="Tahoma"/>
    </font>
    <font>
      <b/>
      <sz val="12"/>
      <color rgb="FFFFFFFF"/>
      <name val="Tahoma"/>
    </font>
    <font>
      <sz val="11"/>
      <name val="Tahoma"/>
    </font>
    <font>
      <b/>
      <sz val="12"/>
      <name val="Tahoma"/>
    </font>
    <font>
      <b/>
      <sz val="9"/>
      <name val="Tahoma"/>
    </font>
    <font>
      <b/>
      <sz val="10"/>
      <color rgb="FFFFFFFF"/>
      <name val="Tahoma"/>
    </font>
    <font>
      <sz val="11"/>
      <color theme="1"/>
      <name val="Tahoma"/>
      <family val="2"/>
      <charset val="1"/>
    </font>
    <font>
      <i/>
      <sz val="9"/>
      <name val="Tahoma"/>
    </font>
    <font>
      <b/>
      <sz val="13"/>
      <color rgb="FFFFFFFF"/>
      <name val="TH Sarabun New"/>
    </font>
    <font>
      <b/>
      <sz val="11"/>
      <color rgb="FFFFFFFF"/>
      <name val="TH Sarabun New"/>
    </font>
    <font>
      <sz val="10"/>
      <name val="TH Sarabun New"/>
    </font>
    <font>
      <b/>
      <sz val="10"/>
      <name val="TH Sarabun New"/>
    </font>
    <font>
      <sz val="9"/>
      <name val="TH Sarabun New"/>
    </font>
    <font>
      <b/>
      <sz val="10"/>
      <color rgb="FFCC6600"/>
      <name val="TH Sarabun New"/>
    </font>
    <font>
      <b/>
      <sz val="10"/>
      <color rgb="FFFFFFFF"/>
      <name val="TH Sarabun New"/>
    </font>
    <font>
      <sz val="11"/>
      <color theme="1"/>
      <name val="Calibri"/>
      <family val="2"/>
      <scheme val="minor"/>
    </font>
    <font>
      <b/>
      <sz val="10"/>
      <color rgb="FF1F4E79"/>
      <name val="TH Sarabun New"/>
    </font>
    <font>
      <b/>
      <sz val="10"/>
      <color rgb="FF375623"/>
      <name val="TH Sarabun New"/>
    </font>
    <font>
      <i/>
      <sz val="10"/>
      <color rgb="FF888888"/>
      <name val="TH Sarabun New"/>
    </font>
    <font>
      <i/>
      <sz val="9"/>
      <color rgb="FFCC6600"/>
      <name val="TH Sarabun New"/>
    </font>
    <font>
      <b/>
      <sz val="11"/>
      <color rgb="FFFFFFFF"/>
      <name val="Tahoma"/>
    </font>
    <font>
      <sz val="10"/>
      <color rgb="FF000000"/>
      <name val="Tahoma"/>
    </font>
    <font>
      <b/>
      <sz val="11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b/>
      <sz val="10"/>
      <color rgb="FF000000"/>
      <name val="Tahoma"/>
    </font>
    <font>
      <b/>
      <sz val="12"/>
      <color rgb="FF27500A"/>
      <name val="Tahoma"/>
    </font>
    <font>
      <b/>
      <sz val="12"/>
      <color rgb="FF000000"/>
      <name val="Tahoma"/>
    </font>
    <font>
      <sz val="9"/>
      <color rgb="FFC00000"/>
      <name val="Tahoma"/>
    </font>
    <font>
      <b/>
      <sz val="9"/>
      <color rgb="FFFFFFFF"/>
      <name val="Tahoma"/>
    </font>
    <font>
      <sz val="8"/>
      <color rgb="FF808080"/>
      <name val="Tahoma"/>
    </font>
    <font>
      <b/>
      <sz val="14"/>
      <color rgb="FFFFFFFF"/>
      <name val="Tahoma"/>
    </font>
    <font>
      <b/>
      <sz val="10"/>
      <color rgb="FF185FA5"/>
      <name val="Tahoma"/>
    </font>
    <font>
      <sz val="10"/>
      <color rgb="FF808080"/>
      <name val="Tahoma"/>
    </font>
    <font>
      <b/>
      <sz val="11"/>
      <name val="Tahoma"/>
    </font>
    <font>
      <b/>
      <sz val="11"/>
      <color rgb="FFFFFFFF"/>
      <name val="Tahoma"/>
    </font>
    <font>
      <sz val="11"/>
      <name val="Tahoma"/>
    </font>
    <font>
      <b/>
      <sz val="10"/>
      <color rgb="FF1F4E79"/>
      <name val="Tahoma"/>
    </font>
    <font>
      <i/>
      <sz val="9"/>
      <color rgb="FF808080"/>
      <name val="Tahoma"/>
    </font>
    <font>
      <b/>
      <sz val="10"/>
      <color rgb="FF375623"/>
      <name val="Tahoma"/>
    </font>
    <font>
      <b/>
      <sz val="10"/>
      <color rgb="FF843C0C"/>
      <name val="Tahoma"/>
    </font>
    <font>
      <i/>
      <sz val="8"/>
      <color rgb="FF808080"/>
      <name val="Calibri"/>
    </font>
    <font>
      <sz val="11"/>
      <name val="Calibri"/>
    </font>
    <font>
      <sz val="8"/>
      <color rgb="FF808080"/>
      <name val="Calibri"/>
    </font>
    <font>
      <b/>
      <sz val="9"/>
      <color rgb="FF1F4E79"/>
      <name val="Tahoma"/>
    </font>
    <font>
      <b/>
      <u/>
      <sz val="10"/>
      <color rgb="FF0563C1"/>
      <name val="Tahoma"/>
    </font>
    <font>
      <sz val="9"/>
      <color rgb="FF606060"/>
      <name val="Tahoma"/>
    </font>
    <font>
      <b/>
      <u/>
      <sz val="10"/>
      <color rgb="FFC00000"/>
      <name val="Tahoma"/>
    </font>
    <font>
      <b/>
      <sz val="10"/>
      <color rgb="FFC55A11"/>
      <name val="Tahoma"/>
    </font>
    <font>
      <i/>
      <sz val="9"/>
      <color rgb="FF666666"/>
      <name val="Tahoma"/>
    </font>
    <font>
      <b/>
      <sz val="11"/>
      <color rgb="FF375623"/>
      <name val="Tahoma"/>
    </font>
    <font>
      <b/>
      <sz val="10"/>
      <color rgb="FF1F4E78"/>
      <name val="Tahoma"/>
    </font>
    <font>
      <b/>
      <sz val="11"/>
      <color rgb="FFC55A11"/>
      <name val="Tahoma"/>
    </font>
    <font>
      <i/>
      <sz val="9"/>
      <color rgb="FF999999"/>
      <name val="Tahoma"/>
    </font>
    <font>
      <b/>
      <sz val="10"/>
      <color rgb="FFC00000"/>
      <name val="Tahoma"/>
    </font>
    <font>
      <i/>
      <sz val="9"/>
      <color rgb="FFC00000"/>
      <name val="Tahoma"/>
    </font>
    <font>
      <i/>
      <sz val="8"/>
      <color rgb="FF666666"/>
      <name val="Tahoma"/>
    </font>
    <font>
      <b/>
      <sz val="11"/>
      <color rgb="FFC55A11"/>
      <name val="Calibri"/>
    </font>
    <font>
      <b/>
      <sz val="11"/>
      <color rgb="FFC00000"/>
      <name val="Tahoma"/>
    </font>
    <font>
      <b/>
      <sz val="9"/>
      <color rgb="FFC55A11"/>
      <name val="Tahoma"/>
    </font>
    <font>
      <i/>
      <sz val="9"/>
      <color rgb="FF1F6F1F"/>
      <name val="Tahoma"/>
    </font>
    <font>
      <i/>
      <sz val="9"/>
      <color rgb="FF375623"/>
      <name val="Tahoma"/>
    </font>
    <font>
      <b/>
      <sz val="11"/>
      <name val="Calibri"/>
    </font>
    <font>
      <b/>
      <sz val="11"/>
      <color rgb="FFC00000"/>
      <name val="Calibri"/>
    </font>
    <font>
      <b/>
      <sz val="11"/>
      <color rgb="FFC55A11"/>
      <name val="Calibri"/>
    </font>
    <font>
      <i/>
      <sz val="11"/>
      <color rgb="FF808080"/>
      <name val="Calibri"/>
    </font>
    <font>
      <b/>
      <sz val="13"/>
      <color rgb="FF7030A0"/>
      <name val="Calibri"/>
    </font>
    <font>
      <i/>
      <sz val="9"/>
      <color rgb="FF808080"/>
      <name val="Calibri"/>
    </font>
    <font>
      <b/>
      <sz val="11"/>
      <color rgb="FFFFFFFF"/>
      <name val="Calibri"/>
    </font>
    <font>
      <sz val="11"/>
      <name val="Calibri"/>
    </font>
    <font>
      <sz val="9"/>
      <color rgb="FF808080"/>
      <name val="Calibri"/>
    </font>
    <font>
      <i/>
      <sz val="9"/>
      <color rgb="FFC00000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2"/>
      <color rgb="FFC00000"/>
      <name val="Calibri"/>
    </font>
    <font>
      <b/>
      <sz val="11"/>
      <color rgb="FFC00000"/>
      <name val="Calibri"/>
    </font>
    <font>
      <sz val="11"/>
      <color rgb="FFC55A11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3CD"/>
      </patternFill>
    </fill>
    <fill>
      <patternFill patternType="solid">
        <fgColor rgb="FF305496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EDEDED"/>
        <bgColor rgb="FFF2F2F2"/>
      </patternFill>
    </fill>
    <fill>
      <patternFill patternType="solid">
        <fgColor rgb="FFFFCC66"/>
        <bgColor rgb="FFFCE4D6"/>
      </patternFill>
    </fill>
    <fill>
      <patternFill patternType="solid">
        <fgColor rgb="FFF7F7F7"/>
        <bgColor rgb="FFF5F5F5"/>
      </patternFill>
    </fill>
    <fill>
      <patternFill patternType="solid">
        <fgColor rgb="FFFFFF00"/>
        <bgColor rgb="FFFFFF99"/>
      </patternFill>
    </fill>
    <fill>
      <patternFill patternType="solid">
        <fgColor rgb="FF2F75B6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FFF3CD"/>
        <bgColor rgb="FFFFF2CC"/>
      </patternFill>
    </fill>
    <fill>
      <patternFill patternType="solid">
        <fgColor rgb="FFF5F5F5"/>
        <bgColor rgb="FFF7F7F7"/>
      </patternFill>
    </fill>
    <fill>
      <patternFill patternType="solid">
        <fgColor rgb="FFFFFF99"/>
        <bgColor rgb="FFFFF3CD"/>
      </patternFill>
    </fill>
    <fill>
      <patternFill patternType="solid">
        <fgColor rgb="FFD9E1F2"/>
      </patternFill>
    </fill>
    <fill>
      <patternFill patternType="solid">
        <fgColor rgb="FFF1EFE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FF"/>
      </patternFill>
    </fill>
    <fill>
      <patternFill patternType="solid">
        <fgColor rgb="FF375623"/>
      </patternFill>
    </fill>
    <fill>
      <patternFill patternType="solid">
        <fgColor rgb="FFEBF3E8"/>
      </patternFill>
    </fill>
    <fill>
      <patternFill patternType="solid">
        <fgColor rgb="FF7030A0"/>
      </patternFill>
    </fill>
    <fill>
      <patternFill patternType="solid">
        <fgColor rgb="FFF3E8FF"/>
      </patternFill>
    </fill>
    <fill>
      <patternFill patternType="solid">
        <fgColor rgb="FF4B0082"/>
      </patternFill>
    </fill>
    <fill>
      <patternFill patternType="solid">
        <fgColor rgb="FFC55A11"/>
      </patternFill>
    </fill>
    <fill>
      <patternFill patternType="solid">
        <fgColor rgb="FFFFE699"/>
      </patternFill>
    </fill>
    <fill>
      <patternFill patternType="solid">
        <fgColor rgb="FF70AD47"/>
      </patternFill>
    </fill>
    <fill>
      <patternFill patternType="solid">
        <fgColor rgb="FFFFFF00"/>
      </patternFill>
    </fill>
    <fill>
      <patternFill patternType="solid">
        <fgColor rgb="FFC00000"/>
      </patternFill>
    </fill>
    <fill>
      <patternFill patternType="solid">
        <fgColor rgb="FF4472C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/>
      <right/>
      <top style="thin">
        <color rgb="FFC55A11"/>
      </top>
      <bottom style="thin">
        <color rgb="FFC55A11"/>
      </bottom>
      <diagonal/>
    </border>
    <border>
      <left/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46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3" fontId="4" fillId="11" borderId="0" xfId="0" applyNumberFormat="1" applyFont="1" applyFill="1" applyAlignment="1">
      <alignment horizontal="right" vertical="center"/>
    </xf>
    <xf numFmtId="3" fontId="3" fillId="11" borderId="0" xfId="0" applyNumberFormat="1" applyFont="1" applyFill="1" applyAlignment="1">
      <alignment horizontal="center" vertical="center" wrapText="1"/>
    </xf>
    <xf numFmtId="3" fontId="3" fillId="11" borderId="0" xfId="0" applyNumberFormat="1" applyFont="1" applyFill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7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18" borderId="11" xfId="0" applyFont="1" applyFill="1" applyBorder="1" applyAlignment="1">
      <alignment horizontal="center" wrapText="1"/>
    </xf>
    <xf numFmtId="0" fontId="9" fillId="19" borderId="0" xfId="0" applyFont="1" applyFill="1"/>
    <xf numFmtId="0" fontId="0" fillId="19" borderId="0" xfId="0" applyFill="1"/>
    <xf numFmtId="0" fontId="10" fillId="0" borderId="11" xfId="0" applyFont="1" applyBorder="1"/>
    <xf numFmtId="3" fontId="10" fillId="20" borderId="11" xfId="0" applyNumberFormat="1" applyFont="1" applyFill="1" applyBorder="1"/>
    <xf numFmtId="3" fontId="10" fillId="21" borderId="11" xfId="0" applyNumberFormat="1" applyFont="1" applyFill="1" applyBorder="1"/>
    <xf numFmtId="3" fontId="9" fillId="21" borderId="11" xfId="0" applyNumberFormat="1" applyFont="1" applyFill="1" applyBorder="1"/>
    <xf numFmtId="9" fontId="9" fillId="22" borderId="11" xfId="0" applyNumberFormat="1" applyFont="1" applyFill="1" applyBorder="1"/>
    <xf numFmtId="0" fontId="9" fillId="0" borderId="0" xfId="0" applyFont="1"/>
    <xf numFmtId="3" fontId="9" fillId="20" borderId="11" xfId="0" applyNumberFormat="1" applyFont="1" applyFill="1" applyBorder="1"/>
    <xf numFmtId="0" fontId="9" fillId="24" borderId="11" xfId="0" applyFont="1" applyFill="1" applyBorder="1"/>
    <xf numFmtId="3" fontId="13" fillId="21" borderId="11" xfId="0" applyNumberFormat="1" applyFont="1" applyFill="1" applyBorder="1"/>
    <xf numFmtId="164" fontId="13" fillId="22" borderId="11" xfId="0" applyNumberFormat="1" applyFont="1" applyFill="1" applyBorder="1"/>
    <xf numFmtId="0" fontId="10" fillId="0" borderId="0" xfId="0" applyFont="1"/>
    <xf numFmtId="0" fontId="10" fillId="2" borderId="1" xfId="0" applyFont="1" applyFill="1" applyBorder="1" applyAlignment="1">
      <alignment horizontal="right" vertical="center"/>
    </xf>
    <xf numFmtId="3" fontId="9" fillId="24" borderId="1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65" fontId="9" fillId="24" borderId="1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2" fontId="10" fillId="8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10" fillId="9" borderId="1" xfId="0" applyNumberFormat="1" applyFont="1" applyFill="1" applyBorder="1" applyAlignment="1">
      <alignment horizontal="right" vertical="center"/>
    </xf>
    <xf numFmtId="166" fontId="10" fillId="0" borderId="1" xfId="0" applyNumberFormat="1" applyFont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0" fontId="10" fillId="10" borderId="0" xfId="0" applyFont="1" applyFill="1"/>
    <xf numFmtId="0" fontId="9" fillId="24" borderId="11" xfId="0" applyFont="1" applyFill="1" applyBorder="1" applyAlignment="1">
      <alignment horizontal="center" vertical="center" wrapText="1"/>
    </xf>
    <xf numFmtId="9" fontId="9" fillId="24" borderId="11" xfId="0" applyNumberFormat="1" applyFont="1" applyFill="1" applyBorder="1" applyAlignment="1">
      <alignment horizontal="center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/>
    </xf>
    <xf numFmtId="3" fontId="10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center" vertical="center" wrapText="1"/>
    </xf>
    <xf numFmtId="3" fontId="10" fillId="9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4" fontId="10" fillId="8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/>
    <xf numFmtId="0" fontId="9" fillId="18" borderId="11" xfId="0" applyFont="1" applyFill="1" applyBorder="1" applyAlignment="1">
      <alignment horizontal="center" vertical="center" wrapText="1"/>
    </xf>
    <xf numFmtId="168" fontId="10" fillId="0" borderId="1" xfId="0" applyNumberFormat="1" applyFont="1" applyBorder="1" applyAlignment="1">
      <alignment horizontal="center" vertical="center" wrapText="1"/>
    </xf>
    <xf numFmtId="168" fontId="10" fillId="3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9" fillId="6" borderId="1" xfId="0" applyFont="1" applyFill="1" applyBorder="1" applyAlignment="1">
      <alignment horizontal="right" vertical="center"/>
    </xf>
    <xf numFmtId="3" fontId="13" fillId="20" borderId="1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3" fontId="13" fillId="21" borderId="1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164" fontId="13" fillId="22" borderId="11" xfId="0" applyNumberFormat="1" applyFont="1" applyFill="1" applyBorder="1" applyAlignment="1">
      <alignment horizontal="center" vertical="center" wrapText="1"/>
    </xf>
    <xf numFmtId="0" fontId="16" fillId="0" borderId="0" xfId="0" applyFont="1"/>
    <xf numFmtId="2" fontId="10" fillId="0" borderId="0" xfId="0" applyNumberFormat="1" applyFont="1"/>
    <xf numFmtId="3" fontId="10" fillId="0" borderId="0" xfId="0" applyNumberFormat="1" applyFont="1"/>
    <xf numFmtId="0" fontId="9" fillId="18" borderId="11" xfId="0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3" fontId="13" fillId="20" borderId="11" xfId="0" applyNumberFormat="1" applyFont="1" applyFill="1" applyBorder="1"/>
    <xf numFmtId="0" fontId="10" fillId="3" borderId="1" xfId="0" applyFont="1" applyFill="1" applyBorder="1"/>
    <xf numFmtId="3" fontId="10" fillId="3" borderId="1" xfId="0" applyNumberFormat="1" applyFont="1" applyFill="1" applyBorder="1"/>
    <xf numFmtId="1" fontId="10" fillId="8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/>
    <xf numFmtId="49" fontId="9" fillId="24" borderId="11" xfId="0" applyNumberFormat="1" applyFont="1" applyFill="1" applyBorder="1"/>
    <xf numFmtId="0" fontId="9" fillId="18" borderId="11" xfId="0" applyFont="1" applyFill="1" applyBorder="1"/>
    <xf numFmtId="49" fontId="9" fillId="18" borderId="11" xfId="0" applyNumberFormat="1" applyFont="1" applyFill="1" applyBorder="1"/>
    <xf numFmtId="49" fontId="10" fillId="0" borderId="1" xfId="0" applyNumberFormat="1" applyFont="1" applyBorder="1"/>
    <xf numFmtId="3" fontId="10" fillId="4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3" fontId="10" fillId="15" borderId="1" xfId="0" applyNumberFormat="1" applyFont="1" applyFill="1" applyBorder="1"/>
    <xf numFmtId="3" fontId="10" fillId="15" borderId="1" xfId="0" applyNumberFormat="1" applyFont="1" applyFill="1" applyBorder="1" applyAlignment="1">
      <alignment horizontal="right"/>
    </xf>
    <xf numFmtId="0" fontId="10" fillId="16" borderId="1" xfId="0" applyFont="1" applyFill="1" applyBorder="1"/>
    <xf numFmtId="3" fontId="10" fillId="16" borderId="1" xfId="0" applyNumberFormat="1" applyFont="1" applyFill="1" applyBorder="1"/>
    <xf numFmtId="0" fontId="16" fillId="16" borderId="0" xfId="0" applyFont="1" applyFill="1"/>
    <xf numFmtId="0" fontId="10" fillId="17" borderId="0" xfId="0" applyFont="1" applyFill="1"/>
    <xf numFmtId="9" fontId="10" fillId="0" borderId="1" xfId="0" applyNumberFormat="1" applyFont="1" applyBorder="1"/>
    <xf numFmtId="0" fontId="9" fillId="2" borderId="1" xfId="0" applyFont="1" applyFill="1" applyBorder="1"/>
    <xf numFmtId="0" fontId="9" fillId="0" borderId="0" xfId="0" applyFont="1" applyAlignment="1">
      <alignment vertical="center"/>
    </xf>
    <xf numFmtId="0" fontId="9" fillId="24" borderId="1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4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9" fillId="24" borderId="11" xfId="0" applyNumberFormat="1" applyFont="1" applyFill="1" applyBorder="1" applyAlignment="1">
      <alignment vertical="center"/>
    </xf>
    <xf numFmtId="166" fontId="11" fillId="0" borderId="0" xfId="0" applyNumberFormat="1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3" fontId="13" fillId="20" borderId="1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vertical="center"/>
    </xf>
    <xf numFmtId="3" fontId="13" fillId="4" borderId="1" xfId="0" applyNumberFormat="1" applyFont="1" applyFill="1" applyBorder="1" applyAlignment="1">
      <alignment horizontal="right"/>
    </xf>
    <xf numFmtId="3" fontId="13" fillId="21" borderId="1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vertical="center"/>
    </xf>
    <xf numFmtId="164" fontId="13" fillId="22" borderId="11" xfId="0" applyNumberFormat="1" applyFont="1" applyFill="1" applyBorder="1" applyAlignment="1">
      <alignment horizontal="right"/>
    </xf>
    <xf numFmtId="0" fontId="10" fillId="0" borderId="0" xfId="0" applyFont="1" applyAlignment="1">
      <alignment vertical="center"/>
    </xf>
    <xf numFmtId="0" fontId="18" fillId="4" borderId="1" xfId="0" applyFont="1" applyFill="1" applyBorder="1" applyAlignment="1">
      <alignment vertical="center"/>
    </xf>
    <xf numFmtId="3" fontId="9" fillId="4" borderId="1" xfId="0" applyNumberFormat="1" applyFont="1" applyFill="1" applyBorder="1" applyAlignment="1">
      <alignment horizontal="right"/>
    </xf>
    <xf numFmtId="0" fontId="9" fillId="18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vertical="center"/>
    </xf>
    <xf numFmtId="3" fontId="9" fillId="18" borderId="11" xfId="0" applyNumberFormat="1" applyFont="1" applyFill="1" applyBorder="1" applyAlignment="1">
      <alignment vertical="center"/>
    </xf>
    <xf numFmtId="4" fontId="9" fillId="18" borderId="11" xfId="0" applyNumberFormat="1" applyFont="1" applyFill="1" applyBorder="1" applyAlignment="1">
      <alignment vertical="center"/>
    </xf>
    <xf numFmtId="167" fontId="9" fillId="24" borderId="11" xfId="0" applyNumberFormat="1" applyFont="1" applyFill="1" applyBorder="1" applyAlignment="1">
      <alignment vertical="center"/>
    </xf>
    <xf numFmtId="167" fontId="11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2" fontId="9" fillId="18" borderId="1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3" fontId="10" fillId="3" borderId="1" xfId="0" applyNumberFormat="1" applyFont="1" applyFill="1" applyBorder="1" applyAlignment="1">
      <alignment horizontal="right"/>
    </xf>
    <xf numFmtId="3" fontId="13" fillId="3" borderId="1" xfId="0" applyNumberFormat="1" applyFont="1" applyFill="1" applyBorder="1"/>
    <xf numFmtId="3" fontId="13" fillId="4" borderId="1" xfId="0" applyNumberFormat="1" applyFont="1" applyFill="1" applyBorder="1"/>
    <xf numFmtId="3" fontId="9" fillId="0" borderId="0" xfId="0" applyNumberFormat="1" applyFont="1"/>
    <xf numFmtId="9" fontId="10" fillId="0" borderId="0" xfId="0" applyNumberFormat="1" applyFont="1"/>
    <xf numFmtId="0" fontId="19" fillId="25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2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21" borderId="11" xfId="0" applyFont="1" applyFill="1" applyBorder="1" applyAlignment="1">
      <alignment horizontal="center" vertical="center"/>
    </xf>
    <xf numFmtId="0" fontId="17" fillId="0" borderId="0" xfId="0" applyFont="1"/>
    <xf numFmtId="3" fontId="10" fillId="0" borderId="11" xfId="0" applyNumberFormat="1" applyFont="1" applyBorder="1" applyAlignment="1">
      <alignment horizontal="center" vertical="center"/>
    </xf>
    <xf numFmtId="0" fontId="20" fillId="16" borderId="0" xfId="0" applyFont="1" applyFill="1"/>
    <xf numFmtId="0" fontId="20" fillId="0" borderId="0" xfId="0" applyFont="1"/>
    <xf numFmtId="0" fontId="9" fillId="0" borderId="11" xfId="0" applyFont="1" applyBorder="1" applyAlignment="1">
      <alignment horizontal="left" vertical="center"/>
    </xf>
    <xf numFmtId="3" fontId="9" fillId="24" borderId="11" xfId="0" applyNumberFormat="1" applyFont="1" applyFill="1" applyBorder="1" applyAlignment="1">
      <alignment horizontal="center" vertical="center"/>
    </xf>
    <xf numFmtId="3" fontId="10" fillId="24" borderId="11" xfId="0" applyNumberFormat="1" applyFont="1" applyFill="1" applyBorder="1" applyAlignment="1">
      <alignment horizontal="center" vertical="center"/>
    </xf>
    <xf numFmtId="0" fontId="10" fillId="2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9" fillId="21" borderId="0" xfId="0" applyNumberFormat="1" applyFont="1" applyFill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3" fontId="9" fillId="20" borderId="0" xfId="0" applyNumberFormat="1" applyFont="1" applyFill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65" fontId="10" fillId="0" borderId="0" xfId="0" applyNumberFormat="1" applyFont="1"/>
    <xf numFmtId="0" fontId="10" fillId="20" borderId="11" xfId="0" applyFont="1" applyFill="1" applyBorder="1" applyAlignment="1">
      <alignment horizontal="left" vertical="center"/>
    </xf>
    <xf numFmtId="3" fontId="10" fillId="20" borderId="11" xfId="0" applyNumberFormat="1" applyFont="1" applyFill="1" applyBorder="1" applyAlignment="1">
      <alignment horizontal="center" vertical="center"/>
    </xf>
    <xf numFmtId="0" fontId="10" fillId="24" borderId="0" xfId="0" applyFont="1" applyFill="1"/>
    <xf numFmtId="3" fontId="1" fillId="0" borderId="12" xfId="0" applyNumberFormat="1" applyFont="1" applyBorder="1"/>
    <xf numFmtId="3" fontId="5" fillId="0" borderId="12" xfId="0" applyNumberFormat="1" applyFont="1" applyBorder="1"/>
    <xf numFmtId="0" fontId="9" fillId="0" borderId="12" xfId="0" applyFont="1" applyBorder="1"/>
    <xf numFmtId="0" fontId="10" fillId="0" borderId="12" xfId="0" applyFont="1" applyBorder="1" applyAlignment="1">
      <alignment horizontal="right" vertical="center"/>
    </xf>
    <xf numFmtId="0" fontId="9" fillId="0" borderId="12" xfId="0" applyFont="1" applyBorder="1" applyAlignment="1">
      <alignment horizontal="center" vertical="center" wrapText="1"/>
    </xf>
    <xf numFmtId="0" fontId="0" fillId="0" borderId="12" xfId="0" applyBorder="1"/>
    <xf numFmtId="0" fontId="19" fillId="25" borderId="11" xfId="0" applyFont="1" applyFill="1" applyBorder="1"/>
    <xf numFmtId="0" fontId="0" fillId="0" borderId="11" xfId="0" applyBorder="1"/>
    <xf numFmtId="0" fontId="10" fillId="24" borderId="11" xfId="0" applyFont="1" applyFill="1" applyBorder="1" applyAlignment="1">
      <alignment horizontal="center" vertical="center"/>
    </xf>
    <xf numFmtId="0" fontId="9" fillId="0" borderId="11" xfId="0" applyFont="1" applyBorder="1"/>
    <xf numFmtId="3" fontId="9" fillId="26" borderId="11" xfId="0" applyNumberFormat="1" applyFont="1" applyFill="1" applyBorder="1" applyAlignment="1">
      <alignment horizontal="center" vertical="center"/>
    </xf>
    <xf numFmtId="3" fontId="10" fillId="20" borderId="11" xfId="0" applyNumberFormat="1" applyFont="1" applyFill="1" applyBorder="1" applyAlignment="1">
      <alignment horizontal="right"/>
    </xf>
    <xf numFmtId="3" fontId="9" fillId="21" borderId="11" xfId="0" applyNumberFormat="1" applyFont="1" applyFill="1" applyBorder="1" applyAlignment="1">
      <alignment horizontal="right"/>
    </xf>
    <xf numFmtId="0" fontId="21" fillId="0" borderId="0" xfId="0" applyFont="1"/>
    <xf numFmtId="9" fontId="13" fillId="22" borderId="11" xfId="0" applyNumberFormat="1" applyFont="1" applyFill="1" applyBorder="1" applyAlignment="1">
      <alignment horizontal="right"/>
    </xf>
    <xf numFmtId="3" fontId="10" fillId="21" borderId="11" xfId="0" applyNumberFormat="1" applyFont="1" applyFill="1" applyBorder="1" applyAlignment="1">
      <alignment horizontal="center" vertical="center"/>
    </xf>
    <xf numFmtId="0" fontId="10" fillId="27" borderId="11" xfId="0" applyFont="1" applyFill="1" applyBorder="1" applyAlignment="1">
      <alignment horizontal="center" vertical="center"/>
    </xf>
    <xf numFmtId="3" fontId="10" fillId="27" borderId="11" xfId="0" applyNumberFormat="1" applyFont="1" applyFill="1" applyBorder="1" applyAlignment="1">
      <alignment horizontal="center" vertical="center"/>
    </xf>
    <xf numFmtId="0" fontId="10" fillId="28" borderId="11" xfId="0" applyFont="1" applyFill="1" applyBorder="1" applyAlignment="1">
      <alignment horizontal="center" vertical="center"/>
    </xf>
    <xf numFmtId="3" fontId="10" fillId="28" borderId="11" xfId="0" applyNumberFormat="1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/>
    </xf>
    <xf numFmtId="3" fontId="10" fillId="26" borderId="11" xfId="0" applyNumberFormat="1" applyFont="1" applyFill="1" applyBorder="1" applyAlignment="1">
      <alignment horizontal="center" vertical="center"/>
    </xf>
    <xf numFmtId="1" fontId="13" fillId="24" borderId="11" xfId="0" applyNumberFormat="1" applyFont="1" applyFill="1" applyBorder="1"/>
    <xf numFmtId="0" fontId="23" fillId="29" borderId="13" xfId="0" applyFont="1" applyFill="1" applyBorder="1" applyAlignment="1">
      <alignment horizontal="center" vertical="center" wrapText="1"/>
    </xf>
    <xf numFmtId="2" fontId="13" fillId="24" borderId="11" xfId="0" applyNumberFormat="1" applyFont="1" applyFill="1" applyBorder="1"/>
    <xf numFmtId="0" fontId="18" fillId="0" borderId="0" xfId="0" applyFont="1"/>
    <xf numFmtId="0" fontId="24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horizontal="center" vertical="center"/>
    </xf>
    <xf numFmtId="3" fontId="25" fillId="30" borderId="13" xfId="0" applyNumberFormat="1" applyFont="1" applyFill="1" applyBorder="1" applyAlignment="1">
      <alignment horizontal="right" vertical="center"/>
    </xf>
    <xf numFmtId="0" fontId="26" fillId="0" borderId="13" xfId="0" applyFont="1" applyBorder="1" applyAlignment="1">
      <alignment horizontal="left" vertical="center"/>
    </xf>
    <xf numFmtId="0" fontId="11" fillId="0" borderId="0" xfId="0" applyFont="1"/>
    <xf numFmtId="3" fontId="9" fillId="24" borderId="11" xfId="0" applyNumberFormat="1" applyFont="1" applyFill="1" applyBorder="1" applyAlignment="1">
      <alignment horizontal="right" vertical="center"/>
    </xf>
    <xf numFmtId="0" fontId="28" fillId="29" borderId="13" xfId="0" applyFont="1" applyFill="1" applyBorder="1" applyAlignment="1">
      <alignment horizontal="center" vertical="center" wrapText="1"/>
    </xf>
    <xf numFmtId="3" fontId="24" fillId="0" borderId="13" xfId="0" applyNumberFormat="1" applyFont="1" applyBorder="1" applyAlignment="1">
      <alignment horizontal="right" vertical="center"/>
    </xf>
    <xf numFmtId="0" fontId="26" fillId="0" borderId="13" xfId="0" applyFont="1" applyBorder="1" applyAlignment="1">
      <alignment horizontal="center" vertical="center"/>
    </xf>
    <xf numFmtId="3" fontId="24" fillId="0" borderId="13" xfId="0" applyNumberFormat="1" applyFont="1" applyBorder="1" applyAlignment="1">
      <alignment horizontal="right"/>
    </xf>
    <xf numFmtId="3" fontId="25" fillId="21" borderId="16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left" vertical="center"/>
    </xf>
    <xf numFmtId="0" fontId="9" fillId="18" borderId="11" xfId="0" applyFont="1" applyFill="1" applyBorder="1" applyAlignment="1">
      <alignment vertical="center" wrapText="1"/>
    </xf>
    <xf numFmtId="3" fontId="25" fillId="0" borderId="13" xfId="0" applyNumberFormat="1" applyFont="1" applyBorder="1" applyAlignment="1">
      <alignment horizontal="right" vertical="center"/>
    </xf>
    <xf numFmtId="3" fontId="10" fillId="0" borderId="11" xfId="0" applyNumberFormat="1" applyFont="1" applyBorder="1" applyAlignment="1">
      <alignment horizontal="right"/>
    </xf>
    <xf numFmtId="9" fontId="10" fillId="0" borderId="11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21" borderId="13" xfId="0" applyFont="1" applyFill="1" applyBorder="1" applyAlignment="1">
      <alignment horizontal="center"/>
    </xf>
    <xf numFmtId="49" fontId="24" fillId="0" borderId="13" xfId="0" applyNumberFormat="1" applyFont="1" applyBorder="1" applyAlignment="1">
      <alignment horizontal="right" vertical="center"/>
    </xf>
    <xf numFmtId="0" fontId="0" fillId="24" borderId="0" xfId="0" applyFill="1"/>
    <xf numFmtId="0" fontId="12" fillId="23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24" borderId="11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/>
    <xf numFmtId="4" fontId="36" fillId="32" borderId="11" xfId="0" applyNumberFormat="1" applyFont="1" applyFill="1" applyBorder="1" applyAlignment="1">
      <alignment horizontal="center" vertical="center"/>
    </xf>
    <xf numFmtId="0" fontId="19" fillId="23" borderId="11" xfId="0" applyFont="1" applyFill="1" applyBorder="1" applyAlignment="1">
      <alignment horizontal="center" vertical="center"/>
    </xf>
    <xf numFmtId="0" fontId="35" fillId="0" borderId="11" xfId="0" applyFont="1" applyBorder="1" applyAlignment="1">
      <alignment horizontal="left" vertical="center"/>
    </xf>
    <xf numFmtId="169" fontId="39" fillId="32" borderId="11" xfId="0" applyNumberFormat="1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3" fontId="35" fillId="24" borderId="11" xfId="0" applyNumberFormat="1" applyFont="1" applyFill="1" applyBorder="1" applyAlignment="1">
      <alignment horizontal="right" vertical="center"/>
    </xf>
    <xf numFmtId="3" fontId="39" fillId="32" borderId="11" xfId="0" applyNumberFormat="1" applyFont="1" applyFill="1" applyBorder="1" applyAlignment="1">
      <alignment horizontal="right" vertical="center"/>
    </xf>
    <xf numFmtId="4" fontId="35" fillId="24" borderId="11" xfId="0" applyNumberFormat="1" applyFont="1" applyFill="1" applyBorder="1" applyAlignment="1">
      <alignment horizontal="right" vertical="center"/>
    </xf>
    <xf numFmtId="0" fontId="36" fillId="0" borderId="0" xfId="0" applyFont="1" applyAlignment="1">
      <alignment horizontal="left" vertical="center"/>
    </xf>
    <xf numFmtId="3" fontId="40" fillId="21" borderId="11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3" fontId="36" fillId="32" borderId="11" xfId="0" applyNumberFormat="1" applyFont="1" applyFill="1" applyBorder="1" applyAlignment="1">
      <alignment horizontal="right" vertical="center"/>
    </xf>
    <xf numFmtId="3" fontId="41" fillId="20" borderId="11" xfId="0" applyNumberFormat="1" applyFont="1" applyFill="1" applyBorder="1" applyAlignment="1">
      <alignment horizontal="right" vertical="center"/>
    </xf>
    <xf numFmtId="3" fontId="36" fillId="20" borderId="11" xfId="0" applyNumberFormat="1" applyFont="1" applyFill="1" applyBorder="1" applyAlignment="1">
      <alignment horizontal="right" vertical="center"/>
    </xf>
    <xf numFmtId="164" fontId="36" fillId="32" borderId="11" xfId="0" applyNumberFormat="1" applyFont="1" applyFill="1" applyBorder="1" applyAlignment="1">
      <alignment horizontal="right" vertical="center"/>
    </xf>
    <xf numFmtId="0" fontId="39" fillId="0" borderId="11" xfId="0" applyFont="1" applyBorder="1" applyAlignment="1">
      <alignment horizontal="left" vertical="center"/>
    </xf>
    <xf numFmtId="3" fontId="36" fillId="24" borderId="11" xfId="0" applyNumberFormat="1" applyFont="1" applyFill="1" applyBorder="1" applyAlignment="1">
      <alignment horizontal="center" vertical="center"/>
    </xf>
    <xf numFmtId="3" fontId="35" fillId="32" borderId="11" xfId="0" applyNumberFormat="1" applyFont="1" applyFill="1" applyBorder="1" applyAlignment="1">
      <alignment horizontal="right" vertical="center"/>
    </xf>
    <xf numFmtId="0" fontId="43" fillId="23" borderId="11" xfId="0" applyFont="1" applyFill="1" applyBorder="1" applyAlignment="1">
      <alignment horizontal="center" vertical="center"/>
    </xf>
    <xf numFmtId="0" fontId="43" fillId="23" borderId="0" xfId="0" applyFont="1" applyFill="1"/>
    <xf numFmtId="0" fontId="37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right" vertical="center"/>
    </xf>
    <xf numFmtId="0" fontId="37" fillId="0" borderId="0" xfId="0" applyFont="1"/>
    <xf numFmtId="0" fontId="44" fillId="0" borderId="0" xfId="0" applyFont="1"/>
    <xf numFmtId="0" fontId="44" fillId="0" borderId="0" xfId="0" applyFont="1" applyAlignment="1">
      <alignment horizontal="right" vertical="center"/>
    </xf>
    <xf numFmtId="0" fontId="35" fillId="0" borderId="0" xfId="0" applyFont="1"/>
    <xf numFmtId="0" fontId="37" fillId="32" borderId="11" xfId="0" applyFont="1" applyFill="1" applyBorder="1" applyAlignment="1">
      <alignment horizontal="center" vertical="center"/>
    </xf>
    <xf numFmtId="0" fontId="42" fillId="0" borderId="0" xfId="0" applyFont="1"/>
    <xf numFmtId="0" fontId="46" fillId="0" borderId="11" xfId="0" applyFont="1" applyBorder="1" applyAlignment="1">
      <alignment horizontal="left" vertical="center"/>
    </xf>
    <xf numFmtId="3" fontId="39" fillId="21" borderId="11" xfId="0" applyNumberFormat="1" applyFont="1" applyFill="1" applyBorder="1" applyAlignment="1">
      <alignment horizontal="right" vertical="center"/>
    </xf>
    <xf numFmtId="3" fontId="47" fillId="0" borderId="11" xfId="0" applyNumberFormat="1" applyFont="1" applyBorder="1" applyAlignment="1">
      <alignment horizontal="right" vertical="center"/>
    </xf>
    <xf numFmtId="0" fontId="38" fillId="0" borderId="11" xfId="0" applyFont="1" applyBorder="1" applyAlignment="1">
      <alignment horizontal="right" vertical="center"/>
    </xf>
    <xf numFmtId="0" fontId="19" fillId="33" borderId="0" xfId="0" applyFont="1" applyFill="1"/>
    <xf numFmtId="0" fontId="10" fillId="24" borderId="11" xfId="0" applyFont="1" applyFill="1" applyBorder="1"/>
    <xf numFmtId="0" fontId="9" fillId="18" borderId="0" xfId="0" applyFont="1" applyFill="1"/>
    <xf numFmtId="0" fontId="9" fillId="34" borderId="11" xfId="0" applyFont="1" applyFill="1" applyBorder="1"/>
    <xf numFmtId="0" fontId="9" fillId="27" borderId="11" xfId="0" applyFont="1" applyFill="1" applyBorder="1"/>
    <xf numFmtId="0" fontId="48" fillId="18" borderId="0" xfId="0" applyFont="1" applyFill="1"/>
    <xf numFmtId="0" fontId="50" fillId="32" borderId="0" xfId="0" applyFont="1" applyFill="1"/>
    <xf numFmtId="0" fontId="48" fillId="0" borderId="0" xfId="0" applyFont="1"/>
    <xf numFmtId="0" fontId="48" fillId="24" borderId="11" xfId="0" applyFont="1" applyFill="1" applyBorder="1"/>
    <xf numFmtId="0" fontId="50" fillId="0" borderId="0" xfId="0" applyFont="1"/>
    <xf numFmtId="0" fontId="48" fillId="24" borderId="0" xfId="0" applyFont="1" applyFill="1"/>
    <xf numFmtId="0" fontId="51" fillId="3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2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3" fillId="21" borderId="0" xfId="0" applyFont="1" applyFill="1" applyAlignment="1">
      <alignment horizontal="left" vertical="center" wrapText="1"/>
    </xf>
    <xf numFmtId="3" fontId="53" fillId="21" borderId="0" xfId="0" applyNumberFormat="1" applyFont="1" applyFill="1" applyAlignment="1">
      <alignment horizontal="right" vertical="center"/>
    </xf>
    <xf numFmtId="0" fontId="54" fillId="20" borderId="0" xfId="0" applyFont="1" applyFill="1" applyAlignment="1">
      <alignment horizontal="left" vertical="center" wrapText="1"/>
    </xf>
    <xf numFmtId="3" fontId="54" fillId="20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10" fillId="30" borderId="0" xfId="0" applyFont="1" applyFill="1"/>
    <xf numFmtId="0" fontId="0" fillId="18" borderId="0" xfId="0" applyFill="1"/>
    <xf numFmtId="0" fontId="11" fillId="32" borderId="0" xfId="0" applyFont="1" applyFill="1"/>
    <xf numFmtId="3" fontId="11" fillId="32" borderId="0" xfId="0" applyNumberFormat="1" applyFont="1" applyFill="1"/>
    <xf numFmtId="0" fontId="11" fillId="36" borderId="0" xfId="0" applyFont="1" applyFill="1"/>
    <xf numFmtId="0" fontId="0" fillId="36" borderId="0" xfId="0" applyFill="1"/>
    <xf numFmtId="3" fontId="11" fillId="36" borderId="0" xfId="0" applyNumberFormat="1" applyFont="1" applyFill="1"/>
    <xf numFmtId="0" fontId="9" fillId="37" borderId="0" xfId="0" applyFont="1" applyFill="1" applyAlignment="1">
      <alignment horizontal="center" vertical="center"/>
    </xf>
    <xf numFmtId="0" fontId="10" fillId="37" borderId="0" xfId="0" applyFont="1" applyFill="1"/>
    <xf numFmtId="0" fontId="43" fillId="29" borderId="0" xfId="0" applyFont="1" applyFill="1"/>
    <xf numFmtId="0" fontId="0" fillId="29" borderId="0" xfId="0" applyFill="1"/>
    <xf numFmtId="3" fontId="43" fillId="29" borderId="0" xfId="0" applyNumberFormat="1" applyFont="1" applyFill="1"/>
    <xf numFmtId="0" fontId="43" fillId="38" borderId="0" xfId="0" applyFont="1" applyFill="1"/>
    <xf numFmtId="0" fontId="0" fillId="38" borderId="0" xfId="0" applyFill="1"/>
    <xf numFmtId="0" fontId="11" fillId="39" borderId="0" xfId="0" applyFont="1" applyFill="1"/>
    <xf numFmtId="0" fontId="0" fillId="40" borderId="0" xfId="0" applyFill="1"/>
    <xf numFmtId="0" fontId="11" fillId="41" borderId="0" xfId="0" applyFont="1" applyFill="1"/>
    <xf numFmtId="0" fontId="10" fillId="39" borderId="0" xfId="0" applyFont="1" applyFill="1"/>
    <xf numFmtId="3" fontId="10" fillId="39" borderId="0" xfId="0" applyNumberFormat="1" applyFont="1" applyFill="1"/>
    <xf numFmtId="0" fontId="10" fillId="36" borderId="0" xfId="0" applyFont="1" applyFill="1"/>
    <xf numFmtId="3" fontId="10" fillId="36" borderId="0" xfId="0" applyNumberFormat="1" applyFont="1" applyFill="1"/>
    <xf numFmtId="0" fontId="10" fillId="40" borderId="0" xfId="0" applyFont="1" applyFill="1"/>
    <xf numFmtId="0" fontId="10" fillId="41" borderId="0" xfId="0" applyFont="1" applyFill="1"/>
    <xf numFmtId="3" fontId="10" fillId="41" borderId="0" xfId="0" applyNumberFormat="1" applyFont="1" applyFill="1"/>
    <xf numFmtId="0" fontId="34" fillId="42" borderId="0" xfId="0" applyFont="1" applyFill="1"/>
    <xf numFmtId="0" fontId="10" fillId="32" borderId="0" xfId="0" applyFont="1" applyFill="1"/>
    <xf numFmtId="9" fontId="9" fillId="0" borderId="0" xfId="0" applyNumberFormat="1" applyFont="1"/>
    <xf numFmtId="0" fontId="55" fillId="0" borderId="0" xfId="0" applyFont="1"/>
    <xf numFmtId="3" fontId="0" fillId="0" borderId="0" xfId="0" applyNumberFormat="1"/>
    <xf numFmtId="165" fontId="0" fillId="24" borderId="0" xfId="0" applyNumberFormat="1" applyFill="1"/>
    <xf numFmtId="165" fontId="1" fillId="0" borderId="12" xfId="0" applyNumberFormat="1" applyFont="1" applyBorder="1"/>
    <xf numFmtId="165" fontId="0" fillId="0" borderId="0" xfId="0" applyNumberFormat="1"/>
    <xf numFmtId="165" fontId="55" fillId="0" borderId="0" xfId="0" applyNumberFormat="1" applyFont="1"/>
    <xf numFmtId="0" fontId="56" fillId="24" borderId="0" xfId="0" applyFont="1" applyFill="1"/>
    <xf numFmtId="0" fontId="56" fillId="0" borderId="0" xfId="0" applyFont="1"/>
    <xf numFmtId="0" fontId="57" fillId="0" borderId="0" xfId="0" applyFont="1"/>
    <xf numFmtId="165" fontId="56" fillId="24" borderId="0" xfId="0" applyNumberFormat="1" applyFont="1" applyFill="1"/>
    <xf numFmtId="3" fontId="56" fillId="0" borderId="0" xfId="0" applyNumberFormat="1" applyFont="1"/>
    <xf numFmtId="3" fontId="13" fillId="0" borderId="0" xfId="0" applyNumberFormat="1" applyFont="1"/>
    <xf numFmtId="165" fontId="13" fillId="0" borderId="0" xfId="0" applyNumberFormat="1" applyFont="1"/>
    <xf numFmtId="165" fontId="56" fillId="0" borderId="0" xfId="0" applyNumberFormat="1" applyFont="1"/>
    <xf numFmtId="165" fontId="57" fillId="0" borderId="0" xfId="0" applyNumberFormat="1" applyFont="1"/>
    <xf numFmtId="0" fontId="39" fillId="18" borderId="0" xfId="0" applyFont="1" applyFill="1"/>
    <xf numFmtId="166" fontId="37" fillId="0" borderId="11" xfId="0" applyNumberFormat="1" applyFont="1" applyBorder="1" applyAlignment="1">
      <alignment horizontal="right" vertical="center"/>
    </xf>
    <xf numFmtId="165" fontId="37" fillId="0" borderId="11" xfId="0" applyNumberFormat="1" applyFont="1" applyBorder="1" applyAlignment="1">
      <alignment horizontal="right" vertical="center"/>
    </xf>
    <xf numFmtId="0" fontId="37" fillId="24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right" vertical="center"/>
    </xf>
    <xf numFmtId="166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29" fillId="0" borderId="17" xfId="0" applyFont="1" applyBorder="1"/>
    <xf numFmtId="0" fontId="29" fillId="0" borderId="18" xfId="0" applyFont="1" applyBorder="1"/>
    <xf numFmtId="0" fontId="9" fillId="18" borderId="0" xfId="0" applyFont="1" applyFill="1" applyAlignment="1">
      <alignment horizontal="center" vertical="center"/>
    </xf>
    <xf numFmtId="0" fontId="10" fillId="0" borderId="11" xfId="0" applyFont="1" applyBorder="1" applyAlignment="1">
      <alignment horizontal="right" vertical="center"/>
    </xf>
    <xf numFmtId="0" fontId="10" fillId="20" borderId="11" xfId="0" applyFont="1" applyFill="1" applyBorder="1" applyAlignment="1">
      <alignment horizontal="right" vertical="center"/>
    </xf>
    <xf numFmtId="0" fontId="9" fillId="24" borderId="0" xfId="0" applyFont="1" applyFill="1"/>
    <xf numFmtId="9" fontId="10" fillId="0" borderId="0" xfId="0" applyNumberFormat="1" applyFont="1" applyAlignment="1">
      <alignment horizontal="right" vertical="center"/>
    </xf>
    <xf numFmtId="3" fontId="10" fillId="0" borderId="11" xfId="0" applyNumberFormat="1" applyFont="1" applyBorder="1" applyAlignment="1">
      <alignment horizontal="right" vertical="center"/>
    </xf>
    <xf numFmtId="3" fontId="9" fillId="20" borderId="0" xfId="0" applyNumberFormat="1" applyFont="1" applyFill="1" applyAlignment="1">
      <alignment horizontal="right" vertical="center"/>
    </xf>
    <xf numFmtId="3" fontId="10" fillId="20" borderId="0" xfId="0" applyNumberFormat="1" applyFont="1" applyFill="1" applyAlignment="1">
      <alignment horizontal="right" vertical="center"/>
    </xf>
    <xf numFmtId="3" fontId="9" fillId="21" borderId="0" xfId="0" applyNumberFormat="1" applyFont="1" applyFill="1" applyAlignment="1">
      <alignment horizontal="right" vertical="center"/>
    </xf>
    <xf numFmtId="0" fontId="58" fillId="0" borderId="0" xfId="0" applyFont="1"/>
    <xf numFmtId="3" fontId="0" fillId="0" borderId="0" xfId="0" applyNumberFormat="1" applyAlignment="1">
      <alignment horizontal="right" vertical="center"/>
    </xf>
    <xf numFmtId="0" fontId="59" fillId="24" borderId="19" xfId="0" applyFont="1" applyFill="1" applyBorder="1" applyAlignment="1">
      <alignment horizontal="left" vertical="center"/>
    </xf>
    <xf numFmtId="0" fontId="59" fillId="21" borderId="19" xfId="0" applyFont="1" applyFill="1" applyBorder="1" applyAlignment="1">
      <alignment horizontal="left" vertical="center"/>
    </xf>
    <xf numFmtId="0" fontId="61" fillId="44" borderId="22" xfId="0" applyFont="1" applyFill="1" applyBorder="1" applyAlignment="1">
      <alignment horizontal="center" vertical="center"/>
    </xf>
    <xf numFmtId="0" fontId="63" fillId="0" borderId="0" xfId="0" applyFont="1"/>
    <xf numFmtId="0" fontId="62" fillId="0" borderId="0" xfId="0" applyFont="1"/>
    <xf numFmtId="166" fontId="0" fillId="0" borderId="0" xfId="0" applyNumberFormat="1"/>
    <xf numFmtId="0" fontId="19" fillId="25" borderId="11" xfId="0" applyFont="1" applyFill="1" applyBorder="1" applyAlignment="1">
      <alignment vertical="center" wrapText="1"/>
    </xf>
    <xf numFmtId="0" fontId="19" fillId="43" borderId="11" xfId="0" applyFont="1" applyFill="1" applyBorder="1" applyAlignment="1">
      <alignment vertical="center" wrapText="1"/>
    </xf>
    <xf numFmtId="0" fontId="0" fillId="26" borderId="11" xfId="0" applyFill="1" applyBorder="1"/>
    <xf numFmtId="0" fontId="0" fillId="20" borderId="11" xfId="0" applyFill="1" applyBorder="1"/>
    <xf numFmtId="0" fontId="0" fillId="21" borderId="11" xfId="0" applyFill="1" applyBorder="1"/>
    <xf numFmtId="170" fontId="0" fillId="21" borderId="11" xfId="0" applyNumberFormat="1" applyFill="1" applyBorder="1"/>
    <xf numFmtId="171" fontId="0" fillId="21" borderId="11" xfId="0" applyNumberFormat="1" applyFill="1" applyBorder="1"/>
    <xf numFmtId="0" fontId="64" fillId="0" borderId="0" xfId="0" applyFont="1"/>
    <xf numFmtId="0" fontId="19" fillId="38" borderId="11" xfId="0" applyFont="1" applyFill="1" applyBorder="1" applyAlignment="1">
      <alignment vertical="center" wrapText="1"/>
    </xf>
    <xf numFmtId="0" fontId="0" fillId="24" borderId="11" xfId="0" applyFill="1" applyBorder="1"/>
    <xf numFmtId="0" fontId="65" fillId="26" borderId="0" xfId="0" applyFont="1" applyFill="1"/>
    <xf numFmtId="170" fontId="65" fillId="26" borderId="0" xfId="0" applyNumberFormat="1" applyFont="1" applyFill="1"/>
    <xf numFmtId="0" fontId="66" fillId="0" borderId="0" xfId="0" applyFont="1"/>
    <xf numFmtId="169" fontId="0" fillId="24" borderId="11" xfId="0" applyNumberFormat="1" applyFill="1" applyBorder="1"/>
    <xf numFmtId="0" fontId="19" fillId="45" borderId="11" xfId="0" applyFont="1" applyFill="1" applyBorder="1"/>
    <xf numFmtId="0" fontId="67" fillId="0" borderId="11" xfId="0" applyFont="1" applyBorder="1"/>
    <xf numFmtId="0" fontId="68" fillId="0" borderId="0" xfId="0" applyFont="1" applyAlignment="1">
      <alignment horizontal="center"/>
    </xf>
    <xf numFmtId="0" fontId="43" fillId="47" borderId="0" xfId="0" applyFont="1" applyFill="1"/>
    <xf numFmtId="166" fontId="0" fillId="21" borderId="11" xfId="0" applyNumberFormat="1" applyFill="1" applyBorder="1"/>
    <xf numFmtId="0" fontId="68" fillId="0" borderId="0" xfId="0" applyFont="1"/>
    <xf numFmtId="3" fontId="0" fillId="24" borderId="11" xfId="0" applyNumberFormat="1" applyFill="1" applyBorder="1"/>
    <xf numFmtId="3" fontId="0" fillId="0" borderId="11" xfId="0" applyNumberFormat="1" applyBorder="1"/>
    <xf numFmtId="0" fontId="70" fillId="0" borderId="0" xfId="0" applyFont="1"/>
    <xf numFmtId="0" fontId="71" fillId="0" borderId="0" xfId="0" applyFont="1"/>
    <xf numFmtId="0" fontId="39" fillId="46" borderId="11" xfId="0" applyFont="1" applyFill="1" applyBorder="1"/>
    <xf numFmtId="0" fontId="0" fillId="46" borderId="11" xfId="0" applyFill="1" applyBorder="1"/>
    <xf numFmtId="0" fontId="72" fillId="0" borderId="0" xfId="0" applyFont="1"/>
    <xf numFmtId="0" fontId="73" fillId="25" borderId="11" xfId="0" applyFont="1" applyFill="1" applyBorder="1" applyAlignment="1">
      <alignment vertical="center" wrapText="1"/>
    </xf>
    <xf numFmtId="0" fontId="10" fillId="21" borderId="11" xfId="0" applyFont="1" applyFill="1" applyBorder="1"/>
    <xf numFmtId="0" fontId="9" fillId="46" borderId="0" xfId="0" applyFont="1" applyFill="1"/>
    <xf numFmtId="0" fontId="74" fillId="21" borderId="11" xfId="0" applyFont="1" applyFill="1" applyBorder="1"/>
    <xf numFmtId="0" fontId="10" fillId="21" borderId="11" xfId="0" applyFont="1" applyFill="1" applyBorder="1" applyAlignment="1">
      <alignment horizontal="left" vertical="center"/>
    </xf>
    <xf numFmtId="0" fontId="10" fillId="20" borderId="1" xfId="0" applyFont="1" applyFill="1" applyBorder="1"/>
    <xf numFmtId="0" fontId="0" fillId="20" borderId="0" xfId="0" applyFill="1"/>
    <xf numFmtId="0" fontId="75" fillId="0" borderId="0" xfId="0" applyFont="1"/>
    <xf numFmtId="166" fontId="0" fillId="26" borderId="11" xfId="0" applyNumberFormat="1" applyFill="1" applyBorder="1"/>
    <xf numFmtId="0" fontId="76" fillId="0" borderId="0" xfId="0" applyFont="1"/>
    <xf numFmtId="0" fontId="77" fillId="0" borderId="0" xfId="0" applyFont="1"/>
    <xf numFmtId="0" fontId="0" fillId="0" borderId="24" xfId="0" applyBorder="1"/>
    <xf numFmtId="0" fontId="0" fillId="0" borderId="25" xfId="0" applyBorder="1"/>
    <xf numFmtId="0" fontId="82" fillId="48" borderId="11" xfId="0" applyFon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76" fillId="21" borderId="11" xfId="0" applyFont="1" applyFill="1" applyBorder="1" applyAlignment="1">
      <alignment horizontal="center" vertical="center"/>
    </xf>
    <xf numFmtId="0" fontId="79" fillId="0" borderId="11" xfId="0" applyFont="1" applyBorder="1" applyAlignment="1">
      <alignment horizontal="center" vertical="center"/>
    </xf>
    <xf numFmtId="0" fontId="83" fillId="0" borderId="0" xfId="0" applyFont="1"/>
    <xf numFmtId="0" fontId="84" fillId="0" borderId="0" xfId="0" applyFont="1"/>
    <xf numFmtId="0" fontId="85" fillId="0" borderId="0" xfId="0" applyFont="1"/>
    <xf numFmtId="0" fontId="76" fillId="0" borderId="1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78" fillId="0" borderId="0" xfId="0" applyFont="1"/>
    <xf numFmtId="0" fontId="86" fillId="20" borderId="26" xfId="0" applyFont="1" applyFill="1" applyBorder="1"/>
    <xf numFmtId="0" fontId="0" fillId="20" borderId="26" xfId="0" applyFill="1" applyBorder="1" applyAlignment="1">
      <alignment horizontal="right"/>
    </xf>
    <xf numFmtId="0" fontId="86" fillId="26" borderId="26" xfId="0" applyFont="1" applyFill="1" applyBorder="1"/>
    <xf numFmtId="0" fontId="0" fillId="26" borderId="26" xfId="0" applyFill="1" applyBorder="1" applyAlignment="1">
      <alignment horizontal="right"/>
    </xf>
    <xf numFmtId="0" fontId="76" fillId="26" borderId="26" xfId="0" applyFont="1" applyFill="1" applyBorder="1" applyAlignment="1">
      <alignment horizontal="right"/>
    </xf>
    <xf numFmtId="0" fontId="78" fillId="0" borderId="12" xfId="0" applyFont="1" applyBorder="1"/>
    <xf numFmtId="0" fontId="86" fillId="0" borderId="12" xfId="0" applyFont="1" applyBorder="1"/>
    <xf numFmtId="0" fontId="0" fillId="0" borderId="12" xfId="0" applyBorder="1" applyAlignment="1">
      <alignment horizontal="right"/>
    </xf>
    <xf numFmtId="0" fontId="76" fillId="0" borderId="12" xfId="0" applyFont="1" applyBorder="1" applyAlignment="1">
      <alignment horizontal="right"/>
    </xf>
    <xf numFmtId="0" fontId="76" fillId="24" borderId="0" xfId="0" applyFont="1" applyFill="1" applyAlignment="1">
      <alignment horizontal="center"/>
    </xf>
    <xf numFmtId="172" fontId="83" fillId="0" borderId="1" xfId="0" applyNumberFormat="1" applyFont="1" applyBorder="1" applyAlignment="1">
      <alignment horizontal="right"/>
    </xf>
    <xf numFmtId="172" fontId="83" fillId="0" borderId="0" xfId="0" applyNumberFormat="1" applyFont="1" applyAlignment="1">
      <alignment horizontal="right"/>
    </xf>
    <xf numFmtId="0" fontId="68" fillId="46" borderId="23" xfId="0" applyFont="1" applyFill="1" applyBorder="1" applyAlignment="1">
      <alignment horizontal="left" vertical="center"/>
    </xf>
    <xf numFmtId="0" fontId="0" fillId="46" borderId="23" xfId="0" applyFill="1" applyBorder="1"/>
    <xf numFmtId="0" fontId="10" fillId="46" borderId="23" xfId="0" applyFont="1" applyFill="1" applyBorder="1"/>
    <xf numFmtId="0" fontId="69" fillId="46" borderId="23" xfId="0" applyFont="1" applyFill="1" applyBorder="1"/>
    <xf numFmtId="0" fontId="9" fillId="46" borderId="23" xfId="0" applyFont="1" applyFill="1" applyBorder="1"/>
    <xf numFmtId="0" fontId="19" fillId="46" borderId="23" xfId="0" applyFont="1" applyFill="1" applyBorder="1" applyAlignment="1">
      <alignment vertical="center" wrapText="1"/>
    </xf>
    <xf numFmtId="0" fontId="61" fillId="46" borderId="23" xfId="0" applyFont="1" applyFill="1" applyBorder="1" applyAlignment="1">
      <alignment horizontal="center" vertical="center"/>
    </xf>
    <xf numFmtId="0" fontId="43" fillId="46" borderId="23" xfId="0" applyFont="1" applyFill="1" applyBorder="1" applyAlignment="1">
      <alignment horizontal="center" vertical="center"/>
    </xf>
    <xf numFmtId="0" fontId="0" fillId="46" borderId="23" xfId="0" applyFill="1" applyBorder="1" applyAlignment="1">
      <alignment horizontal="left" vertical="center"/>
    </xf>
    <xf numFmtId="0" fontId="50" fillId="46" borderId="23" xfId="0" applyFont="1" applyFill="1" applyBorder="1"/>
    <xf numFmtId="0" fontId="76" fillId="21" borderId="0" xfId="0" applyFont="1" applyFill="1" applyAlignment="1">
      <alignment horizontal="center"/>
    </xf>
    <xf numFmtId="0" fontId="87" fillId="48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30" borderId="0" xfId="0" applyFill="1"/>
    <xf numFmtId="0" fontId="88" fillId="46" borderId="0" xfId="0" applyFont="1" applyFill="1"/>
    <xf numFmtId="0" fontId="78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88" fillId="46" borderId="11" xfId="0" applyFont="1" applyFill="1" applyBorder="1" applyAlignment="1">
      <alignment vertical="center" wrapText="1"/>
    </xf>
    <xf numFmtId="0" fontId="0" fillId="21" borderId="0" xfId="0" applyFill="1" applyAlignment="1">
      <alignment horizontal="center"/>
    </xf>
    <xf numFmtId="0" fontId="89" fillId="0" borderId="0" xfId="0" applyFont="1"/>
    <xf numFmtId="0" fontId="0" fillId="24" borderId="0" xfId="0" applyFill="1" applyAlignment="1">
      <alignment horizontal="center"/>
    </xf>
    <xf numFmtId="0" fontId="90" fillId="0" borderId="0" xfId="0" applyFont="1"/>
    <xf numFmtId="0" fontId="34" fillId="43" borderId="0" xfId="0" applyFont="1" applyFill="1" applyAlignment="1">
      <alignment horizontal="left" vertical="center"/>
    </xf>
    <xf numFmtId="0" fontId="0" fillId="0" borderId="0" xfId="0"/>
    <xf numFmtId="0" fontId="60" fillId="0" borderId="19" xfId="0" applyFont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34" fillId="29" borderId="0" xfId="0" applyFont="1" applyFill="1" applyAlignment="1">
      <alignment horizontal="left" vertical="center"/>
    </xf>
    <xf numFmtId="0" fontId="45" fillId="23" borderId="0" xfId="0" applyFont="1" applyFill="1" applyAlignment="1">
      <alignment horizontal="center" vertical="center"/>
    </xf>
    <xf numFmtId="0" fontId="88" fillId="46" borderId="0" xfId="0" applyFont="1" applyFill="1"/>
    <xf numFmtId="0" fontId="71" fillId="30" borderId="0" xfId="0" applyFont="1" applyFill="1" applyAlignment="1">
      <alignment horizontal="center" vertical="center"/>
    </xf>
    <xf numFmtId="0" fontId="81" fillId="0" borderId="0" xfId="0" applyFont="1"/>
    <xf numFmtId="0" fontId="80" fillId="0" borderId="0" xfId="0" applyFont="1"/>
    <xf numFmtId="0" fontId="23" fillId="29" borderId="0" xfId="0" applyFont="1" applyFill="1" applyAlignment="1">
      <alignment horizontal="left" vertical="center"/>
    </xf>
    <xf numFmtId="0" fontId="88" fillId="46" borderId="0" xfId="0" applyFont="1" applyFill="1" applyAlignment="1">
      <alignment horizontal="center" vertical="center"/>
    </xf>
    <xf numFmtId="0" fontId="88" fillId="46" borderId="0" xfId="0" applyFont="1" applyFill="1" applyAlignment="1">
      <alignment horizontal="left" vertical="center"/>
    </xf>
    <xf numFmtId="0" fontId="13" fillId="0" borderId="0" xfId="0" applyFont="1"/>
    <xf numFmtId="0" fontId="10" fillId="0" borderId="1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0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5" fillId="23" borderId="0" xfId="0" applyFont="1" applyFill="1" applyAlignment="1">
      <alignment horizontal="left" vertical="center"/>
    </xf>
    <xf numFmtId="0" fontId="34" fillId="23" borderId="0" xfId="0" applyFont="1" applyFill="1"/>
    <xf numFmtId="0" fontId="71" fillId="0" borderId="0" xfId="0" applyFont="1"/>
    <xf numFmtId="0" fontId="15" fillId="25" borderId="0" xfId="0" applyFont="1" applyFill="1" applyAlignment="1">
      <alignment horizontal="left" vertical="center"/>
    </xf>
    <xf numFmtId="0" fontId="9" fillId="13" borderId="1" xfId="0" applyFont="1" applyFill="1" applyBorder="1"/>
    <xf numFmtId="0" fontId="10" fillId="14" borderId="1" xfId="0" applyFont="1" applyFill="1" applyBorder="1"/>
    <xf numFmtId="0" fontId="10" fillId="0" borderId="0" xfId="0" applyFont="1"/>
    <xf numFmtId="0" fontId="6" fillId="0" borderId="0" xfId="0" applyFont="1"/>
    <xf numFmtId="0" fontId="34" fillId="23" borderId="0" xfId="0" applyFont="1" applyFill="1" applyAlignment="1">
      <alignment horizontal="left" vertical="center" wrapText="1"/>
    </xf>
    <xf numFmtId="0" fontId="51" fillId="35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34" fillId="23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center" vertical="center"/>
    </xf>
    <xf numFmtId="0" fontId="36" fillId="24" borderId="11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42" fillId="0" borderId="0" xfId="0" applyFont="1"/>
    <xf numFmtId="0" fontId="17" fillId="0" borderId="0" xfId="0" applyFont="1"/>
    <xf numFmtId="0" fontId="9" fillId="0" borderId="1" xfId="0" applyFont="1" applyBorder="1" applyAlignment="1">
      <alignment horizontal="left" vertical="center"/>
    </xf>
    <xf numFmtId="0" fontId="24" fillId="21" borderId="13" xfId="0" applyFont="1" applyFill="1" applyBorder="1" applyAlignment="1">
      <alignment horizontal="left" vertical="center"/>
    </xf>
    <xf numFmtId="0" fontId="31" fillId="21" borderId="0" xfId="0" applyFont="1" applyFill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29" borderId="13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22" fillId="23" borderId="0" xfId="0" applyFont="1" applyFill="1" applyAlignment="1">
      <alignment horizontal="center" vertical="center"/>
    </xf>
    <xf numFmtId="0" fontId="33" fillId="24" borderId="0" xfId="0" applyFont="1" applyFill="1" applyAlignment="1">
      <alignment horizontal="left" vertical="center"/>
    </xf>
    <xf numFmtId="0" fontId="14" fillId="0" borderId="0" xfId="0" applyFont="1"/>
    <xf numFmtId="0" fontId="21" fillId="0" borderId="0" xfId="0" applyFont="1"/>
    <xf numFmtId="0" fontId="49" fillId="2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2EFDA"/>
      <rgbColor rgb="FF660066"/>
      <rgbColor rgb="FFFF8080"/>
      <rgbColor rgb="FF0066CC"/>
      <rgbColor rgb="FFD9E1F2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EDEDED"/>
      <rgbColor rgb="FFFCE4D6"/>
      <rgbColor rgb="FFF5F5F5"/>
      <rgbColor rgb="FFFFCC66"/>
      <rgbColor rgb="FF2F75B6"/>
      <rgbColor rgb="FF33CCCC"/>
      <rgbColor rgb="FF99CC00"/>
      <rgbColor rgb="FFF7F7F7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38"/>
  <sheetViews>
    <sheetView showGridLines="0" tabSelected="1" workbookViewId="0"/>
  </sheetViews>
  <sheetFormatPr defaultRowHeight="14.5" x14ac:dyDescent="0.35"/>
  <cols>
    <col min="1" max="1" width="2" customWidth="1"/>
    <col min="2" max="3" width="46" customWidth="1"/>
    <col min="4" max="4" width="23.90625" customWidth="1"/>
    <col min="5" max="5" width="2" customWidth="1"/>
    <col min="6" max="6" width="26.90625" customWidth="1"/>
    <col min="7" max="7" width="30" customWidth="1"/>
  </cols>
  <sheetData>
    <row r="1" spans="2:7" ht="30" customHeight="1" x14ac:dyDescent="0.35">
      <c r="B1" s="416" t="s">
        <v>0</v>
      </c>
      <c r="C1" s="411"/>
      <c r="D1" s="411"/>
      <c r="E1" s="411"/>
      <c r="F1" s="411"/>
      <c r="G1" s="411"/>
    </row>
    <row r="3" spans="2:7" ht="22" customHeight="1" x14ac:dyDescent="0.35">
      <c r="B3" s="410" t="s">
        <v>1</v>
      </c>
      <c r="C3" s="411"/>
      <c r="D3" s="411"/>
      <c r="E3" s="411"/>
      <c r="F3" s="411"/>
      <c r="G3" s="411"/>
    </row>
    <row r="4" spans="2:7" ht="19" customHeight="1" x14ac:dyDescent="0.35">
      <c r="B4" s="317" t="s">
        <v>2</v>
      </c>
      <c r="C4" s="412" t="s">
        <v>3</v>
      </c>
      <c r="D4" s="413"/>
      <c r="E4" s="413"/>
      <c r="F4" s="413"/>
      <c r="G4" s="414"/>
    </row>
    <row r="5" spans="2:7" ht="19" customHeight="1" x14ac:dyDescent="0.35">
      <c r="B5" s="317" t="s">
        <v>4</v>
      </c>
      <c r="C5" s="412" t="s">
        <v>5</v>
      </c>
      <c r="D5" s="413"/>
      <c r="E5" s="413"/>
      <c r="F5" s="413"/>
      <c r="G5" s="414"/>
    </row>
    <row r="6" spans="2:7" ht="19" customHeight="1" x14ac:dyDescent="0.35">
      <c r="B6" s="317" t="s">
        <v>6</v>
      </c>
      <c r="C6" s="412" t="s">
        <v>7</v>
      </c>
      <c r="D6" s="413"/>
      <c r="E6" s="413"/>
      <c r="F6" s="413"/>
      <c r="G6" s="414"/>
    </row>
    <row r="7" spans="2:7" ht="19" customHeight="1" x14ac:dyDescent="0.35">
      <c r="B7" s="317" t="s">
        <v>8</v>
      </c>
      <c r="C7" s="412" t="s">
        <v>9</v>
      </c>
      <c r="D7" s="413"/>
      <c r="E7" s="413"/>
      <c r="F7" s="413"/>
      <c r="G7" s="414"/>
    </row>
    <row r="8" spans="2:7" ht="19" customHeight="1" x14ac:dyDescent="0.35">
      <c r="B8" s="317" t="s">
        <v>10</v>
      </c>
      <c r="C8" s="412" t="s">
        <v>11</v>
      </c>
      <c r="D8" s="413"/>
      <c r="E8" s="413"/>
      <c r="F8" s="413"/>
      <c r="G8" s="414"/>
    </row>
    <row r="9" spans="2:7" ht="19" customHeight="1" x14ac:dyDescent="0.35">
      <c r="B9" s="317" t="s">
        <v>12</v>
      </c>
      <c r="C9" s="412" t="s">
        <v>13</v>
      </c>
      <c r="D9" s="413"/>
      <c r="E9" s="413"/>
      <c r="F9" s="413"/>
      <c r="G9" s="414"/>
    </row>
    <row r="10" spans="2:7" ht="19" customHeight="1" x14ac:dyDescent="0.35">
      <c r="B10" s="317" t="s">
        <v>14</v>
      </c>
      <c r="C10" s="412" t="s">
        <v>15</v>
      </c>
      <c r="D10" s="413"/>
      <c r="E10" s="413"/>
      <c r="F10" s="413"/>
      <c r="G10" s="414"/>
    </row>
    <row r="11" spans="2:7" ht="19" customHeight="1" x14ac:dyDescent="0.35">
      <c r="B11" s="317" t="s">
        <v>16</v>
      </c>
      <c r="C11" s="412" t="s">
        <v>17</v>
      </c>
      <c r="D11" s="413"/>
      <c r="E11" s="413"/>
      <c r="F11" s="413"/>
      <c r="G11" s="414"/>
    </row>
    <row r="12" spans="2:7" ht="19" customHeight="1" x14ac:dyDescent="0.35">
      <c r="B12" s="317" t="s">
        <v>18</v>
      </c>
      <c r="C12" s="412" t="s">
        <v>19</v>
      </c>
      <c r="D12" s="413"/>
      <c r="E12" s="413"/>
      <c r="F12" s="413"/>
      <c r="G12" s="414"/>
    </row>
    <row r="13" spans="2:7" ht="22" customHeight="1" x14ac:dyDescent="0.35">
      <c r="B13" s="415" t="s">
        <v>20</v>
      </c>
      <c r="C13" s="411"/>
      <c r="D13" s="411"/>
      <c r="E13" s="411"/>
      <c r="F13" s="411"/>
      <c r="G13" s="411"/>
    </row>
    <row r="14" spans="2:7" ht="19" customHeight="1" x14ac:dyDescent="0.35">
      <c r="B14" s="318" t="s">
        <v>21</v>
      </c>
      <c r="D14" s="318" t="s">
        <v>22</v>
      </c>
      <c r="F14" s="318" t="s">
        <v>23</v>
      </c>
    </row>
    <row r="15" spans="2:7" ht="22" customHeight="1" x14ac:dyDescent="0.35">
      <c r="B15" s="415" t="s">
        <v>24</v>
      </c>
      <c r="C15" s="411"/>
      <c r="D15" s="411"/>
      <c r="E15" s="411"/>
      <c r="F15" s="411"/>
      <c r="G15" s="411"/>
    </row>
    <row r="16" spans="2:7" ht="19" customHeight="1" x14ac:dyDescent="0.35">
      <c r="B16" s="318" t="s">
        <v>25</v>
      </c>
      <c r="D16" s="318" t="s">
        <v>26</v>
      </c>
      <c r="F16" s="318" t="s">
        <v>27</v>
      </c>
    </row>
    <row r="17" spans="2:7" ht="19" customHeight="1" x14ac:dyDescent="0.35">
      <c r="B17" s="318" t="s">
        <v>28</v>
      </c>
      <c r="D17" s="318" t="s">
        <v>29</v>
      </c>
      <c r="F17" s="318" t="s">
        <v>30</v>
      </c>
    </row>
    <row r="18" spans="2:7" ht="19" customHeight="1" x14ac:dyDescent="0.35">
      <c r="B18" s="318" t="s">
        <v>31</v>
      </c>
      <c r="D18" s="318" t="s">
        <v>32</v>
      </c>
      <c r="F18" s="318" t="s">
        <v>33</v>
      </c>
    </row>
    <row r="19" spans="2:7" ht="19" customHeight="1" x14ac:dyDescent="0.35">
      <c r="B19" s="318" t="s">
        <v>34</v>
      </c>
      <c r="D19" s="318" t="s">
        <v>35</v>
      </c>
      <c r="F19" s="318" t="s">
        <v>36</v>
      </c>
    </row>
    <row r="20" spans="2:7" ht="19" customHeight="1" x14ac:dyDescent="0.35">
      <c r="B20" s="318" t="s">
        <v>37</v>
      </c>
    </row>
    <row r="21" spans="2:7" ht="22" customHeight="1" x14ac:dyDescent="0.35">
      <c r="B21" s="415" t="s">
        <v>38</v>
      </c>
      <c r="C21" s="411"/>
      <c r="D21" s="411"/>
      <c r="E21" s="411"/>
      <c r="F21" s="411"/>
      <c r="G21" s="411"/>
    </row>
    <row r="22" spans="2:7" ht="19" customHeight="1" x14ac:dyDescent="0.35">
      <c r="B22" s="318" t="s">
        <v>39</v>
      </c>
      <c r="D22" s="318" t="s">
        <v>40</v>
      </c>
    </row>
    <row r="23" spans="2:7" ht="22" customHeight="1" x14ac:dyDescent="0.35">
      <c r="B23" s="415" t="s">
        <v>41</v>
      </c>
      <c r="C23" s="411"/>
      <c r="D23" s="411"/>
      <c r="E23" s="411"/>
      <c r="F23" s="411"/>
      <c r="G23" s="411"/>
    </row>
    <row r="24" spans="2:7" ht="19" customHeight="1" x14ac:dyDescent="0.35">
      <c r="B24" s="318" t="s">
        <v>42</v>
      </c>
      <c r="D24" s="318" t="s">
        <v>43</v>
      </c>
      <c r="F24" s="318" t="s">
        <v>44</v>
      </c>
    </row>
    <row r="25" spans="2:7" ht="19" customHeight="1" x14ac:dyDescent="0.35">
      <c r="B25" s="318" t="s">
        <v>45</v>
      </c>
      <c r="D25" s="318" t="s">
        <v>46</v>
      </c>
      <c r="F25" s="318" t="s">
        <v>47</v>
      </c>
    </row>
    <row r="26" spans="2:7" ht="22" customHeight="1" x14ac:dyDescent="0.35">
      <c r="B26" s="415" t="s">
        <v>48</v>
      </c>
      <c r="C26" s="411"/>
      <c r="D26" s="411"/>
      <c r="E26" s="411"/>
      <c r="F26" s="411"/>
      <c r="G26" s="411"/>
    </row>
    <row r="27" spans="2:7" ht="19" customHeight="1" x14ac:dyDescent="0.35">
      <c r="B27" s="318" t="s">
        <v>49</v>
      </c>
      <c r="D27" s="318" t="s">
        <v>50</v>
      </c>
      <c r="F27" s="318" t="s">
        <v>51</v>
      </c>
    </row>
    <row r="28" spans="2:7" ht="19" customHeight="1" x14ac:dyDescent="0.35">
      <c r="B28" s="318" t="s">
        <v>52</v>
      </c>
      <c r="D28" s="318" t="s">
        <v>53</v>
      </c>
      <c r="F28" s="318" t="s">
        <v>54</v>
      </c>
    </row>
    <row r="29" spans="2:7" ht="19" customHeight="1" x14ac:dyDescent="0.35">
      <c r="B29" s="318" t="s">
        <v>55</v>
      </c>
      <c r="D29" s="318" t="s">
        <v>56</v>
      </c>
      <c r="F29" s="318" t="s">
        <v>57</v>
      </c>
    </row>
    <row r="30" spans="2:7" ht="19" customHeight="1" x14ac:dyDescent="0.35">
      <c r="B30" s="318" t="s">
        <v>58</v>
      </c>
      <c r="D30" s="318" t="s">
        <v>59</v>
      </c>
      <c r="F30" s="318" t="s">
        <v>60</v>
      </c>
    </row>
    <row r="31" spans="2:7" ht="22" customHeight="1" x14ac:dyDescent="0.35">
      <c r="B31" s="415" t="s">
        <v>61</v>
      </c>
      <c r="C31" s="411"/>
      <c r="D31" s="411"/>
      <c r="E31" s="411"/>
      <c r="F31" s="411"/>
      <c r="G31" s="411"/>
    </row>
    <row r="32" spans="2:7" ht="19" customHeight="1" x14ac:dyDescent="0.35">
      <c r="B32" s="318" t="s">
        <v>62</v>
      </c>
      <c r="D32" s="318" t="s">
        <v>63</v>
      </c>
      <c r="F32" s="318" t="s">
        <v>64</v>
      </c>
    </row>
    <row r="33" spans="2:7" ht="19" customHeight="1" x14ac:dyDescent="0.35">
      <c r="B33" s="318" t="s">
        <v>65</v>
      </c>
      <c r="D33" s="318" t="s">
        <v>66</v>
      </c>
      <c r="F33" s="318" t="s">
        <v>67</v>
      </c>
    </row>
    <row r="34" spans="2:7" ht="19" customHeight="1" x14ac:dyDescent="0.35">
      <c r="B34" s="318" t="s">
        <v>68</v>
      </c>
    </row>
    <row r="35" spans="2:7" ht="22" customHeight="1" x14ac:dyDescent="0.35">
      <c r="B35" s="415" t="s">
        <v>69</v>
      </c>
      <c r="C35" s="411"/>
      <c r="D35" s="411"/>
      <c r="E35" s="411"/>
      <c r="F35" s="411"/>
      <c r="G35" s="411"/>
    </row>
    <row r="36" spans="2:7" ht="19" customHeight="1" x14ac:dyDescent="0.35">
      <c r="B36" s="318" t="s">
        <v>70</v>
      </c>
      <c r="D36" s="318" t="s">
        <v>71</v>
      </c>
      <c r="F36" s="318" t="s">
        <v>72</v>
      </c>
    </row>
    <row r="37" spans="2:7" ht="19" customHeight="1" x14ac:dyDescent="0.35">
      <c r="B37" s="318" t="s">
        <v>73</v>
      </c>
      <c r="D37" s="318" t="s">
        <v>74</v>
      </c>
      <c r="F37" s="318" t="s">
        <v>75</v>
      </c>
    </row>
    <row r="38" spans="2:7" ht="19" customHeight="1" x14ac:dyDescent="0.35">
      <c r="B38" s="318" t="s">
        <v>76</v>
      </c>
    </row>
  </sheetData>
  <mergeCells count="18">
    <mergeCell ref="B31:G31"/>
    <mergeCell ref="B23:G23"/>
    <mergeCell ref="B1:G1"/>
    <mergeCell ref="C11:G11"/>
    <mergeCell ref="B35:G35"/>
    <mergeCell ref="C5:G5"/>
    <mergeCell ref="B26:G26"/>
    <mergeCell ref="B13:G13"/>
    <mergeCell ref="B21:G21"/>
    <mergeCell ref="C8:G8"/>
    <mergeCell ref="C9:G9"/>
    <mergeCell ref="B15:G15"/>
    <mergeCell ref="B3:G3"/>
    <mergeCell ref="C4:G4"/>
    <mergeCell ref="C7:G7"/>
    <mergeCell ref="C12:G12"/>
    <mergeCell ref="C6:G6"/>
    <mergeCell ref="C10:G10"/>
  </mergeCells>
  <hyperlinks>
    <hyperlink ref="B4" location="'อัปเดตราคาอลู'!A1" display="▶ อัปเดตราคาอลู" xr:uid="{00000000-0004-0000-0000-000000000000}"/>
    <hyperlink ref="B5" location="'ราคาสี'!A1" display="▶ ราคาสี" xr:uid="{00000000-0004-0000-0000-000001000000}"/>
    <hyperlink ref="B6" location="'ราคาวัสดุกลาง'!A1" display="▶ ราคาวัสดุกลาง" xr:uid="{00000000-0004-0000-0000-000002000000}"/>
    <hyperlink ref="B7" location="'ราคาวัสดุ'!A1" display="▶ ราคาวัสดุ" xr:uid="{00000000-0004-0000-0000-000003000000}"/>
    <hyperlink ref="B8" location="'ราคาออโต้'!A1" display="▶ ราคาออโต้" xr:uid="{00000000-0004-0000-0000-000004000000}"/>
    <hyperlink ref="B9" location="'ราคามุ้ง'!A1" display="▶ ราคามุ้ง" xr:uid="{00000000-0004-0000-0000-000005000000}"/>
    <hyperlink ref="B10" location="'ค่าแรง'!A1" display="▶ ค่าแรง" xr:uid="{00000000-0004-0000-0000-000006000000}"/>
    <hyperlink ref="B11" location="'น้ำหนักโปรไฟล์'!A1" display="▶ น้ำหนักโปรไฟล์" xr:uid="{00000000-0004-0000-0000-000007000000}"/>
    <hyperlink ref="B12" location="'ราคาสี'!A1" display="▶ รวมราคาโปรไฟล์" xr:uid="{00000000-0004-0000-0000-000008000000}"/>
    <hyperlink ref="B14" location="'หน้าตารางรวม'!A1" display="▶ หน้าตารางรวม" xr:uid="{00000000-0004-0000-0000-000009000000}"/>
    <hyperlink ref="D14" location="'สรุปงานเสริม'!A1" display="▶ สรุปงานเสริม" xr:uid="{00000000-0004-0000-0000-00000A000000}"/>
    <hyperlink ref="F14" location="'สรุปค่าแรง'!A1" display="▶ สรุปค่าแรง" xr:uid="{00000000-0004-0000-0000-00000B000000}"/>
    <hyperlink ref="B16" location="'คิดทุน SMS'!A1" display="▶ SMS" xr:uid="{00000000-0004-0000-0000-00000C000000}"/>
    <hyperlink ref="D16" location="'คิดทุน ยูโร'!A1" display="▶ ยูโร" xr:uid="{00000000-0004-0000-0000-00000D000000}"/>
    <hyperlink ref="F16" location="'คิดทุน SlimLux'!A1" display="▶ SlimLux" xr:uid="{00000000-0004-0000-0000-00000E000000}"/>
    <hyperlink ref="B17" location="'คิดทุน Velora'!A1" display="▶ Velora" xr:uid="{00000000-0004-0000-0000-00000F000000}"/>
    <hyperlink ref="D17" location="'คิดทุน E-series'!A1" display="▶ E-series" xr:uid="{00000000-0004-0000-0000-000010000000}"/>
    <hyperlink ref="F17" location="'คิดทุน บานเปิด'!A1" display="▶ บานเปิด" xr:uid="{00000000-0004-0000-0000-000011000000}"/>
    <hyperlink ref="B18" location="'คิดทุน PC Door'!A1" display="▶ PC Door" xr:uid="{00000000-0004-0000-0000-000012000000}"/>
    <hyperlink ref="D18" location="'คิดทุน กระทุ้ง'!A1" display="▶ กระทุ้ง" xr:uid="{00000000-0004-0000-0000-000013000000}"/>
    <hyperlink ref="F18" location="'คิดทุน บานยก'!A1" display="▶ บานยก" xr:uid="{00000000-0004-0000-0000-000014000000}"/>
    <hyperlink ref="B19" location="'คิดทุน เฟี้ยม'!A1" display="▶ เฟี้ยม" xr:uid="{00000000-0004-0000-0000-000015000000}"/>
    <hyperlink ref="D19" location="'คิดทุน เฟี้ยมยูโร'!A1" display="▶ เฟี้ยมยูโร" xr:uid="{00000000-0004-0000-0000-000016000000}"/>
    <hyperlink ref="F19" location="'คิดทุน ติดตาย'!A1" display="▶ ติดตาย" xr:uid="{00000000-0004-0000-0000-000017000000}"/>
    <hyperlink ref="B20" location="'คิดทุน บานเลื่อนรางบน'!A1" display="▶ บานเลื่อนรางบน" xr:uid="{00000000-0004-0000-0000-000018000000}"/>
    <hyperlink ref="B22" location="'คิดทุน ตายดัดโค้ง'!A1" display="▶ ตายดัดโค้ง" xr:uid="{00000000-0004-0000-0000-000019000000}"/>
    <hyperlink ref="D22" location="'คิดทุน เปิดดัดโค้ง'!A1" display="▶ เปิดดัดโค้ง" xr:uid="{00000000-0004-0000-0000-00001A000000}"/>
    <hyperlink ref="B24" location="'คิดทุน ระแนง'!A1" display="▶ ระแนง" xr:uid="{00000000-0004-0000-0000-00001B000000}"/>
    <hyperlink ref="D24" location="'คิดทุน ระแนงสลับ'!A1" display="▶ ระแนงสลับ" xr:uid="{00000000-0004-0000-0000-00001C000000}"/>
    <hyperlink ref="F24" location="'ระแนงสลับ_ประตู'!A1" display="▶ ระแนงสลับ_ประตู" xr:uid="{00000000-0004-0000-0000-00001D000000}"/>
    <hyperlink ref="B25" location="'คิดทุน ประตูรั้ว'!A1" display="▶ ประตูรั้ว" xr:uid="{00000000-0004-0000-0000-00001E000000}"/>
    <hyperlink ref="D25" location="'คิดทุน บานเกล็ด'!A1" display="▶ บานเกล็ด" xr:uid="{00000000-0004-0000-0000-00001F000000}"/>
    <hyperlink ref="F25" location="'คิดทุน ระแนงหมุน'!A1" display="▶ ระแนงหมุน" xr:uid="{00000000-0004-0000-0000-000020000000}"/>
    <hyperlink ref="B27" location="'คิดทุน หลังคา (รวม)'!A1" display="▶ หลังคา (รวม)" xr:uid="{00000000-0004-0000-0000-000021000000}"/>
    <hyperlink ref="D27" location="'คิดทุน หลังคา'!A1" display="▶ หลังคา" xr:uid="{00000000-0004-0000-0000-000022000000}"/>
    <hyperlink ref="F27" location="'คิดทุน หลังคาจั่ว'!A1" display="▶ หลังคาจั่ว" xr:uid="{00000000-0004-0000-0000-000023000000}"/>
    <hyperlink ref="B28" location="'คิดทุน หลังคาเลื่อน'!A1" display="▶ หลังคาเลื่อน" xr:uid="{00000000-0004-0000-0000-000024000000}"/>
    <hyperlink ref="D28" location="'ทุนไวนิล'!A1" display="▶ ทุนไวนิล" xr:uid="{00000000-0004-0000-0000-000025000000}"/>
    <hyperlink ref="F28" location="'ทุนดีไลท์'!A1" display="▶ ทุนดีไลท์" xr:uid="{00000000-0004-0000-0000-000026000000}"/>
    <hyperlink ref="B29" location="'ทุนโพลีตัน'!A1" display="▶ ทุนโพลีตัน" xr:uid="{00000000-0004-0000-0000-000027000000}"/>
    <hyperlink ref="D29" location="'ทุนชินโคร์ HC'!A1" display="▶ ทุนชินโคร์ HC" xr:uid="{00000000-0004-0000-0000-000028000000}"/>
    <hyperlink ref="F29" location="'ทุนชินโคร์ Sup'!A1" display="▶ ทุนชินโคร์ Sup" xr:uid="{00000000-0004-0000-0000-000029000000}"/>
    <hyperlink ref="B30" location="'ทุนเมทัลชีท'!A1" display="▶ ทุนเมทัลชีท" xr:uid="{00000000-0004-0000-0000-00002A000000}"/>
    <hyperlink ref="D30" location="'ทุนกระจก 4+4'!A1" display="▶ ทุนกระจก 4+4" xr:uid="{00000000-0004-0000-0000-00002B000000}"/>
    <hyperlink ref="F30" location="'ทุนกระจก 5+5'!A1" display="▶ ทุนกระจก 5+5" xr:uid="{00000000-0004-0000-0000-00002C000000}"/>
    <hyperlink ref="B32" location="'ฝ้ายิปซัม'!A1" display="▶ ฝ้ายิปซัม" xr:uid="{00000000-0004-0000-0000-00002D000000}"/>
    <hyperlink ref="D32" location="'สมาร์ทบอร์ด'!A1" display="▶ สมาร์ทบอร์ด" xr:uid="{00000000-0004-0000-0000-00002E000000}"/>
    <hyperlink ref="F32" location="'ไอโซวอล'!A1" display="▶ ไอโซวอล" xr:uid="{00000000-0004-0000-0000-00002F000000}"/>
    <hyperlink ref="B33" location="'งานไฟ'!A1" display="▶ งานไฟ" xr:uid="{00000000-0004-0000-0000-000030000000}"/>
    <hyperlink ref="D33" location="'คิดทุนฝ้าไม้เทียม'!A1" display="▶ ฝ้าไม้เทียม" xr:uid="{00000000-0004-0000-0000-000031000000}"/>
    <hyperlink ref="F33" location="'LUT_ฝ้าไม้เทียม'!A1" display="▶ LUT_ฝ้าไม้เทียม" xr:uid="{00000000-0004-0000-0000-000032000000}"/>
    <hyperlink ref="B34" location="'สีฝ้าไม้เทียม'!A1" display="▶ สีฝ้าไม้เทียม" xr:uid="{00000000-0004-0000-0000-000033000000}"/>
    <hyperlink ref="B36" location="'เทียบ R3.9 SMS'!A1" display="▶ เทียบ R3.9 SMS" xr:uid="{00000000-0004-0000-0000-000034000000}"/>
    <hyperlink ref="D36" location="'เทียบ R3.9 ยูโร'!A1" display="▶ เทียบ R3.9 ยูโร" xr:uid="{00000000-0004-0000-0000-000035000000}"/>
    <hyperlink ref="F36" location="'เทียบ E-series'!A1" display="▶ เทียบ E-series" xr:uid="{00000000-0004-0000-0000-000036000000}"/>
    <hyperlink ref="B37" location="'เทียบ เฟี้ยมยูโร'!A1" display="▶ เทียบ เฟี้ยมยูโร" xr:uid="{00000000-0004-0000-0000-000037000000}"/>
    <hyperlink ref="D37" location="'เทียบ R3.9'!A1" display="▶ เทียบ R3.9" xr:uid="{00000000-0004-0000-0000-000038000000}"/>
    <hyperlink ref="F37" location="'log กระจก'!A1" display="▶ log กระจก" xr:uid="{00000000-0004-0000-0000-000039000000}"/>
    <hyperlink ref="B38" location="'เช็กขนาดกระจก'!A1" display="▶ เช็กขนาดกระจก" xr:uid="{00000000-0004-0000-0000-00003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22"/>
  <sheetViews>
    <sheetView workbookViewId="0"/>
  </sheetViews>
  <sheetFormatPr defaultRowHeight="14.5" x14ac:dyDescent="0.35"/>
  <cols>
    <col min="1" max="1" width="46" customWidth="1"/>
    <col min="2" max="2" width="28.453125" customWidth="1"/>
    <col min="3" max="4" width="46" customWidth="1"/>
    <col min="6" max="6" width="34.26953125" customWidth="1"/>
    <col min="7" max="7" width="13" customWidth="1"/>
  </cols>
  <sheetData>
    <row r="1" spans="1:8" ht="15.5" x14ac:dyDescent="0.35">
      <c r="A1" s="402" t="s">
        <v>77</v>
      </c>
      <c r="B1" s="319"/>
      <c r="G1" s="388" t="s">
        <v>78</v>
      </c>
      <c r="H1" s="389"/>
    </row>
    <row r="3" spans="1:8" x14ac:dyDescent="0.35">
      <c r="A3" s="236" t="s">
        <v>79</v>
      </c>
      <c r="B3" s="236" t="s">
        <v>80</v>
      </c>
      <c r="C3" s="236" t="s">
        <v>81</v>
      </c>
      <c r="D3" s="236" t="s">
        <v>82</v>
      </c>
      <c r="F3" t="s">
        <v>83</v>
      </c>
    </row>
    <row r="4" spans="1:8" x14ac:dyDescent="0.35">
      <c r="A4" t="s">
        <v>84</v>
      </c>
      <c r="B4" s="193">
        <v>187</v>
      </c>
      <c r="C4">
        <f>B4/F4</f>
        <v>1</v>
      </c>
      <c r="D4" t="s">
        <v>85</v>
      </c>
      <c r="F4">
        <v>187</v>
      </c>
    </row>
    <row r="5" spans="1:8" x14ac:dyDescent="0.35">
      <c r="A5" t="s">
        <v>86</v>
      </c>
      <c r="B5" s="193">
        <v>187</v>
      </c>
      <c r="C5">
        <f>B5/F5</f>
        <v>1</v>
      </c>
      <c r="D5" t="s">
        <v>87</v>
      </c>
      <c r="F5">
        <v>187</v>
      </c>
    </row>
    <row r="6" spans="1:8" x14ac:dyDescent="0.35">
      <c r="A6" t="s">
        <v>88</v>
      </c>
      <c r="B6" s="193">
        <v>170</v>
      </c>
      <c r="C6">
        <f>B6/F6</f>
        <v>1</v>
      </c>
      <c r="D6" t="s">
        <v>88</v>
      </c>
      <c r="F6">
        <v>170</v>
      </c>
    </row>
    <row r="7" spans="1:8" x14ac:dyDescent="0.35">
      <c r="A7" t="s">
        <v>89</v>
      </c>
      <c r="B7" s="193">
        <v>240</v>
      </c>
      <c r="C7">
        <f>B7/F7</f>
        <v>1</v>
      </c>
      <c r="D7" t="s">
        <v>89</v>
      </c>
      <c r="F7">
        <v>240</v>
      </c>
    </row>
    <row r="8" spans="1:8" x14ac:dyDescent="0.35">
      <c r="A8" t="s">
        <v>90</v>
      </c>
      <c r="B8" s="193">
        <v>188</v>
      </c>
      <c r="C8">
        <f>B8/F8</f>
        <v>1</v>
      </c>
      <c r="D8" t="s">
        <v>91</v>
      </c>
      <c r="F8">
        <v>188</v>
      </c>
    </row>
    <row r="10" spans="1:8" x14ac:dyDescent="0.35">
      <c r="A10" t="s">
        <v>92</v>
      </c>
    </row>
    <row r="12" spans="1:8" x14ac:dyDescent="0.35">
      <c r="A12" t="s">
        <v>93</v>
      </c>
    </row>
    <row r="13" spans="1:8" x14ac:dyDescent="0.35">
      <c r="A13" t="s">
        <v>94</v>
      </c>
      <c r="B13">
        <v>100</v>
      </c>
      <c r="C13" s="320" t="s">
        <v>95</v>
      </c>
    </row>
    <row r="14" spans="1:8" x14ac:dyDescent="0.35">
      <c r="A14" t="s">
        <v>96</v>
      </c>
      <c r="B14">
        <v>173</v>
      </c>
      <c r="C14" s="320" t="s">
        <v>97</v>
      </c>
    </row>
    <row r="15" spans="1:8" x14ac:dyDescent="0.35">
      <c r="A15" t="s">
        <v>98</v>
      </c>
      <c r="B15">
        <v>190</v>
      </c>
      <c r="C15" s="320" t="s">
        <v>99</v>
      </c>
    </row>
    <row r="16" spans="1:8" x14ac:dyDescent="0.35">
      <c r="A16" t="s">
        <v>100</v>
      </c>
      <c r="B16">
        <v>112.5</v>
      </c>
      <c r="C16" s="320" t="s">
        <v>101</v>
      </c>
    </row>
    <row r="17" spans="1:6" x14ac:dyDescent="0.35">
      <c r="A17" t="s">
        <v>102</v>
      </c>
    </row>
    <row r="19" spans="1:6" x14ac:dyDescent="0.35">
      <c r="A19" s="321" t="s">
        <v>103</v>
      </c>
    </row>
    <row r="20" spans="1:6" x14ac:dyDescent="0.35">
      <c r="A20" t="s">
        <v>104</v>
      </c>
      <c r="B20" s="193">
        <v>277</v>
      </c>
      <c r="C20" s="322">
        <f>B20/F20</f>
        <v>1</v>
      </c>
      <c r="D20" s="320" t="s">
        <v>105</v>
      </c>
      <c r="F20">
        <v>277</v>
      </c>
    </row>
    <row r="22" spans="1:6" ht="22" customHeight="1" x14ac:dyDescent="0.35">
      <c r="A22" s="403"/>
    </row>
  </sheetData>
  <hyperlinks>
    <hyperlink ref="G1" location="'สารบัญ'!A1" display="🏠 สารบัญ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193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6" customWidth="1"/>
    <col min="3" max="3" width="31.26953125" customWidth="1"/>
    <col min="4" max="4" width="12" customWidth="1"/>
    <col min="5" max="5" width="17.453125" customWidth="1"/>
    <col min="6" max="6" width="19.08984375" customWidth="1"/>
    <col min="7" max="7" width="13" customWidth="1"/>
    <col min="8" max="8" width="46" customWidth="1"/>
    <col min="9" max="9" width="24.26953125" customWidth="1"/>
    <col min="10" max="10" width="20.08984375" customWidth="1"/>
    <col min="11" max="11" width="24.90625" customWidth="1"/>
    <col min="12" max="12" width="46" customWidth="1"/>
    <col min="13" max="13" width="21.453125" customWidth="1"/>
    <col min="14" max="14" width="24.26953125" customWidth="1"/>
  </cols>
  <sheetData>
    <row r="1" spans="1:14" ht="15.5" x14ac:dyDescent="0.35">
      <c r="A1" s="417" t="s">
        <v>106</v>
      </c>
      <c r="B1" s="411"/>
      <c r="C1" s="411"/>
      <c r="D1" s="411"/>
      <c r="E1" s="411"/>
      <c r="F1" s="411"/>
      <c r="G1" s="388" t="s">
        <v>78</v>
      </c>
      <c r="H1" s="391" t="s">
        <v>107</v>
      </c>
      <c r="L1" s="357" t="s">
        <v>108</v>
      </c>
    </row>
    <row r="2" spans="1:14" ht="29" x14ac:dyDescent="0.35">
      <c r="A2" s="125" t="s">
        <v>109</v>
      </c>
      <c r="B2" s="125" t="s">
        <v>110</v>
      </c>
      <c r="C2" s="125" t="s">
        <v>111</v>
      </c>
      <c r="D2" s="125" t="s">
        <v>112</v>
      </c>
      <c r="E2" s="125" t="s">
        <v>94</v>
      </c>
      <c r="F2" s="125" t="s">
        <v>113</v>
      </c>
      <c r="H2" s="340" t="s">
        <v>114</v>
      </c>
      <c r="I2" s="340" t="s">
        <v>115</v>
      </c>
      <c r="J2" s="340" t="s">
        <v>116</v>
      </c>
      <c r="K2" s="399" t="s">
        <v>117</v>
      </c>
      <c r="L2" s="266" t="s">
        <v>118</v>
      </c>
      <c r="M2" s="266" t="s">
        <v>119</v>
      </c>
      <c r="N2" s="399" t="s">
        <v>120</v>
      </c>
    </row>
    <row r="3" spans="1:14" x14ac:dyDescent="0.35">
      <c r="A3" s="128" t="s">
        <v>121</v>
      </c>
      <c r="B3" s="126" t="s">
        <v>122</v>
      </c>
      <c r="C3" s="126" t="s">
        <v>123</v>
      </c>
      <c r="D3" s="131">
        <v>1125</v>
      </c>
      <c r="E3" s="131">
        <v>1225</v>
      </c>
      <c r="F3" s="131">
        <v>1825</v>
      </c>
      <c r="H3" s="341">
        <f t="shared" ref="H3:H34" si="0">IF(ISNUMBER(SEARCH("เมืองทอง",C3)),mult_mtong,IF(ISNUMBER(SEARCH("SlimLux",C3)),mult_slim,IF(ISNUMBER(SEARCH("Velora",C3)),mult_velora,IF(ISNUMBER(SEARCH("Fuji",C3)),mult_euro,mult_sms))))</f>
        <v>1</v>
      </c>
      <c r="I3" s="327">
        <f t="shared" ref="I3:I34" si="1">ROUND(D3*H3,0)</f>
        <v>1125</v>
      </c>
      <c r="J3" s="327">
        <f t="shared" ref="J3:J34" si="2">ROUND(E3*H3,0)</f>
        <v>1225</v>
      </c>
      <c r="K3" s="406">
        <f t="shared" ref="K3:K34" si="3">ROUND(F3*mult_wood,0)</f>
        <v>1825</v>
      </c>
      <c r="L3" s="358">
        <f>ROUND(D3/(IF(ISNUMBER(SEARCH("เมืองทอง",C3)),อัปเดตราคาอลู!$F$8,IF(ISNUMBER(SEARCH("SlimLux",C3)),อัปเดตราคาอลู!$F$6,IF(ISNUMBER(SEARCH("Velora",C3)),อัปเดตราคาอลู!$F$7,IF(ISNUMBER(SEARCH("Fuji",C3)),อัปเดตราคาอลู!$F$5,อัปเดตราคาอลู!$F$4))))),3)</f>
        <v>6.016</v>
      </c>
      <c r="M3" s="358">
        <f t="shared" ref="M3:M34" si="4">ROUND(K3/(IF(OR(ISNUMBER(SEARCH("เมืองทอง",C3)),ISNUMBER(SEARCH("SlimLux",C3)),ISNUMBER(SEARCH("Velora",C3))),6,6.4)),3)</f>
        <v>285.15600000000001</v>
      </c>
      <c r="N3" s="400">
        <f t="shared" ref="N3:N34" si="5">ROUND(I3-D3,0)</f>
        <v>0</v>
      </c>
    </row>
    <row r="4" spans="1:14" x14ac:dyDescent="0.35">
      <c r="A4" s="128" t="s">
        <v>124</v>
      </c>
      <c r="B4" s="126" t="s">
        <v>125</v>
      </c>
      <c r="C4" s="126" t="s">
        <v>123</v>
      </c>
      <c r="D4" s="131">
        <v>1205</v>
      </c>
      <c r="E4" s="131">
        <v>1310</v>
      </c>
      <c r="F4" s="131">
        <v>1925</v>
      </c>
      <c r="H4" s="341">
        <f t="shared" si="0"/>
        <v>1</v>
      </c>
      <c r="I4" s="327">
        <f t="shared" si="1"/>
        <v>1205</v>
      </c>
      <c r="J4" s="327">
        <f t="shared" si="2"/>
        <v>1310</v>
      </c>
      <c r="K4" s="406">
        <f t="shared" si="3"/>
        <v>1925</v>
      </c>
      <c r="L4" s="358">
        <f>ROUND(D4/(IF(ISNUMBER(SEARCH("เมืองทอง",C4)),อัปเดตราคาอลู!$F$8,IF(ISNUMBER(SEARCH("SlimLux",C4)),อัปเดตราคาอลู!$F$6,IF(ISNUMBER(SEARCH("Velora",C4)),อัปเดตราคาอลู!$F$7,IF(ISNUMBER(SEARCH("Fuji",C4)),อัปเดตราคาอลู!$F$5,อัปเดตราคาอลู!$F$4))))),3)</f>
        <v>6.444</v>
      </c>
      <c r="M4" s="358">
        <f t="shared" si="4"/>
        <v>300.78100000000001</v>
      </c>
      <c r="N4" s="400">
        <f t="shared" si="5"/>
        <v>0</v>
      </c>
    </row>
    <row r="5" spans="1:14" x14ac:dyDescent="0.35">
      <c r="A5" s="128" t="s">
        <v>126</v>
      </c>
      <c r="B5" s="126" t="s">
        <v>127</v>
      </c>
      <c r="C5" s="126" t="s">
        <v>123</v>
      </c>
      <c r="D5" s="131">
        <v>870</v>
      </c>
      <c r="E5" s="131">
        <v>950</v>
      </c>
      <c r="F5" s="131">
        <v>1395</v>
      </c>
      <c r="H5" s="341">
        <f t="shared" si="0"/>
        <v>1</v>
      </c>
      <c r="I5" s="327">
        <f t="shared" si="1"/>
        <v>870</v>
      </c>
      <c r="J5" s="327">
        <f t="shared" si="2"/>
        <v>950</v>
      </c>
      <c r="K5" s="406">
        <f t="shared" si="3"/>
        <v>1395</v>
      </c>
      <c r="L5" s="358">
        <f>ROUND(D5/(IF(ISNUMBER(SEARCH("เมืองทอง",C5)),อัปเดตราคาอลู!$F$8,IF(ISNUMBER(SEARCH("SlimLux",C5)),อัปเดตราคาอลู!$F$6,IF(ISNUMBER(SEARCH("Velora",C5)),อัปเดตราคาอลู!$F$7,IF(ISNUMBER(SEARCH("Fuji",C5)),อัปเดตราคาอลู!$F$5,อัปเดตราคาอลู!$F$4))))),3)</f>
        <v>4.6520000000000001</v>
      </c>
      <c r="M5" s="358">
        <f t="shared" si="4"/>
        <v>217.96899999999999</v>
      </c>
      <c r="N5" s="400">
        <f t="shared" si="5"/>
        <v>0</v>
      </c>
    </row>
    <row r="6" spans="1:14" x14ac:dyDescent="0.35">
      <c r="A6" s="128" t="s">
        <v>128</v>
      </c>
      <c r="B6" s="126" t="s">
        <v>129</v>
      </c>
      <c r="C6" s="126" t="s">
        <v>123</v>
      </c>
      <c r="D6" s="131">
        <v>870</v>
      </c>
      <c r="E6" s="131">
        <v>950</v>
      </c>
      <c r="F6" s="131">
        <v>1395</v>
      </c>
      <c r="H6" s="341">
        <f t="shared" si="0"/>
        <v>1</v>
      </c>
      <c r="I6" s="327">
        <f t="shared" si="1"/>
        <v>870</v>
      </c>
      <c r="J6" s="327">
        <f t="shared" si="2"/>
        <v>950</v>
      </c>
      <c r="K6" s="406">
        <f t="shared" si="3"/>
        <v>1395</v>
      </c>
      <c r="L6" s="358">
        <f>ROUND(D6/(IF(ISNUMBER(SEARCH("เมืองทอง",C6)),อัปเดตราคาอลู!$F$8,IF(ISNUMBER(SEARCH("SlimLux",C6)),อัปเดตราคาอลู!$F$6,IF(ISNUMBER(SEARCH("Velora",C6)),อัปเดตราคาอลู!$F$7,IF(ISNUMBER(SEARCH("Fuji",C6)),อัปเดตราคาอลู!$F$5,อัปเดตราคาอลู!$F$4))))),3)</f>
        <v>4.6520000000000001</v>
      </c>
      <c r="M6" s="358">
        <f t="shared" si="4"/>
        <v>217.96899999999999</v>
      </c>
      <c r="N6" s="400">
        <f t="shared" si="5"/>
        <v>0</v>
      </c>
    </row>
    <row r="7" spans="1:14" x14ac:dyDescent="0.35">
      <c r="A7" s="128" t="s">
        <v>130</v>
      </c>
      <c r="B7" s="126" t="s">
        <v>131</v>
      </c>
      <c r="C7" s="126" t="s">
        <v>123</v>
      </c>
      <c r="D7" s="131">
        <v>660</v>
      </c>
      <c r="E7" s="131">
        <v>725</v>
      </c>
      <c r="F7" s="131">
        <v>1065</v>
      </c>
      <c r="H7" s="341">
        <f t="shared" si="0"/>
        <v>1</v>
      </c>
      <c r="I7" s="327">
        <f t="shared" si="1"/>
        <v>660</v>
      </c>
      <c r="J7" s="327">
        <f t="shared" si="2"/>
        <v>725</v>
      </c>
      <c r="K7" s="406">
        <f t="shared" si="3"/>
        <v>1065</v>
      </c>
      <c r="L7" s="358">
        <f>ROUND(D7/(IF(ISNUMBER(SEARCH("เมืองทอง",C7)),อัปเดตราคาอลู!$F$8,IF(ISNUMBER(SEARCH("SlimLux",C7)),อัปเดตราคาอลู!$F$6,IF(ISNUMBER(SEARCH("Velora",C7)),อัปเดตราคาอลู!$F$7,IF(ISNUMBER(SEARCH("Fuji",C7)),อัปเดตราคาอลู!$F$5,อัปเดตราคาอลู!$F$4))))),3)</f>
        <v>3.5289999999999999</v>
      </c>
      <c r="M7" s="358">
        <f t="shared" si="4"/>
        <v>166.40600000000001</v>
      </c>
      <c r="N7" s="400">
        <f t="shared" si="5"/>
        <v>0</v>
      </c>
    </row>
    <row r="8" spans="1:14" x14ac:dyDescent="0.35">
      <c r="A8" s="128" t="s">
        <v>132</v>
      </c>
      <c r="B8" s="126" t="s">
        <v>133</v>
      </c>
      <c r="C8" s="126" t="s">
        <v>123</v>
      </c>
      <c r="D8" s="131">
        <v>1125</v>
      </c>
      <c r="E8" s="131">
        <v>1225</v>
      </c>
      <c r="F8" s="131">
        <v>1800</v>
      </c>
      <c r="H8" s="341">
        <f t="shared" si="0"/>
        <v>1</v>
      </c>
      <c r="I8" s="327">
        <f t="shared" si="1"/>
        <v>1125</v>
      </c>
      <c r="J8" s="327">
        <f t="shared" si="2"/>
        <v>1225</v>
      </c>
      <c r="K8" s="406">
        <f t="shared" si="3"/>
        <v>1800</v>
      </c>
      <c r="L8" s="358">
        <f>ROUND(D8/(IF(ISNUMBER(SEARCH("เมืองทอง",C8)),อัปเดตราคาอลู!$F$8,IF(ISNUMBER(SEARCH("SlimLux",C8)),อัปเดตราคาอลู!$F$6,IF(ISNUMBER(SEARCH("Velora",C8)),อัปเดตราคาอลู!$F$7,IF(ISNUMBER(SEARCH("Fuji",C8)),อัปเดตราคาอลู!$F$5,อัปเดตราคาอลู!$F$4))))),3)</f>
        <v>6.016</v>
      </c>
      <c r="M8" s="358">
        <f t="shared" si="4"/>
        <v>281.25</v>
      </c>
      <c r="N8" s="400">
        <f t="shared" si="5"/>
        <v>0</v>
      </c>
    </row>
    <row r="9" spans="1:14" x14ac:dyDescent="0.35">
      <c r="A9" s="128" t="s">
        <v>134</v>
      </c>
      <c r="B9" s="126" t="s">
        <v>135</v>
      </c>
      <c r="C9" s="126" t="s">
        <v>123</v>
      </c>
      <c r="D9" s="131">
        <v>690</v>
      </c>
      <c r="E9" s="131">
        <v>750</v>
      </c>
      <c r="F9" s="131">
        <v>1105</v>
      </c>
      <c r="H9" s="341">
        <f t="shared" si="0"/>
        <v>1</v>
      </c>
      <c r="I9" s="327">
        <f t="shared" si="1"/>
        <v>690</v>
      </c>
      <c r="J9" s="327">
        <f t="shared" si="2"/>
        <v>750</v>
      </c>
      <c r="K9" s="406">
        <f t="shared" si="3"/>
        <v>1105</v>
      </c>
      <c r="L9" s="358">
        <f>ROUND(D9/(IF(ISNUMBER(SEARCH("เมืองทอง",C9)),อัปเดตราคาอลู!$F$8,IF(ISNUMBER(SEARCH("SlimLux",C9)),อัปเดตราคาอลู!$F$6,IF(ISNUMBER(SEARCH("Velora",C9)),อัปเดตราคาอลู!$F$7,IF(ISNUMBER(SEARCH("Fuji",C9)),อัปเดตราคาอลู!$F$5,อัปเดตราคาอลู!$F$4))))),3)</f>
        <v>3.69</v>
      </c>
      <c r="M9" s="358">
        <f t="shared" si="4"/>
        <v>172.65600000000001</v>
      </c>
      <c r="N9" s="400">
        <f t="shared" si="5"/>
        <v>0</v>
      </c>
    </row>
    <row r="10" spans="1:14" x14ac:dyDescent="0.35">
      <c r="A10" s="128" t="s">
        <v>136</v>
      </c>
      <c r="B10" s="126" t="s">
        <v>137</v>
      </c>
      <c r="C10" s="126" t="s">
        <v>123</v>
      </c>
      <c r="D10" s="131">
        <v>1235</v>
      </c>
      <c r="E10" s="131">
        <v>1345</v>
      </c>
      <c r="F10" s="131">
        <v>1975</v>
      </c>
      <c r="H10" s="341">
        <f t="shared" si="0"/>
        <v>1</v>
      </c>
      <c r="I10" s="327">
        <f t="shared" si="1"/>
        <v>1235</v>
      </c>
      <c r="J10" s="327">
        <f t="shared" si="2"/>
        <v>1345</v>
      </c>
      <c r="K10" s="406">
        <f t="shared" si="3"/>
        <v>1975</v>
      </c>
      <c r="L10" s="358">
        <f>ROUND(D10/(IF(ISNUMBER(SEARCH("เมืองทอง",C10)),อัปเดตราคาอลู!$F$8,IF(ISNUMBER(SEARCH("SlimLux",C10)),อัปเดตราคาอลู!$F$6,IF(ISNUMBER(SEARCH("Velora",C10)),อัปเดตราคาอลู!$F$7,IF(ISNUMBER(SEARCH("Fuji",C10)),อัปเดตราคาอลู!$F$5,อัปเดตราคาอลู!$F$4))))),3)</f>
        <v>6.6040000000000001</v>
      </c>
      <c r="M10" s="358">
        <f t="shared" si="4"/>
        <v>308.59399999999999</v>
      </c>
      <c r="N10" s="400">
        <f t="shared" si="5"/>
        <v>0</v>
      </c>
    </row>
    <row r="11" spans="1:14" x14ac:dyDescent="0.35">
      <c r="A11" s="128" t="s">
        <v>138</v>
      </c>
      <c r="B11" s="126" t="s">
        <v>139</v>
      </c>
      <c r="C11" s="126" t="s">
        <v>123</v>
      </c>
      <c r="D11" s="131">
        <v>175</v>
      </c>
      <c r="E11" s="131">
        <v>190</v>
      </c>
      <c r="F11" s="131">
        <v>280</v>
      </c>
      <c r="H11" s="341">
        <f t="shared" si="0"/>
        <v>1</v>
      </c>
      <c r="I11" s="327">
        <f t="shared" si="1"/>
        <v>175</v>
      </c>
      <c r="J11" s="327">
        <f t="shared" si="2"/>
        <v>190</v>
      </c>
      <c r="K11" s="406">
        <f t="shared" si="3"/>
        <v>280</v>
      </c>
      <c r="L11" s="358">
        <f>ROUND(D11/(IF(ISNUMBER(SEARCH("เมืองทอง",C11)),อัปเดตราคาอลู!$F$8,IF(ISNUMBER(SEARCH("SlimLux",C11)),อัปเดตราคาอลู!$F$6,IF(ISNUMBER(SEARCH("Velora",C11)),อัปเดตราคาอลู!$F$7,IF(ISNUMBER(SEARCH("Fuji",C11)),อัปเดตราคาอลู!$F$5,อัปเดตราคาอลู!$F$4))))),3)</f>
        <v>0.93600000000000005</v>
      </c>
      <c r="M11" s="358">
        <f t="shared" si="4"/>
        <v>43.75</v>
      </c>
      <c r="N11" s="400">
        <f t="shared" si="5"/>
        <v>0</v>
      </c>
    </row>
    <row r="12" spans="1:14" x14ac:dyDescent="0.35">
      <c r="A12" s="128" t="s">
        <v>140</v>
      </c>
      <c r="B12" s="126" t="s">
        <v>141</v>
      </c>
      <c r="C12" s="126" t="s">
        <v>123</v>
      </c>
      <c r="D12" s="131">
        <v>185</v>
      </c>
      <c r="E12" s="131">
        <v>200</v>
      </c>
      <c r="F12" s="131">
        <v>295</v>
      </c>
      <c r="H12" s="341">
        <f t="shared" si="0"/>
        <v>1</v>
      </c>
      <c r="I12" s="327">
        <f t="shared" si="1"/>
        <v>185</v>
      </c>
      <c r="J12" s="327">
        <f t="shared" si="2"/>
        <v>200</v>
      </c>
      <c r="K12" s="406">
        <f t="shared" si="3"/>
        <v>295</v>
      </c>
      <c r="L12" s="358">
        <f>ROUND(D12/(IF(ISNUMBER(SEARCH("เมืองทอง",C12)),อัปเดตราคาอลู!$F$8,IF(ISNUMBER(SEARCH("SlimLux",C12)),อัปเดตราคาอลู!$F$6,IF(ISNUMBER(SEARCH("Velora",C12)),อัปเดตราคาอลู!$F$7,IF(ISNUMBER(SEARCH("Fuji",C12)),อัปเดตราคาอลู!$F$5,อัปเดตราคาอลู!$F$4))))),3)</f>
        <v>0.98899999999999999</v>
      </c>
      <c r="M12" s="358">
        <f t="shared" si="4"/>
        <v>46.094000000000001</v>
      </c>
      <c r="N12" s="400">
        <f t="shared" si="5"/>
        <v>0</v>
      </c>
    </row>
    <row r="13" spans="1:14" x14ac:dyDescent="0.35">
      <c r="A13" s="128" t="s">
        <v>142</v>
      </c>
      <c r="B13" s="126" t="s">
        <v>143</v>
      </c>
      <c r="C13" s="126" t="s">
        <v>123</v>
      </c>
      <c r="D13" s="131">
        <v>2070</v>
      </c>
      <c r="E13" s="131">
        <v>2255</v>
      </c>
      <c r="F13" s="131">
        <v>3424</v>
      </c>
      <c r="H13" s="341">
        <f t="shared" si="0"/>
        <v>1</v>
      </c>
      <c r="I13" s="327">
        <f t="shared" si="1"/>
        <v>2070</v>
      </c>
      <c r="J13" s="327">
        <f t="shared" si="2"/>
        <v>2255</v>
      </c>
      <c r="K13" s="406">
        <f t="shared" si="3"/>
        <v>3424</v>
      </c>
      <c r="L13" s="358">
        <f>ROUND(D13/(IF(ISNUMBER(SEARCH("เมืองทอง",C13)),อัปเดตราคาอลู!$F$8,IF(ISNUMBER(SEARCH("SlimLux",C13)),อัปเดตราคาอลู!$F$6,IF(ISNUMBER(SEARCH("Velora",C13)),อัปเดตราคาอลู!$F$7,IF(ISNUMBER(SEARCH("Fuji",C13)),อัปเดตราคาอลู!$F$5,อัปเดตราคาอลู!$F$4))))),3)</f>
        <v>11.07</v>
      </c>
      <c r="M13" s="358">
        <f t="shared" si="4"/>
        <v>535</v>
      </c>
      <c r="N13" s="400">
        <f t="shared" si="5"/>
        <v>0</v>
      </c>
    </row>
    <row r="14" spans="1:14" x14ac:dyDescent="0.35">
      <c r="A14" s="128" t="s">
        <v>144</v>
      </c>
      <c r="B14" s="126" t="s">
        <v>145</v>
      </c>
      <c r="C14" s="126" t="s">
        <v>123</v>
      </c>
      <c r="D14" s="131">
        <v>310</v>
      </c>
      <c r="E14" s="131">
        <v>340</v>
      </c>
      <c r="F14" s="131">
        <v>495</v>
      </c>
      <c r="H14" s="341">
        <f t="shared" si="0"/>
        <v>1</v>
      </c>
      <c r="I14" s="327">
        <f t="shared" si="1"/>
        <v>310</v>
      </c>
      <c r="J14" s="327">
        <f t="shared" si="2"/>
        <v>340</v>
      </c>
      <c r="K14" s="406">
        <f t="shared" si="3"/>
        <v>495</v>
      </c>
      <c r="L14" s="358">
        <f>ROUND(D14/(IF(ISNUMBER(SEARCH("เมืองทอง",C14)),อัปเดตราคาอลู!$F$8,IF(ISNUMBER(SEARCH("SlimLux",C14)),อัปเดตราคาอลู!$F$6,IF(ISNUMBER(SEARCH("Velora",C14)),อัปเดตราคาอลู!$F$7,IF(ISNUMBER(SEARCH("Fuji",C14)),อัปเดตราคาอลู!$F$5,อัปเดตราคาอลู!$F$4))))),3)</f>
        <v>1.6579999999999999</v>
      </c>
      <c r="M14" s="358">
        <f t="shared" si="4"/>
        <v>77.343999999999994</v>
      </c>
      <c r="N14" s="400">
        <f t="shared" si="5"/>
        <v>0</v>
      </c>
    </row>
    <row r="15" spans="1:14" x14ac:dyDescent="0.35">
      <c r="A15" s="128" t="s">
        <v>146</v>
      </c>
      <c r="B15" s="126" t="s">
        <v>147</v>
      </c>
      <c r="C15" s="126" t="s">
        <v>123</v>
      </c>
      <c r="D15" s="131">
        <v>240</v>
      </c>
      <c r="E15" s="131">
        <v>260</v>
      </c>
      <c r="F15" s="131">
        <v>380</v>
      </c>
      <c r="H15" s="341">
        <f t="shared" si="0"/>
        <v>1</v>
      </c>
      <c r="I15" s="327">
        <f t="shared" si="1"/>
        <v>240</v>
      </c>
      <c r="J15" s="327">
        <f t="shared" si="2"/>
        <v>260</v>
      </c>
      <c r="K15" s="406">
        <f t="shared" si="3"/>
        <v>380</v>
      </c>
      <c r="L15" s="358">
        <f>ROUND(D15/(IF(ISNUMBER(SEARCH("เมืองทอง",C15)),อัปเดตราคาอลู!$F$8,IF(ISNUMBER(SEARCH("SlimLux",C15)),อัปเดตราคาอลู!$F$6,IF(ISNUMBER(SEARCH("Velora",C15)),อัปเดตราคาอลู!$F$7,IF(ISNUMBER(SEARCH("Fuji",C15)),อัปเดตราคาอลู!$F$5,อัปเดตราคาอลู!$F$4))))),3)</f>
        <v>1.2829999999999999</v>
      </c>
      <c r="M15" s="358">
        <f t="shared" si="4"/>
        <v>59.375</v>
      </c>
      <c r="N15" s="400">
        <f t="shared" si="5"/>
        <v>0</v>
      </c>
    </row>
    <row r="16" spans="1:14" x14ac:dyDescent="0.35">
      <c r="A16" s="128" t="s">
        <v>148</v>
      </c>
      <c r="B16" s="126" t="s">
        <v>149</v>
      </c>
      <c r="C16" s="126" t="s">
        <v>123</v>
      </c>
      <c r="D16" s="131">
        <v>825</v>
      </c>
      <c r="E16" s="131">
        <v>895</v>
      </c>
      <c r="F16" s="131">
        <v>1320</v>
      </c>
      <c r="H16" s="341">
        <f t="shared" si="0"/>
        <v>1</v>
      </c>
      <c r="I16" s="327">
        <f t="shared" si="1"/>
        <v>825</v>
      </c>
      <c r="J16" s="327">
        <f t="shared" si="2"/>
        <v>895</v>
      </c>
      <c r="K16" s="406">
        <f t="shared" si="3"/>
        <v>1320</v>
      </c>
      <c r="L16" s="358">
        <f>ROUND(D16/(IF(ISNUMBER(SEARCH("เมืองทอง",C16)),อัปเดตราคาอลู!$F$8,IF(ISNUMBER(SEARCH("SlimLux",C16)),อัปเดตราคาอลู!$F$6,IF(ISNUMBER(SEARCH("Velora",C16)),อัปเดตราคาอลู!$F$7,IF(ISNUMBER(SEARCH("Fuji",C16)),อัปเดตราคาอลู!$F$5,อัปเดตราคาอลู!$F$4))))),3)</f>
        <v>4.4119999999999999</v>
      </c>
      <c r="M16" s="358">
        <f t="shared" si="4"/>
        <v>206.25</v>
      </c>
      <c r="N16" s="400">
        <f t="shared" si="5"/>
        <v>0</v>
      </c>
    </row>
    <row r="17" spans="1:14" x14ac:dyDescent="0.35">
      <c r="A17" s="128" t="s">
        <v>150</v>
      </c>
      <c r="B17" s="126" t="s">
        <v>151</v>
      </c>
      <c r="C17" s="126" t="s">
        <v>123</v>
      </c>
      <c r="D17" s="131">
        <v>145</v>
      </c>
      <c r="E17" s="131">
        <v>155</v>
      </c>
      <c r="F17" s="131">
        <v>230</v>
      </c>
      <c r="H17" s="341">
        <f t="shared" si="0"/>
        <v>1</v>
      </c>
      <c r="I17" s="327">
        <f t="shared" si="1"/>
        <v>145</v>
      </c>
      <c r="J17" s="327">
        <f t="shared" si="2"/>
        <v>155</v>
      </c>
      <c r="K17" s="406">
        <f t="shared" si="3"/>
        <v>230</v>
      </c>
      <c r="L17" s="358">
        <f>ROUND(D17/(IF(ISNUMBER(SEARCH("เมืองทอง",C17)),อัปเดตราคาอลู!$F$8,IF(ISNUMBER(SEARCH("SlimLux",C17)),อัปเดตราคาอลู!$F$6,IF(ISNUMBER(SEARCH("Velora",C17)),อัปเดตราคาอลู!$F$7,IF(ISNUMBER(SEARCH("Fuji",C17)),อัปเดตราคาอลู!$F$5,อัปเดตราคาอลู!$F$4))))),3)</f>
        <v>0.77500000000000002</v>
      </c>
      <c r="M17" s="358">
        <f t="shared" si="4"/>
        <v>35.938000000000002</v>
      </c>
      <c r="N17" s="400">
        <f t="shared" si="5"/>
        <v>0</v>
      </c>
    </row>
    <row r="18" spans="1:14" x14ac:dyDescent="0.35">
      <c r="A18" s="128" t="s">
        <v>152</v>
      </c>
      <c r="B18" s="126" t="s">
        <v>153</v>
      </c>
      <c r="C18" s="126" t="s">
        <v>123</v>
      </c>
      <c r="D18" s="131">
        <v>885</v>
      </c>
      <c r="E18" s="131">
        <v>965</v>
      </c>
      <c r="F18" s="131">
        <v>1458</v>
      </c>
      <c r="H18" s="341">
        <f t="shared" si="0"/>
        <v>1</v>
      </c>
      <c r="I18" s="327">
        <f t="shared" si="1"/>
        <v>885</v>
      </c>
      <c r="J18" s="327">
        <f t="shared" si="2"/>
        <v>965</v>
      </c>
      <c r="K18" s="406">
        <f t="shared" si="3"/>
        <v>1458</v>
      </c>
      <c r="L18" s="358">
        <f>ROUND(D18/(IF(ISNUMBER(SEARCH("เมืองทอง",C18)),อัปเดตราคาอลู!$F$8,IF(ISNUMBER(SEARCH("SlimLux",C18)),อัปเดตราคาอลู!$F$6,IF(ISNUMBER(SEARCH("Velora",C18)),อัปเดตราคาอลู!$F$7,IF(ISNUMBER(SEARCH("Fuji",C18)),อัปเดตราคาอลู!$F$5,อัปเดตราคาอลู!$F$4))))),3)</f>
        <v>4.7329999999999997</v>
      </c>
      <c r="M18" s="358">
        <f t="shared" si="4"/>
        <v>227.81299999999999</v>
      </c>
      <c r="N18" s="400">
        <f t="shared" si="5"/>
        <v>0</v>
      </c>
    </row>
    <row r="19" spans="1:14" x14ac:dyDescent="0.35">
      <c r="A19" s="128" t="s">
        <v>154</v>
      </c>
      <c r="B19" s="126" t="s">
        <v>155</v>
      </c>
      <c r="C19" s="126" t="s">
        <v>123</v>
      </c>
      <c r="D19" s="131">
        <v>1550</v>
      </c>
      <c r="E19" s="131">
        <v>1690</v>
      </c>
      <c r="F19" s="131">
        <v>2480</v>
      </c>
      <c r="H19" s="341">
        <f t="shared" si="0"/>
        <v>1</v>
      </c>
      <c r="I19" s="327">
        <f t="shared" si="1"/>
        <v>1550</v>
      </c>
      <c r="J19" s="327">
        <f t="shared" si="2"/>
        <v>1690</v>
      </c>
      <c r="K19" s="406">
        <f t="shared" si="3"/>
        <v>2480</v>
      </c>
      <c r="L19" s="358">
        <f>ROUND(D19/(IF(ISNUMBER(SEARCH("เมืองทอง",C19)),อัปเดตราคาอลู!$F$8,IF(ISNUMBER(SEARCH("SlimLux",C19)),อัปเดตราคาอลู!$F$6,IF(ISNUMBER(SEARCH("Velora",C19)),อัปเดตราคาอลู!$F$7,IF(ISNUMBER(SEARCH("Fuji",C19)),อัปเดตราคาอลู!$F$5,อัปเดตราคาอลู!$F$4))))),3)</f>
        <v>8.2889999999999997</v>
      </c>
      <c r="M19" s="358">
        <f t="shared" si="4"/>
        <v>387.5</v>
      </c>
      <c r="N19" s="400">
        <f t="shared" si="5"/>
        <v>0</v>
      </c>
    </row>
    <row r="20" spans="1:14" x14ac:dyDescent="0.35">
      <c r="A20" s="128" t="s">
        <v>156</v>
      </c>
      <c r="B20" s="126" t="s">
        <v>157</v>
      </c>
      <c r="C20" s="126" t="s">
        <v>123</v>
      </c>
      <c r="D20" s="131">
        <v>1060</v>
      </c>
      <c r="E20" s="131">
        <v>1155</v>
      </c>
      <c r="F20" s="131">
        <v>1700</v>
      </c>
      <c r="H20" s="341">
        <f t="shared" si="0"/>
        <v>1</v>
      </c>
      <c r="I20" s="327">
        <f t="shared" si="1"/>
        <v>1060</v>
      </c>
      <c r="J20" s="327">
        <f t="shared" si="2"/>
        <v>1155</v>
      </c>
      <c r="K20" s="406">
        <f t="shared" si="3"/>
        <v>1700</v>
      </c>
      <c r="L20" s="358">
        <f>ROUND(D20/(IF(ISNUMBER(SEARCH("เมืองทอง",C20)),อัปเดตราคาอลู!$F$8,IF(ISNUMBER(SEARCH("SlimLux",C20)),อัปเดตราคาอลู!$F$6,IF(ISNUMBER(SEARCH("Velora",C20)),อัปเดตราคาอลู!$F$7,IF(ISNUMBER(SEARCH("Fuji",C20)),อัปเดตราคาอลู!$F$5,อัปเดตราคาอลู!$F$4))))),3)</f>
        <v>5.6680000000000001</v>
      </c>
      <c r="M20" s="358">
        <f t="shared" si="4"/>
        <v>265.625</v>
      </c>
      <c r="N20" s="400">
        <f t="shared" si="5"/>
        <v>0</v>
      </c>
    </row>
    <row r="21" spans="1:14" x14ac:dyDescent="0.35">
      <c r="A21" s="128" t="s">
        <v>158</v>
      </c>
      <c r="B21" s="126" t="s">
        <v>159</v>
      </c>
      <c r="C21" s="126" t="s">
        <v>123</v>
      </c>
      <c r="D21" s="131">
        <v>1235</v>
      </c>
      <c r="E21" s="131">
        <v>1345</v>
      </c>
      <c r="F21" s="131">
        <v>1650</v>
      </c>
      <c r="H21" s="341">
        <f t="shared" si="0"/>
        <v>1</v>
      </c>
      <c r="I21" s="327">
        <f t="shared" si="1"/>
        <v>1235</v>
      </c>
      <c r="J21" s="327">
        <f t="shared" si="2"/>
        <v>1345</v>
      </c>
      <c r="K21" s="406">
        <f t="shared" si="3"/>
        <v>1650</v>
      </c>
      <c r="L21" s="358">
        <f>ROUND(D21/(IF(ISNUMBER(SEARCH("เมืองทอง",C21)),อัปเดตราคาอลู!$F$8,IF(ISNUMBER(SEARCH("SlimLux",C21)),อัปเดตราคาอลู!$F$6,IF(ISNUMBER(SEARCH("Velora",C21)),อัปเดตราคาอลู!$F$7,IF(ISNUMBER(SEARCH("Fuji",C21)),อัปเดตราคาอลู!$F$5,อัปเดตราคาอลู!$F$4))))),3)</f>
        <v>6.6040000000000001</v>
      </c>
      <c r="M21" s="358">
        <f t="shared" si="4"/>
        <v>257.81299999999999</v>
      </c>
      <c r="N21" s="400">
        <f t="shared" si="5"/>
        <v>0</v>
      </c>
    </row>
    <row r="22" spans="1:14" x14ac:dyDescent="0.35">
      <c r="A22" s="128" t="s">
        <v>160</v>
      </c>
      <c r="B22" s="126" t="s">
        <v>161</v>
      </c>
      <c r="C22" s="126" t="s">
        <v>123</v>
      </c>
      <c r="D22" s="131">
        <v>1030</v>
      </c>
      <c r="E22" s="131">
        <v>1120</v>
      </c>
      <c r="F22" s="131">
        <v>1451</v>
      </c>
      <c r="H22" s="341">
        <f t="shared" si="0"/>
        <v>1</v>
      </c>
      <c r="I22" s="327">
        <f t="shared" si="1"/>
        <v>1030</v>
      </c>
      <c r="J22" s="327">
        <f t="shared" si="2"/>
        <v>1120</v>
      </c>
      <c r="K22" s="406">
        <f t="shared" si="3"/>
        <v>1451</v>
      </c>
      <c r="L22" s="358">
        <f>ROUND(D22/(IF(ISNUMBER(SEARCH("เมืองทอง",C22)),อัปเดตราคาอลู!$F$8,IF(ISNUMBER(SEARCH("SlimLux",C22)),อัปเดตราคาอลู!$F$6,IF(ISNUMBER(SEARCH("Velora",C22)),อัปเดตราคาอลู!$F$7,IF(ISNUMBER(SEARCH("Fuji",C22)),อัปเดตราคาอลู!$F$5,อัปเดตราคาอลู!$F$4))))),3)</f>
        <v>5.508</v>
      </c>
      <c r="M22" s="358">
        <f t="shared" si="4"/>
        <v>226.71899999999999</v>
      </c>
      <c r="N22" s="400">
        <f t="shared" si="5"/>
        <v>0</v>
      </c>
    </row>
    <row r="23" spans="1:14" x14ac:dyDescent="0.35">
      <c r="A23" s="128" t="s">
        <v>162</v>
      </c>
      <c r="B23" s="126" t="s">
        <v>163</v>
      </c>
      <c r="C23" s="126" t="s">
        <v>123</v>
      </c>
      <c r="D23" s="131">
        <v>305</v>
      </c>
      <c r="E23" s="131">
        <v>330</v>
      </c>
      <c r="F23" s="131">
        <v>485</v>
      </c>
      <c r="H23" s="341">
        <f t="shared" si="0"/>
        <v>1</v>
      </c>
      <c r="I23" s="327">
        <f t="shared" si="1"/>
        <v>305</v>
      </c>
      <c r="J23" s="327">
        <f t="shared" si="2"/>
        <v>330</v>
      </c>
      <c r="K23" s="406">
        <f t="shared" si="3"/>
        <v>485</v>
      </c>
      <c r="L23" s="358">
        <f>ROUND(D23/(IF(ISNUMBER(SEARCH("เมืองทอง",C23)),อัปเดตราคาอลู!$F$8,IF(ISNUMBER(SEARCH("SlimLux",C23)),อัปเดตราคาอลู!$F$6,IF(ISNUMBER(SEARCH("Velora",C23)),อัปเดตราคาอลู!$F$7,IF(ISNUMBER(SEARCH("Fuji",C23)),อัปเดตราคาอลู!$F$5,อัปเดตราคาอลู!$F$4))))),3)</f>
        <v>1.631</v>
      </c>
      <c r="M23" s="358">
        <f t="shared" si="4"/>
        <v>75.781000000000006</v>
      </c>
      <c r="N23" s="400">
        <f t="shared" si="5"/>
        <v>0</v>
      </c>
    </row>
    <row r="24" spans="1:14" x14ac:dyDescent="0.35">
      <c r="A24" s="128" t="s">
        <v>164</v>
      </c>
      <c r="B24" s="126" t="s">
        <v>165</v>
      </c>
      <c r="C24" s="126" t="s">
        <v>123</v>
      </c>
      <c r="D24" s="131">
        <v>2105</v>
      </c>
      <c r="E24" s="131">
        <v>2290</v>
      </c>
      <c r="F24" s="131">
        <v>3590</v>
      </c>
      <c r="H24" s="341">
        <f t="shared" si="0"/>
        <v>1</v>
      </c>
      <c r="I24" s="327">
        <f t="shared" si="1"/>
        <v>2105</v>
      </c>
      <c r="J24" s="327">
        <f t="shared" si="2"/>
        <v>2290</v>
      </c>
      <c r="K24" s="406">
        <f t="shared" si="3"/>
        <v>3590</v>
      </c>
      <c r="L24" s="358">
        <f>ROUND(D24/(IF(ISNUMBER(SEARCH("เมืองทอง",C24)),อัปเดตราคาอลู!$F$8,IF(ISNUMBER(SEARCH("SlimLux",C24)),อัปเดตราคาอลู!$F$6,IF(ISNUMBER(SEARCH("Velora",C24)),อัปเดตราคาอลู!$F$7,IF(ISNUMBER(SEARCH("Fuji",C24)),อัปเดตราคาอลู!$F$5,อัปเดตราคาอลู!$F$4))))),3)</f>
        <v>11.257</v>
      </c>
      <c r="M24" s="358">
        <f t="shared" si="4"/>
        <v>560.93799999999999</v>
      </c>
      <c r="N24" s="400">
        <f t="shared" si="5"/>
        <v>0</v>
      </c>
    </row>
    <row r="25" spans="1:14" x14ac:dyDescent="0.35">
      <c r="A25" s="128" t="s">
        <v>166</v>
      </c>
      <c r="B25" s="126" t="s">
        <v>167</v>
      </c>
      <c r="C25" s="126" t="s">
        <v>123</v>
      </c>
      <c r="D25" s="131">
        <v>320</v>
      </c>
      <c r="E25" s="131">
        <v>345</v>
      </c>
      <c r="F25" s="131">
        <v>550</v>
      </c>
      <c r="H25" s="341">
        <f t="shared" si="0"/>
        <v>1</v>
      </c>
      <c r="I25" s="327">
        <f t="shared" si="1"/>
        <v>320</v>
      </c>
      <c r="J25" s="327">
        <f t="shared" si="2"/>
        <v>345</v>
      </c>
      <c r="K25" s="406">
        <f t="shared" si="3"/>
        <v>550</v>
      </c>
      <c r="L25" s="358">
        <f>ROUND(D25/(IF(ISNUMBER(SEARCH("เมืองทอง",C25)),อัปเดตราคาอลู!$F$8,IF(ISNUMBER(SEARCH("SlimLux",C25)),อัปเดตราคาอลู!$F$6,IF(ISNUMBER(SEARCH("Velora",C25)),อัปเดตราคาอลู!$F$7,IF(ISNUMBER(SEARCH("Fuji",C25)),อัปเดตราคาอลู!$F$5,อัปเดตราคาอลู!$F$4))))),3)</f>
        <v>1.7110000000000001</v>
      </c>
      <c r="M25" s="358">
        <f t="shared" si="4"/>
        <v>85.938000000000002</v>
      </c>
      <c r="N25" s="400">
        <f t="shared" si="5"/>
        <v>0</v>
      </c>
    </row>
    <row r="26" spans="1:14" x14ac:dyDescent="0.35">
      <c r="A26" s="128" t="s">
        <v>168</v>
      </c>
      <c r="B26" s="126" t="s">
        <v>169</v>
      </c>
      <c r="C26" s="126" t="s">
        <v>123</v>
      </c>
      <c r="D26" s="131">
        <v>1455</v>
      </c>
      <c r="E26" s="131">
        <v>1585</v>
      </c>
      <c r="F26" s="131">
        <v>2505</v>
      </c>
      <c r="H26" s="341">
        <f t="shared" si="0"/>
        <v>1</v>
      </c>
      <c r="I26" s="327">
        <f t="shared" si="1"/>
        <v>1455</v>
      </c>
      <c r="J26" s="327">
        <f t="shared" si="2"/>
        <v>1585</v>
      </c>
      <c r="K26" s="406">
        <f t="shared" si="3"/>
        <v>2505</v>
      </c>
      <c r="L26" s="358">
        <f>ROUND(D26/(IF(ISNUMBER(SEARCH("เมืองทอง",C26)),อัปเดตราคาอลู!$F$8,IF(ISNUMBER(SEARCH("SlimLux",C26)),อัปเดตราคาอลู!$F$6,IF(ISNUMBER(SEARCH("Velora",C26)),อัปเดตราคาอลู!$F$7,IF(ISNUMBER(SEARCH("Fuji",C26)),อัปเดตราคาอลู!$F$5,อัปเดตราคาอลู!$F$4))))),3)</f>
        <v>7.7809999999999997</v>
      </c>
      <c r="M26" s="358">
        <f t="shared" si="4"/>
        <v>391.40600000000001</v>
      </c>
      <c r="N26" s="400">
        <f t="shared" si="5"/>
        <v>0</v>
      </c>
    </row>
    <row r="27" spans="1:14" x14ac:dyDescent="0.35">
      <c r="A27" s="128" t="s">
        <v>170</v>
      </c>
      <c r="B27" s="126" t="s">
        <v>171</v>
      </c>
      <c r="C27" s="126" t="s">
        <v>123</v>
      </c>
      <c r="D27" s="131">
        <v>570</v>
      </c>
      <c r="E27" s="131">
        <v>620</v>
      </c>
      <c r="F27" s="131">
        <v>965</v>
      </c>
      <c r="H27" s="341">
        <f t="shared" si="0"/>
        <v>1</v>
      </c>
      <c r="I27" s="327">
        <f t="shared" si="1"/>
        <v>570</v>
      </c>
      <c r="J27" s="327">
        <f t="shared" si="2"/>
        <v>620</v>
      </c>
      <c r="K27" s="406">
        <f t="shared" si="3"/>
        <v>965</v>
      </c>
      <c r="L27" s="358">
        <f>ROUND(D27/(IF(ISNUMBER(SEARCH("เมืองทอง",C27)),อัปเดตราคาอลู!$F$8,IF(ISNUMBER(SEARCH("SlimLux",C27)),อัปเดตราคาอลู!$F$6,IF(ISNUMBER(SEARCH("Velora",C27)),อัปเดตราคาอลู!$F$7,IF(ISNUMBER(SEARCH("Fuji",C27)),อัปเดตราคาอลู!$F$5,อัปเดตราคาอลู!$F$4))))),3)</f>
        <v>3.048</v>
      </c>
      <c r="M27" s="358">
        <f t="shared" si="4"/>
        <v>150.78100000000001</v>
      </c>
      <c r="N27" s="400">
        <f t="shared" si="5"/>
        <v>0</v>
      </c>
    </row>
    <row r="28" spans="1:14" x14ac:dyDescent="0.35">
      <c r="A28" s="128" t="s">
        <v>172</v>
      </c>
      <c r="B28" s="126" t="s">
        <v>173</v>
      </c>
      <c r="C28" s="126" t="s">
        <v>123</v>
      </c>
      <c r="D28" s="131">
        <v>1000</v>
      </c>
      <c r="E28" s="131">
        <v>1085</v>
      </c>
      <c r="F28" s="131">
        <v>1746</v>
      </c>
      <c r="H28" s="341">
        <f t="shared" si="0"/>
        <v>1</v>
      </c>
      <c r="I28" s="327">
        <f t="shared" si="1"/>
        <v>1000</v>
      </c>
      <c r="J28" s="327">
        <f t="shared" si="2"/>
        <v>1085</v>
      </c>
      <c r="K28" s="406">
        <f t="shared" si="3"/>
        <v>1746</v>
      </c>
      <c r="L28" s="358">
        <f>ROUND(D28/(IF(ISNUMBER(SEARCH("เมืองทอง",C28)),อัปเดตราคาอลู!$F$8,IF(ISNUMBER(SEARCH("SlimLux",C28)),อัปเดตราคาอลู!$F$6,IF(ISNUMBER(SEARCH("Velora",C28)),อัปเดตราคาอลู!$F$7,IF(ISNUMBER(SEARCH("Fuji",C28)),อัปเดตราคาอลู!$F$5,อัปเดตราคาอลู!$F$4))))),3)</f>
        <v>5.3479999999999999</v>
      </c>
      <c r="M28" s="358">
        <f t="shared" si="4"/>
        <v>272.81299999999999</v>
      </c>
      <c r="N28" s="400">
        <f t="shared" si="5"/>
        <v>0</v>
      </c>
    </row>
    <row r="29" spans="1:14" x14ac:dyDescent="0.35">
      <c r="A29" s="128" t="s">
        <v>174</v>
      </c>
      <c r="B29" s="126" t="s">
        <v>175</v>
      </c>
      <c r="C29" s="126" t="s">
        <v>123</v>
      </c>
      <c r="D29" s="131">
        <v>280</v>
      </c>
      <c r="E29" s="131">
        <v>305</v>
      </c>
      <c r="F29" s="131">
        <v>500</v>
      </c>
      <c r="H29" s="341">
        <f t="shared" si="0"/>
        <v>1</v>
      </c>
      <c r="I29" s="327">
        <f t="shared" si="1"/>
        <v>280</v>
      </c>
      <c r="J29" s="327">
        <f t="shared" si="2"/>
        <v>305</v>
      </c>
      <c r="K29" s="406">
        <f t="shared" si="3"/>
        <v>500</v>
      </c>
      <c r="L29" s="358">
        <f>ROUND(D29/(IF(ISNUMBER(SEARCH("เมืองทอง",C29)),อัปเดตราคาอลู!$F$8,IF(ISNUMBER(SEARCH("SlimLux",C29)),อัปเดตราคาอลู!$F$6,IF(ISNUMBER(SEARCH("Velora",C29)),อัปเดตราคาอลู!$F$7,IF(ISNUMBER(SEARCH("Fuji",C29)),อัปเดตราคาอลู!$F$5,อัปเดตราคาอลู!$F$4))))),3)</f>
        <v>1.4970000000000001</v>
      </c>
      <c r="M29" s="358">
        <f t="shared" si="4"/>
        <v>78.125</v>
      </c>
      <c r="N29" s="400">
        <f t="shared" si="5"/>
        <v>0</v>
      </c>
    </row>
    <row r="30" spans="1:14" x14ac:dyDescent="0.35">
      <c r="A30" s="128" t="s">
        <v>176</v>
      </c>
      <c r="B30" s="126" t="s">
        <v>177</v>
      </c>
      <c r="C30" s="126" t="s">
        <v>123</v>
      </c>
      <c r="D30" s="131">
        <v>1210</v>
      </c>
      <c r="E30" s="131">
        <v>1320</v>
      </c>
      <c r="F30" s="131">
        <v>1940</v>
      </c>
      <c r="H30" s="341">
        <f t="shared" si="0"/>
        <v>1</v>
      </c>
      <c r="I30" s="327">
        <f t="shared" si="1"/>
        <v>1210</v>
      </c>
      <c r="J30" s="327">
        <f t="shared" si="2"/>
        <v>1320</v>
      </c>
      <c r="K30" s="406">
        <f t="shared" si="3"/>
        <v>1940</v>
      </c>
      <c r="L30" s="358">
        <f>ROUND(D30/(IF(ISNUMBER(SEARCH("เมืองทอง",C30)),อัปเดตราคาอลู!$F$8,IF(ISNUMBER(SEARCH("SlimLux",C30)),อัปเดตราคาอลู!$F$6,IF(ISNUMBER(SEARCH("Velora",C30)),อัปเดตราคาอลู!$F$7,IF(ISNUMBER(SEARCH("Fuji",C30)),อัปเดตราคาอลู!$F$5,อัปเดตราคาอลู!$F$4))))),3)</f>
        <v>6.4710000000000001</v>
      </c>
      <c r="M30" s="358">
        <f t="shared" si="4"/>
        <v>303.125</v>
      </c>
      <c r="N30" s="400">
        <f t="shared" si="5"/>
        <v>0</v>
      </c>
    </row>
    <row r="31" spans="1:14" x14ac:dyDescent="0.35">
      <c r="A31" s="128" t="s">
        <v>178</v>
      </c>
      <c r="B31" s="126" t="s">
        <v>179</v>
      </c>
      <c r="C31" s="126" t="s">
        <v>123</v>
      </c>
      <c r="D31" s="131">
        <v>265</v>
      </c>
      <c r="E31" s="131">
        <v>285</v>
      </c>
      <c r="F31" s="131">
        <v>460</v>
      </c>
      <c r="H31" s="341">
        <f t="shared" si="0"/>
        <v>1</v>
      </c>
      <c r="I31" s="327">
        <f t="shared" si="1"/>
        <v>265</v>
      </c>
      <c r="J31" s="327">
        <f t="shared" si="2"/>
        <v>285</v>
      </c>
      <c r="K31" s="406">
        <f t="shared" si="3"/>
        <v>460</v>
      </c>
      <c r="L31" s="358">
        <f>ROUND(D31/(IF(ISNUMBER(SEARCH("เมืองทอง",C31)),อัปเดตราคาอลู!$F$8,IF(ISNUMBER(SEARCH("SlimLux",C31)),อัปเดตราคาอลู!$F$6,IF(ISNUMBER(SEARCH("Velora",C31)),อัปเดตราคาอลู!$F$7,IF(ISNUMBER(SEARCH("Fuji",C31)),อัปเดตราคาอลู!$F$5,อัปเดตราคาอลู!$F$4))))),3)</f>
        <v>1.417</v>
      </c>
      <c r="M31" s="358">
        <f t="shared" si="4"/>
        <v>71.875</v>
      </c>
      <c r="N31" s="400">
        <f t="shared" si="5"/>
        <v>0</v>
      </c>
    </row>
    <row r="32" spans="1:14" x14ac:dyDescent="0.35">
      <c r="A32" s="128" t="s">
        <v>180</v>
      </c>
      <c r="B32" s="126" t="s">
        <v>181</v>
      </c>
      <c r="C32" s="126" t="s">
        <v>123</v>
      </c>
      <c r="D32" s="131">
        <v>270</v>
      </c>
      <c r="E32" s="131">
        <v>295</v>
      </c>
      <c r="F32" s="131">
        <v>460</v>
      </c>
      <c r="H32" s="341">
        <f t="shared" si="0"/>
        <v>1</v>
      </c>
      <c r="I32" s="327">
        <f t="shared" si="1"/>
        <v>270</v>
      </c>
      <c r="J32" s="327">
        <f t="shared" si="2"/>
        <v>295</v>
      </c>
      <c r="K32" s="406">
        <f t="shared" si="3"/>
        <v>460</v>
      </c>
      <c r="L32" s="358">
        <f>ROUND(D32/(IF(ISNUMBER(SEARCH("เมืองทอง",C32)),อัปเดตราคาอลู!$F$8,IF(ISNUMBER(SEARCH("SlimLux",C32)),อัปเดตราคาอลู!$F$6,IF(ISNUMBER(SEARCH("Velora",C32)),อัปเดตราคาอลู!$F$7,IF(ISNUMBER(SEARCH("Fuji",C32)),อัปเดตราคาอลู!$F$5,อัปเดตราคาอลู!$F$4))))),3)</f>
        <v>1.444</v>
      </c>
      <c r="M32" s="358">
        <f t="shared" si="4"/>
        <v>71.875</v>
      </c>
      <c r="N32" s="400">
        <f t="shared" si="5"/>
        <v>0</v>
      </c>
    </row>
    <row r="33" spans="1:14" x14ac:dyDescent="0.35">
      <c r="A33" s="128" t="s">
        <v>182</v>
      </c>
      <c r="B33" s="126" t="s">
        <v>183</v>
      </c>
      <c r="C33" s="126" t="s">
        <v>123</v>
      </c>
      <c r="D33" s="131">
        <v>305</v>
      </c>
      <c r="E33" s="131">
        <v>330</v>
      </c>
      <c r="F33" s="131">
        <v>485</v>
      </c>
      <c r="H33" s="341">
        <f t="shared" si="0"/>
        <v>1</v>
      </c>
      <c r="I33" s="327">
        <f t="shared" si="1"/>
        <v>305</v>
      </c>
      <c r="J33" s="327">
        <f t="shared" si="2"/>
        <v>330</v>
      </c>
      <c r="K33" s="406">
        <f t="shared" si="3"/>
        <v>485</v>
      </c>
      <c r="L33" s="358">
        <f>ROUND(D33/(IF(ISNUMBER(SEARCH("เมืองทอง",C33)),อัปเดตราคาอลู!$F$8,IF(ISNUMBER(SEARCH("SlimLux",C33)),อัปเดตราคาอลู!$F$6,IF(ISNUMBER(SEARCH("Velora",C33)),อัปเดตราคาอลู!$F$7,IF(ISNUMBER(SEARCH("Fuji",C33)),อัปเดตราคาอลู!$F$5,อัปเดตราคาอลู!$F$4))))),3)</f>
        <v>1.631</v>
      </c>
      <c r="M33" s="358">
        <f t="shared" si="4"/>
        <v>75.781000000000006</v>
      </c>
      <c r="N33" s="400">
        <f t="shared" si="5"/>
        <v>0</v>
      </c>
    </row>
    <row r="34" spans="1:14" x14ac:dyDescent="0.35">
      <c r="A34" s="128" t="s">
        <v>184</v>
      </c>
      <c r="B34" s="126" t="s">
        <v>185</v>
      </c>
      <c r="C34" s="126" t="s">
        <v>123</v>
      </c>
      <c r="D34" s="131">
        <v>905</v>
      </c>
      <c r="E34" s="131">
        <v>985</v>
      </c>
      <c r="F34" s="131">
        <v>1445</v>
      </c>
      <c r="H34" s="341">
        <f t="shared" si="0"/>
        <v>1</v>
      </c>
      <c r="I34" s="327">
        <f t="shared" si="1"/>
        <v>905</v>
      </c>
      <c r="J34" s="327">
        <f t="shared" si="2"/>
        <v>985</v>
      </c>
      <c r="K34" s="406">
        <f t="shared" si="3"/>
        <v>1445</v>
      </c>
      <c r="L34" s="358">
        <f>ROUND(D34/(IF(ISNUMBER(SEARCH("เมืองทอง",C34)),อัปเดตราคาอลู!$F$8,IF(ISNUMBER(SEARCH("SlimLux",C34)),อัปเดตราคาอลู!$F$6,IF(ISNUMBER(SEARCH("Velora",C34)),อัปเดตราคาอลู!$F$7,IF(ISNUMBER(SEARCH("Fuji",C34)),อัปเดตราคาอลู!$F$5,อัปเดตราคาอลู!$F$4))))),3)</f>
        <v>4.84</v>
      </c>
      <c r="M34" s="358">
        <f t="shared" si="4"/>
        <v>225.78100000000001</v>
      </c>
      <c r="N34" s="400">
        <f t="shared" si="5"/>
        <v>0</v>
      </c>
    </row>
    <row r="35" spans="1:14" x14ac:dyDescent="0.35">
      <c r="A35" s="128" t="s">
        <v>186</v>
      </c>
      <c r="B35" s="126" t="s">
        <v>187</v>
      </c>
      <c r="C35" s="126" t="s">
        <v>123</v>
      </c>
      <c r="D35" s="131">
        <v>625</v>
      </c>
      <c r="E35" s="131">
        <v>680</v>
      </c>
      <c r="F35" s="131">
        <v>1000</v>
      </c>
      <c r="H35" s="341">
        <f t="shared" ref="H35:H66" si="6">IF(ISNUMBER(SEARCH("เมืองทอง",C35)),mult_mtong,IF(ISNUMBER(SEARCH("SlimLux",C35)),mult_slim,IF(ISNUMBER(SEARCH("Velora",C35)),mult_velora,IF(ISNUMBER(SEARCH("Fuji",C35)),mult_euro,mult_sms))))</f>
        <v>1</v>
      </c>
      <c r="I35" s="327">
        <f t="shared" ref="I35:I66" si="7">ROUND(D35*H35,0)</f>
        <v>625</v>
      </c>
      <c r="J35" s="327">
        <f t="shared" ref="J35:J66" si="8">ROUND(E35*H35,0)</f>
        <v>680</v>
      </c>
      <c r="K35" s="406">
        <f t="shared" ref="K35:K62" si="9">ROUND(F35*mult_wood,0)</f>
        <v>1000</v>
      </c>
      <c r="L35" s="358">
        <f>ROUND(D35/(IF(ISNUMBER(SEARCH("เมืองทอง",C35)),อัปเดตราคาอลู!$F$8,IF(ISNUMBER(SEARCH("SlimLux",C35)),อัปเดตราคาอลู!$F$6,IF(ISNUMBER(SEARCH("Velora",C35)),อัปเดตราคาอลู!$F$7,IF(ISNUMBER(SEARCH("Fuji",C35)),อัปเดตราคาอลู!$F$5,อัปเดตราคาอลู!$F$4))))),3)</f>
        <v>3.3420000000000001</v>
      </c>
      <c r="M35" s="358">
        <f t="shared" ref="M35:M66" si="10">ROUND(K35/(IF(OR(ISNUMBER(SEARCH("เมืองทอง",C35)),ISNUMBER(SEARCH("SlimLux",C35)),ISNUMBER(SEARCH("Velora",C35))),6,6.4)),3)</f>
        <v>156.25</v>
      </c>
      <c r="N35" s="400">
        <f t="shared" ref="N35:N66" si="11">ROUND(I35-D35,0)</f>
        <v>0</v>
      </c>
    </row>
    <row r="36" spans="1:14" x14ac:dyDescent="0.35">
      <c r="A36" s="128" t="s">
        <v>188</v>
      </c>
      <c r="B36" s="126" t="s">
        <v>189</v>
      </c>
      <c r="C36" s="126" t="s">
        <v>190</v>
      </c>
      <c r="D36" s="131">
        <v>2110</v>
      </c>
      <c r="E36" s="131">
        <v>2265</v>
      </c>
      <c r="F36" s="131">
        <v>3350</v>
      </c>
      <c r="H36" s="341">
        <f t="shared" si="6"/>
        <v>1</v>
      </c>
      <c r="I36" s="327">
        <f t="shared" si="7"/>
        <v>2110</v>
      </c>
      <c r="J36" s="327">
        <f t="shared" si="8"/>
        <v>2265</v>
      </c>
      <c r="K36" s="406">
        <f t="shared" si="9"/>
        <v>3350</v>
      </c>
      <c r="L36" s="358">
        <f>ROUND(D36/(IF(ISNUMBER(SEARCH("เมืองทอง",C36)),อัปเดตราคาอลู!$F$8,IF(ISNUMBER(SEARCH("SlimLux",C36)),อัปเดตราคาอลู!$F$6,IF(ISNUMBER(SEARCH("Velora",C36)),อัปเดตราคาอลู!$F$7,IF(ISNUMBER(SEARCH("Fuji",C36)),อัปเดตราคาอลู!$F$5,อัปเดตราคาอลู!$F$4))))),3)</f>
        <v>11.282999999999999</v>
      </c>
      <c r="M36" s="358">
        <f t="shared" si="10"/>
        <v>523.43799999999999</v>
      </c>
      <c r="N36" s="400">
        <f t="shared" si="11"/>
        <v>0</v>
      </c>
    </row>
    <row r="37" spans="1:14" x14ac:dyDescent="0.35">
      <c r="A37" s="128" t="s">
        <v>191</v>
      </c>
      <c r="B37" s="126" t="s">
        <v>192</v>
      </c>
      <c r="C37" s="126" t="s">
        <v>190</v>
      </c>
      <c r="D37" s="131">
        <v>2525</v>
      </c>
      <c r="E37" s="131">
        <v>2710</v>
      </c>
      <c r="F37" s="131">
        <v>4005</v>
      </c>
      <c r="H37" s="341">
        <f t="shared" si="6"/>
        <v>1</v>
      </c>
      <c r="I37" s="327">
        <f t="shared" si="7"/>
        <v>2525</v>
      </c>
      <c r="J37" s="327">
        <f t="shared" si="8"/>
        <v>2710</v>
      </c>
      <c r="K37" s="406">
        <f t="shared" si="9"/>
        <v>4005</v>
      </c>
      <c r="L37" s="358">
        <f>ROUND(D37/(IF(ISNUMBER(SEARCH("เมืองทอง",C37)),อัปเดตราคาอลู!$F$8,IF(ISNUMBER(SEARCH("SlimLux",C37)),อัปเดตราคาอลู!$F$6,IF(ISNUMBER(SEARCH("Velora",C37)),อัปเดตราคาอลู!$F$7,IF(ISNUMBER(SEARCH("Fuji",C37)),อัปเดตราคาอลู!$F$5,อัปเดตราคาอลู!$F$4))))),3)</f>
        <v>13.503</v>
      </c>
      <c r="M37" s="358">
        <f t="shared" si="10"/>
        <v>625.78099999999995</v>
      </c>
      <c r="N37" s="400">
        <f t="shared" si="11"/>
        <v>0</v>
      </c>
    </row>
    <row r="38" spans="1:14" x14ac:dyDescent="0.35">
      <c r="A38" s="128" t="s">
        <v>193</v>
      </c>
      <c r="B38" s="126" t="s">
        <v>194</v>
      </c>
      <c r="C38" s="126" t="s">
        <v>190</v>
      </c>
      <c r="D38" s="131">
        <v>1420</v>
      </c>
      <c r="E38" s="131">
        <v>1525</v>
      </c>
      <c r="F38" s="131">
        <v>2250</v>
      </c>
      <c r="H38" s="341">
        <f t="shared" si="6"/>
        <v>1</v>
      </c>
      <c r="I38" s="327">
        <f t="shared" si="7"/>
        <v>1420</v>
      </c>
      <c r="J38" s="327">
        <f t="shared" si="8"/>
        <v>1525</v>
      </c>
      <c r="K38" s="406">
        <f t="shared" si="9"/>
        <v>2250</v>
      </c>
      <c r="L38" s="358">
        <f>ROUND(D38/(IF(ISNUMBER(SEARCH("เมืองทอง",C38)),อัปเดตราคาอลู!$F$8,IF(ISNUMBER(SEARCH("SlimLux",C38)),อัปเดตราคาอลู!$F$6,IF(ISNUMBER(SEARCH("Velora",C38)),อัปเดตราคาอลู!$F$7,IF(ISNUMBER(SEARCH("Fuji",C38)),อัปเดตราคาอลู!$F$5,อัปเดตราคาอลู!$F$4))))),3)</f>
        <v>7.5940000000000003</v>
      </c>
      <c r="M38" s="358">
        <f t="shared" si="10"/>
        <v>351.56299999999999</v>
      </c>
      <c r="N38" s="400">
        <f t="shared" si="11"/>
        <v>0</v>
      </c>
    </row>
    <row r="39" spans="1:14" x14ac:dyDescent="0.35">
      <c r="A39" s="128" t="s">
        <v>195</v>
      </c>
      <c r="B39" s="126" t="s">
        <v>196</v>
      </c>
      <c r="C39" s="126" t="s">
        <v>190</v>
      </c>
      <c r="D39" s="131">
        <v>940</v>
      </c>
      <c r="E39" s="131">
        <v>1005</v>
      </c>
      <c r="F39" s="131">
        <v>1485</v>
      </c>
      <c r="H39" s="341">
        <f t="shared" si="6"/>
        <v>1</v>
      </c>
      <c r="I39" s="327">
        <f t="shared" si="7"/>
        <v>940</v>
      </c>
      <c r="J39" s="327">
        <f t="shared" si="8"/>
        <v>1005</v>
      </c>
      <c r="K39" s="406">
        <f t="shared" si="9"/>
        <v>1485</v>
      </c>
      <c r="L39" s="358">
        <f>ROUND(D39/(IF(ISNUMBER(SEARCH("เมืองทอง",C39)),อัปเดตราคาอลู!$F$8,IF(ISNUMBER(SEARCH("SlimLux",C39)),อัปเดตราคาอลู!$F$6,IF(ISNUMBER(SEARCH("Velora",C39)),อัปเดตราคาอลู!$F$7,IF(ISNUMBER(SEARCH("Fuji",C39)),อัปเดตราคาอลู!$F$5,อัปเดตราคาอลู!$F$4))))),3)</f>
        <v>5.0270000000000001</v>
      </c>
      <c r="M39" s="358">
        <f t="shared" si="10"/>
        <v>232.03100000000001</v>
      </c>
      <c r="N39" s="400">
        <f t="shared" si="11"/>
        <v>0</v>
      </c>
    </row>
    <row r="40" spans="1:14" x14ac:dyDescent="0.35">
      <c r="A40" s="128" t="s">
        <v>197</v>
      </c>
      <c r="B40" s="126" t="s">
        <v>198</v>
      </c>
      <c r="C40" s="126" t="s">
        <v>190</v>
      </c>
      <c r="D40" s="131">
        <v>1130</v>
      </c>
      <c r="E40" s="131">
        <v>1215</v>
      </c>
      <c r="F40" s="131">
        <v>1795</v>
      </c>
      <c r="H40" s="341">
        <f t="shared" si="6"/>
        <v>1</v>
      </c>
      <c r="I40" s="327">
        <f t="shared" si="7"/>
        <v>1130</v>
      </c>
      <c r="J40" s="327">
        <f t="shared" si="8"/>
        <v>1215</v>
      </c>
      <c r="K40" s="406">
        <f t="shared" si="9"/>
        <v>1795</v>
      </c>
      <c r="L40" s="358">
        <f>ROUND(D40/(IF(ISNUMBER(SEARCH("เมืองทอง",C40)),อัปเดตราคาอลู!$F$8,IF(ISNUMBER(SEARCH("SlimLux",C40)),อัปเดตราคาอลู!$F$6,IF(ISNUMBER(SEARCH("Velora",C40)),อัปเดตราคาอลู!$F$7,IF(ISNUMBER(SEARCH("Fuji",C40)),อัปเดตราคาอลู!$F$5,อัปเดตราคาอลู!$F$4))))),3)</f>
        <v>6.0430000000000001</v>
      </c>
      <c r="M40" s="358">
        <f t="shared" si="10"/>
        <v>280.46899999999999</v>
      </c>
      <c r="N40" s="400">
        <f t="shared" si="11"/>
        <v>0</v>
      </c>
    </row>
    <row r="41" spans="1:14" x14ac:dyDescent="0.35">
      <c r="A41" s="128" t="s">
        <v>199</v>
      </c>
      <c r="B41" s="126" t="s">
        <v>200</v>
      </c>
      <c r="C41" s="126" t="s">
        <v>190</v>
      </c>
      <c r="D41" s="131">
        <v>880</v>
      </c>
      <c r="E41" s="131">
        <v>945</v>
      </c>
      <c r="F41" s="131">
        <v>1395</v>
      </c>
      <c r="H41" s="341">
        <f t="shared" si="6"/>
        <v>1</v>
      </c>
      <c r="I41" s="327">
        <f t="shared" si="7"/>
        <v>880</v>
      </c>
      <c r="J41" s="327">
        <f t="shared" si="8"/>
        <v>945</v>
      </c>
      <c r="K41" s="406">
        <f t="shared" si="9"/>
        <v>1395</v>
      </c>
      <c r="L41" s="358">
        <f>ROUND(D41/(IF(ISNUMBER(SEARCH("เมืองทอง",C41)),อัปเดตราคาอลู!$F$8,IF(ISNUMBER(SEARCH("SlimLux",C41)),อัปเดตราคาอลู!$F$6,IF(ISNUMBER(SEARCH("Velora",C41)),อัปเดตราคาอลู!$F$7,IF(ISNUMBER(SEARCH("Fuji",C41)),อัปเดตราคาอลู!$F$5,อัปเดตราคาอลู!$F$4))))),3)</f>
        <v>4.7060000000000004</v>
      </c>
      <c r="M41" s="358">
        <f t="shared" si="10"/>
        <v>217.96899999999999</v>
      </c>
      <c r="N41" s="400">
        <f t="shared" si="11"/>
        <v>0</v>
      </c>
    </row>
    <row r="42" spans="1:14" x14ac:dyDescent="0.35">
      <c r="A42" s="128" t="s">
        <v>201</v>
      </c>
      <c r="B42" s="126" t="s">
        <v>202</v>
      </c>
      <c r="C42" s="126" t="s">
        <v>190</v>
      </c>
      <c r="D42" s="131">
        <v>1030</v>
      </c>
      <c r="E42" s="131">
        <v>1105</v>
      </c>
      <c r="F42" s="131">
        <v>1635</v>
      </c>
      <c r="H42" s="341">
        <f t="shared" si="6"/>
        <v>1</v>
      </c>
      <c r="I42" s="327">
        <f t="shared" si="7"/>
        <v>1030</v>
      </c>
      <c r="J42" s="327">
        <f t="shared" si="8"/>
        <v>1105</v>
      </c>
      <c r="K42" s="406">
        <f t="shared" si="9"/>
        <v>1635</v>
      </c>
      <c r="L42" s="358">
        <f>ROUND(D42/(IF(ISNUMBER(SEARCH("เมืองทอง",C42)),อัปเดตราคาอลู!$F$8,IF(ISNUMBER(SEARCH("SlimLux",C42)),อัปเดตราคาอลู!$F$6,IF(ISNUMBER(SEARCH("Velora",C42)),อัปเดตราคาอลู!$F$7,IF(ISNUMBER(SEARCH("Fuji",C42)),อัปเดตราคาอลู!$F$5,อัปเดตราคาอลู!$F$4))))),3)</f>
        <v>5.508</v>
      </c>
      <c r="M42" s="358">
        <f t="shared" si="10"/>
        <v>255.46899999999999</v>
      </c>
      <c r="N42" s="400">
        <f t="shared" si="11"/>
        <v>0</v>
      </c>
    </row>
    <row r="43" spans="1:14" x14ac:dyDescent="0.35">
      <c r="A43" s="128" t="s">
        <v>203</v>
      </c>
      <c r="B43" s="126" t="s">
        <v>204</v>
      </c>
      <c r="C43" s="126" t="s">
        <v>190</v>
      </c>
      <c r="D43" s="131">
        <v>650</v>
      </c>
      <c r="E43" s="131">
        <v>700</v>
      </c>
      <c r="F43" s="131">
        <v>1030</v>
      </c>
      <c r="H43" s="341">
        <f t="shared" si="6"/>
        <v>1</v>
      </c>
      <c r="I43" s="327">
        <f t="shared" si="7"/>
        <v>650</v>
      </c>
      <c r="J43" s="327">
        <f t="shared" si="8"/>
        <v>700</v>
      </c>
      <c r="K43" s="406">
        <f t="shared" si="9"/>
        <v>1030</v>
      </c>
      <c r="L43" s="358">
        <f>ROUND(D43/(IF(ISNUMBER(SEARCH("เมืองทอง",C43)),อัปเดตราคาอลู!$F$8,IF(ISNUMBER(SEARCH("SlimLux",C43)),อัปเดตราคาอลู!$F$6,IF(ISNUMBER(SEARCH("Velora",C43)),อัปเดตราคาอลู!$F$7,IF(ISNUMBER(SEARCH("Fuji",C43)),อัปเดตราคาอลู!$F$5,อัปเดตราคาอลู!$F$4))))),3)</f>
        <v>3.476</v>
      </c>
      <c r="M43" s="358">
        <f t="shared" si="10"/>
        <v>160.93799999999999</v>
      </c>
      <c r="N43" s="400">
        <f t="shared" si="11"/>
        <v>0</v>
      </c>
    </row>
    <row r="44" spans="1:14" x14ac:dyDescent="0.35">
      <c r="A44" s="128" t="s">
        <v>205</v>
      </c>
      <c r="B44" s="126" t="s">
        <v>206</v>
      </c>
      <c r="C44" s="126" t="s">
        <v>190</v>
      </c>
      <c r="D44" s="131">
        <v>270</v>
      </c>
      <c r="E44" s="131">
        <v>290</v>
      </c>
      <c r="F44" s="131">
        <v>430</v>
      </c>
      <c r="H44" s="341">
        <f t="shared" si="6"/>
        <v>1</v>
      </c>
      <c r="I44" s="327">
        <f t="shared" si="7"/>
        <v>270</v>
      </c>
      <c r="J44" s="327">
        <f t="shared" si="8"/>
        <v>290</v>
      </c>
      <c r="K44" s="406">
        <f t="shared" si="9"/>
        <v>430</v>
      </c>
      <c r="L44" s="358">
        <f>ROUND(D44/(IF(ISNUMBER(SEARCH("เมืองทอง",C44)),อัปเดตราคาอลู!$F$8,IF(ISNUMBER(SEARCH("SlimLux",C44)),อัปเดตราคาอลู!$F$6,IF(ISNUMBER(SEARCH("Velora",C44)),อัปเดตราคาอลู!$F$7,IF(ISNUMBER(SEARCH("Fuji",C44)),อัปเดตราคาอลู!$F$5,อัปเดตราคาอลู!$F$4))))),3)</f>
        <v>1.444</v>
      </c>
      <c r="M44" s="358">
        <f t="shared" si="10"/>
        <v>67.188000000000002</v>
      </c>
      <c r="N44" s="400">
        <f t="shared" si="11"/>
        <v>0</v>
      </c>
    </row>
    <row r="45" spans="1:14" x14ac:dyDescent="0.35">
      <c r="A45" s="128" t="s">
        <v>207</v>
      </c>
      <c r="B45" s="126" t="s">
        <v>208</v>
      </c>
      <c r="C45" s="126" t="s">
        <v>190</v>
      </c>
      <c r="D45" s="131">
        <v>305</v>
      </c>
      <c r="E45" s="131">
        <v>325</v>
      </c>
      <c r="F45" s="131">
        <v>480</v>
      </c>
      <c r="H45" s="341">
        <f t="shared" si="6"/>
        <v>1</v>
      </c>
      <c r="I45" s="327">
        <f t="shared" si="7"/>
        <v>305</v>
      </c>
      <c r="J45" s="327">
        <f t="shared" si="8"/>
        <v>325</v>
      </c>
      <c r="K45" s="406">
        <f t="shared" si="9"/>
        <v>480</v>
      </c>
      <c r="L45" s="358">
        <f>ROUND(D45/(IF(ISNUMBER(SEARCH("เมืองทอง",C45)),อัปเดตราคาอลู!$F$8,IF(ISNUMBER(SEARCH("SlimLux",C45)),อัปเดตราคาอลู!$F$6,IF(ISNUMBER(SEARCH("Velora",C45)),อัปเดตราคาอลู!$F$7,IF(ISNUMBER(SEARCH("Fuji",C45)),อัปเดตราคาอลู!$F$5,อัปเดตราคาอลู!$F$4))))),3)</f>
        <v>1.631</v>
      </c>
      <c r="M45" s="358">
        <f t="shared" si="10"/>
        <v>75</v>
      </c>
      <c r="N45" s="400">
        <f t="shared" si="11"/>
        <v>0</v>
      </c>
    </row>
    <row r="46" spans="1:14" x14ac:dyDescent="0.35">
      <c r="A46" s="128" t="s">
        <v>209</v>
      </c>
      <c r="B46" s="126" t="s">
        <v>210</v>
      </c>
      <c r="C46" s="126" t="s">
        <v>190</v>
      </c>
      <c r="D46" s="131">
        <v>1105</v>
      </c>
      <c r="E46" s="131">
        <v>1185</v>
      </c>
      <c r="F46" s="131">
        <v>1755</v>
      </c>
      <c r="H46" s="341">
        <f t="shared" si="6"/>
        <v>1</v>
      </c>
      <c r="I46" s="327">
        <f t="shared" si="7"/>
        <v>1105</v>
      </c>
      <c r="J46" s="327">
        <f t="shared" si="8"/>
        <v>1185</v>
      </c>
      <c r="K46" s="406">
        <f t="shared" si="9"/>
        <v>1755</v>
      </c>
      <c r="L46" s="358">
        <f>ROUND(D46/(IF(ISNUMBER(SEARCH("เมืองทอง",C46)),อัปเดตราคาอลู!$F$8,IF(ISNUMBER(SEARCH("SlimLux",C46)),อัปเดตราคาอลู!$F$6,IF(ISNUMBER(SEARCH("Velora",C46)),อัปเดตราคาอลู!$F$7,IF(ISNUMBER(SEARCH("Fuji",C46)),อัปเดตราคาอลู!$F$5,อัปเดตราคาอลู!$F$4))))),3)</f>
        <v>5.9089999999999998</v>
      </c>
      <c r="M46" s="358">
        <f t="shared" si="10"/>
        <v>274.21899999999999</v>
      </c>
      <c r="N46" s="400">
        <f t="shared" si="11"/>
        <v>0</v>
      </c>
    </row>
    <row r="47" spans="1:14" x14ac:dyDescent="0.35">
      <c r="A47" s="128" t="s">
        <v>211</v>
      </c>
      <c r="B47" s="126" t="s">
        <v>212</v>
      </c>
      <c r="C47" s="126" t="s">
        <v>190</v>
      </c>
      <c r="D47" s="131">
        <v>1370</v>
      </c>
      <c r="E47" s="131">
        <v>1470</v>
      </c>
      <c r="F47" s="131">
        <v>2170</v>
      </c>
      <c r="H47" s="341">
        <f t="shared" si="6"/>
        <v>1</v>
      </c>
      <c r="I47" s="327">
        <f t="shared" si="7"/>
        <v>1370</v>
      </c>
      <c r="J47" s="327">
        <f t="shared" si="8"/>
        <v>1470</v>
      </c>
      <c r="K47" s="406">
        <f t="shared" si="9"/>
        <v>2170</v>
      </c>
      <c r="L47" s="358">
        <f>ROUND(D47/(IF(ISNUMBER(SEARCH("เมืองทอง",C47)),อัปเดตราคาอลู!$F$8,IF(ISNUMBER(SEARCH("SlimLux",C47)),อัปเดตราคาอลู!$F$6,IF(ISNUMBER(SEARCH("Velora",C47)),อัปเดตราคาอลู!$F$7,IF(ISNUMBER(SEARCH("Fuji",C47)),อัปเดตราคาอลู!$F$5,อัปเดตราคาอลู!$F$4))))),3)</f>
        <v>7.3259999999999996</v>
      </c>
      <c r="M47" s="358">
        <f t="shared" si="10"/>
        <v>339.06299999999999</v>
      </c>
      <c r="N47" s="400">
        <f t="shared" si="11"/>
        <v>0</v>
      </c>
    </row>
    <row r="48" spans="1:14" x14ac:dyDescent="0.35">
      <c r="A48" s="128" t="s">
        <v>213</v>
      </c>
      <c r="B48" s="126" t="s">
        <v>214</v>
      </c>
      <c r="C48" s="126" t="s">
        <v>190</v>
      </c>
      <c r="D48" s="131">
        <v>1075</v>
      </c>
      <c r="E48" s="131">
        <v>1150</v>
      </c>
      <c r="F48" s="131">
        <v>1700</v>
      </c>
      <c r="H48" s="341">
        <f t="shared" si="6"/>
        <v>1</v>
      </c>
      <c r="I48" s="327">
        <f t="shared" si="7"/>
        <v>1075</v>
      </c>
      <c r="J48" s="327">
        <f t="shared" si="8"/>
        <v>1150</v>
      </c>
      <c r="K48" s="406">
        <f t="shared" si="9"/>
        <v>1700</v>
      </c>
      <c r="L48" s="358">
        <f>ROUND(D48/(IF(ISNUMBER(SEARCH("เมืองทอง",C48)),อัปเดตราคาอลู!$F$8,IF(ISNUMBER(SEARCH("SlimLux",C48)),อัปเดตราคาอลู!$F$6,IF(ISNUMBER(SEARCH("Velora",C48)),อัปเดตราคาอลู!$F$7,IF(ISNUMBER(SEARCH("Fuji",C48)),อัปเดตราคาอลู!$F$5,อัปเดตราคาอลู!$F$4))))),3)</f>
        <v>5.7489999999999997</v>
      </c>
      <c r="M48" s="358">
        <f t="shared" si="10"/>
        <v>265.625</v>
      </c>
      <c r="N48" s="400">
        <f t="shared" si="11"/>
        <v>0</v>
      </c>
    </row>
    <row r="49" spans="1:14" x14ac:dyDescent="0.35">
      <c r="A49" s="128" t="s">
        <v>215</v>
      </c>
      <c r="B49" s="126" t="s">
        <v>216</v>
      </c>
      <c r="C49" s="126" t="s">
        <v>190</v>
      </c>
      <c r="D49" s="131">
        <v>285</v>
      </c>
      <c r="E49" s="131">
        <v>310</v>
      </c>
      <c r="F49" s="131">
        <v>455</v>
      </c>
      <c r="H49" s="341">
        <f t="shared" si="6"/>
        <v>1</v>
      </c>
      <c r="I49" s="327">
        <f t="shared" si="7"/>
        <v>285</v>
      </c>
      <c r="J49" s="327">
        <f t="shared" si="8"/>
        <v>310</v>
      </c>
      <c r="K49" s="406">
        <f t="shared" si="9"/>
        <v>455</v>
      </c>
      <c r="L49" s="358">
        <f>ROUND(D49/(IF(ISNUMBER(SEARCH("เมืองทอง",C49)),อัปเดตราคาอลู!$F$8,IF(ISNUMBER(SEARCH("SlimLux",C49)),อัปเดตราคาอลู!$F$6,IF(ISNUMBER(SEARCH("Velora",C49)),อัปเดตราคาอลู!$F$7,IF(ISNUMBER(SEARCH("Fuji",C49)),อัปเดตราคาอลู!$F$5,อัปเดตราคาอลู!$F$4))))),3)</f>
        <v>1.524</v>
      </c>
      <c r="M49" s="358">
        <f t="shared" si="10"/>
        <v>71.093999999999994</v>
      </c>
      <c r="N49" s="400">
        <f t="shared" si="11"/>
        <v>0</v>
      </c>
    </row>
    <row r="50" spans="1:14" x14ac:dyDescent="0.35">
      <c r="A50" s="128" t="s">
        <v>217</v>
      </c>
      <c r="B50" s="126" t="s">
        <v>218</v>
      </c>
      <c r="C50" s="126" t="s">
        <v>190</v>
      </c>
      <c r="D50" s="131">
        <v>490</v>
      </c>
      <c r="E50" s="131">
        <v>525</v>
      </c>
      <c r="F50" s="131">
        <v>775</v>
      </c>
      <c r="H50" s="341">
        <f t="shared" si="6"/>
        <v>1</v>
      </c>
      <c r="I50" s="327">
        <f t="shared" si="7"/>
        <v>490</v>
      </c>
      <c r="J50" s="327">
        <f t="shared" si="8"/>
        <v>525</v>
      </c>
      <c r="K50" s="406">
        <f t="shared" si="9"/>
        <v>775</v>
      </c>
      <c r="L50" s="358">
        <f>ROUND(D50/(IF(ISNUMBER(SEARCH("เมืองทอง",C50)),อัปเดตราคาอลู!$F$8,IF(ISNUMBER(SEARCH("SlimLux",C50)),อัปเดตราคาอลู!$F$6,IF(ISNUMBER(SEARCH("Velora",C50)),อัปเดตราคาอลู!$F$7,IF(ISNUMBER(SEARCH("Fuji",C50)),อัปเดตราคาอลู!$F$5,อัปเดตราคาอลู!$F$4))))),3)</f>
        <v>2.62</v>
      </c>
      <c r="M50" s="358">
        <f t="shared" si="10"/>
        <v>121.09399999999999</v>
      </c>
      <c r="N50" s="400">
        <f t="shared" si="11"/>
        <v>0</v>
      </c>
    </row>
    <row r="51" spans="1:14" x14ac:dyDescent="0.35">
      <c r="A51" s="128" t="s">
        <v>219</v>
      </c>
      <c r="B51" s="126" t="s">
        <v>220</v>
      </c>
      <c r="C51" s="126" t="s">
        <v>190</v>
      </c>
      <c r="D51" s="131">
        <v>395</v>
      </c>
      <c r="E51" s="131">
        <v>425</v>
      </c>
      <c r="F51" s="131">
        <v>630</v>
      </c>
      <c r="H51" s="341">
        <f t="shared" si="6"/>
        <v>1</v>
      </c>
      <c r="I51" s="327">
        <f t="shared" si="7"/>
        <v>395</v>
      </c>
      <c r="J51" s="327">
        <f t="shared" si="8"/>
        <v>425</v>
      </c>
      <c r="K51" s="406">
        <f t="shared" si="9"/>
        <v>630</v>
      </c>
      <c r="L51" s="358">
        <f>ROUND(D51/(IF(ISNUMBER(SEARCH("เมืองทอง",C51)),อัปเดตราคาอลู!$F$8,IF(ISNUMBER(SEARCH("SlimLux",C51)),อัปเดตราคาอลู!$F$6,IF(ISNUMBER(SEARCH("Velora",C51)),อัปเดตราคาอลู!$F$7,IF(ISNUMBER(SEARCH("Fuji",C51)),อัปเดตราคาอลู!$F$5,อัปเดตราคาอลู!$F$4))))),3)</f>
        <v>2.1120000000000001</v>
      </c>
      <c r="M51" s="358">
        <f t="shared" si="10"/>
        <v>98.438000000000002</v>
      </c>
      <c r="N51" s="400">
        <f t="shared" si="11"/>
        <v>0</v>
      </c>
    </row>
    <row r="52" spans="1:14" x14ac:dyDescent="0.35">
      <c r="A52" s="128" t="s">
        <v>221</v>
      </c>
      <c r="B52" s="126" t="s">
        <v>222</v>
      </c>
      <c r="C52" s="126" t="s">
        <v>190</v>
      </c>
      <c r="D52" s="131">
        <v>455</v>
      </c>
      <c r="E52" s="131">
        <v>490</v>
      </c>
      <c r="F52" s="131">
        <v>725</v>
      </c>
      <c r="H52" s="341">
        <f t="shared" si="6"/>
        <v>1</v>
      </c>
      <c r="I52" s="327">
        <f t="shared" si="7"/>
        <v>455</v>
      </c>
      <c r="J52" s="327">
        <f t="shared" si="8"/>
        <v>490</v>
      </c>
      <c r="K52" s="406">
        <f t="shared" si="9"/>
        <v>725</v>
      </c>
      <c r="L52" s="358">
        <f>ROUND(D52/(IF(ISNUMBER(SEARCH("เมืองทอง",C52)),อัปเดตราคาอลู!$F$8,IF(ISNUMBER(SEARCH("SlimLux",C52)),อัปเดตราคาอลู!$F$6,IF(ISNUMBER(SEARCH("Velora",C52)),อัปเดตราคาอลู!$F$7,IF(ISNUMBER(SEARCH("Fuji",C52)),อัปเดตราคาอลู!$F$5,อัปเดตราคาอลู!$F$4))))),3)</f>
        <v>2.4329999999999998</v>
      </c>
      <c r="M52" s="358">
        <f t="shared" si="10"/>
        <v>113.28100000000001</v>
      </c>
      <c r="N52" s="400">
        <f t="shared" si="11"/>
        <v>0</v>
      </c>
    </row>
    <row r="53" spans="1:14" x14ac:dyDescent="0.35">
      <c r="A53" s="128" t="s">
        <v>223</v>
      </c>
      <c r="B53" s="126" t="s">
        <v>224</v>
      </c>
      <c r="C53" s="126" t="s">
        <v>190</v>
      </c>
      <c r="D53" s="131">
        <v>625</v>
      </c>
      <c r="E53" s="131">
        <v>670</v>
      </c>
      <c r="F53" s="131">
        <v>990</v>
      </c>
      <c r="H53" s="341">
        <f t="shared" si="6"/>
        <v>1</v>
      </c>
      <c r="I53" s="327">
        <f t="shared" si="7"/>
        <v>625</v>
      </c>
      <c r="J53" s="327">
        <f t="shared" si="8"/>
        <v>670</v>
      </c>
      <c r="K53" s="406">
        <f t="shared" si="9"/>
        <v>990</v>
      </c>
      <c r="L53" s="358">
        <f>ROUND(D53/(IF(ISNUMBER(SEARCH("เมืองทอง",C53)),อัปเดตราคาอลู!$F$8,IF(ISNUMBER(SEARCH("SlimLux",C53)),อัปเดตราคาอลู!$F$6,IF(ISNUMBER(SEARCH("Velora",C53)),อัปเดตราคาอลู!$F$7,IF(ISNUMBER(SEARCH("Fuji",C53)),อัปเดตราคาอลู!$F$5,อัปเดตราคาอลู!$F$4))))),3)</f>
        <v>3.3420000000000001</v>
      </c>
      <c r="M53" s="358">
        <f t="shared" si="10"/>
        <v>154.68799999999999</v>
      </c>
      <c r="N53" s="400">
        <f t="shared" si="11"/>
        <v>0</v>
      </c>
    </row>
    <row r="54" spans="1:14" x14ac:dyDescent="0.35">
      <c r="A54" s="128" t="s">
        <v>225</v>
      </c>
      <c r="B54" s="126" t="s">
        <v>226</v>
      </c>
      <c r="C54" s="126" t="s">
        <v>190</v>
      </c>
      <c r="D54" s="131">
        <v>750</v>
      </c>
      <c r="E54" s="131">
        <v>805</v>
      </c>
      <c r="F54" s="131">
        <v>1190</v>
      </c>
      <c r="H54" s="341">
        <f t="shared" si="6"/>
        <v>1</v>
      </c>
      <c r="I54" s="327">
        <f t="shared" si="7"/>
        <v>750</v>
      </c>
      <c r="J54" s="327">
        <f t="shared" si="8"/>
        <v>805</v>
      </c>
      <c r="K54" s="406">
        <f t="shared" si="9"/>
        <v>1190</v>
      </c>
      <c r="L54" s="358">
        <f>ROUND(D54/(IF(ISNUMBER(SEARCH("เมืองทอง",C54)),อัปเดตราคาอลู!$F$8,IF(ISNUMBER(SEARCH("SlimLux",C54)),อัปเดตราคาอลู!$F$6,IF(ISNUMBER(SEARCH("Velora",C54)),อัปเดตราคาอลู!$F$7,IF(ISNUMBER(SEARCH("Fuji",C54)),อัปเดตราคาอลู!$F$5,อัปเดตราคาอลู!$F$4))))),3)</f>
        <v>4.0110000000000001</v>
      </c>
      <c r="M54" s="358">
        <f t="shared" si="10"/>
        <v>185.93799999999999</v>
      </c>
      <c r="N54" s="400">
        <f t="shared" si="11"/>
        <v>0</v>
      </c>
    </row>
    <row r="55" spans="1:14" x14ac:dyDescent="0.35">
      <c r="A55" s="128" t="s">
        <v>227</v>
      </c>
      <c r="B55" s="126" t="s">
        <v>228</v>
      </c>
      <c r="C55" s="126" t="s">
        <v>190</v>
      </c>
      <c r="D55" s="131">
        <v>760</v>
      </c>
      <c r="E55" s="131">
        <v>815</v>
      </c>
      <c r="F55" s="131">
        <v>1205</v>
      </c>
      <c r="H55" s="341">
        <f t="shared" si="6"/>
        <v>1</v>
      </c>
      <c r="I55" s="327">
        <f t="shared" si="7"/>
        <v>760</v>
      </c>
      <c r="J55" s="327">
        <f t="shared" si="8"/>
        <v>815</v>
      </c>
      <c r="K55" s="406">
        <f t="shared" si="9"/>
        <v>1205</v>
      </c>
      <c r="L55" s="358">
        <f>ROUND(D55/(IF(ISNUMBER(SEARCH("เมืองทอง",C55)),อัปเดตราคาอลู!$F$8,IF(ISNUMBER(SEARCH("SlimLux",C55)),อัปเดตราคาอลู!$F$6,IF(ISNUMBER(SEARCH("Velora",C55)),อัปเดตราคาอลู!$F$7,IF(ISNUMBER(SEARCH("Fuji",C55)),อัปเดตราคาอลู!$F$5,อัปเดตราคาอลู!$F$4))))),3)</f>
        <v>4.0640000000000001</v>
      </c>
      <c r="M55" s="358">
        <f t="shared" si="10"/>
        <v>188.28100000000001</v>
      </c>
      <c r="N55" s="400">
        <f t="shared" si="11"/>
        <v>0</v>
      </c>
    </row>
    <row r="56" spans="1:14" x14ac:dyDescent="0.35">
      <c r="A56" s="128" t="s">
        <v>229</v>
      </c>
      <c r="B56" s="126" t="s">
        <v>230</v>
      </c>
      <c r="C56" s="126" t="s">
        <v>190</v>
      </c>
      <c r="D56" s="131">
        <v>395</v>
      </c>
      <c r="E56" s="131">
        <v>425</v>
      </c>
      <c r="F56" s="131">
        <v>630</v>
      </c>
      <c r="H56" s="341">
        <f t="shared" si="6"/>
        <v>1</v>
      </c>
      <c r="I56" s="327">
        <f t="shared" si="7"/>
        <v>395</v>
      </c>
      <c r="J56" s="327">
        <f t="shared" si="8"/>
        <v>425</v>
      </c>
      <c r="K56" s="406">
        <f t="shared" si="9"/>
        <v>630</v>
      </c>
      <c r="L56" s="358">
        <f>ROUND(D56/(IF(ISNUMBER(SEARCH("เมืองทอง",C56)),อัปเดตราคาอลู!$F$8,IF(ISNUMBER(SEARCH("SlimLux",C56)),อัปเดตราคาอลู!$F$6,IF(ISNUMBER(SEARCH("Velora",C56)),อัปเดตราคาอลู!$F$7,IF(ISNUMBER(SEARCH("Fuji",C56)),อัปเดตราคาอลู!$F$5,อัปเดตราคาอลู!$F$4))))),3)</f>
        <v>2.1120000000000001</v>
      </c>
      <c r="M56" s="358">
        <f t="shared" si="10"/>
        <v>98.438000000000002</v>
      </c>
      <c r="N56" s="400">
        <f t="shared" si="11"/>
        <v>0</v>
      </c>
    </row>
    <row r="57" spans="1:14" x14ac:dyDescent="0.35">
      <c r="A57" s="128" t="s">
        <v>231</v>
      </c>
      <c r="B57" s="126" t="s">
        <v>232</v>
      </c>
      <c r="C57" s="126" t="s">
        <v>190</v>
      </c>
      <c r="D57" s="131">
        <v>750</v>
      </c>
      <c r="E57" s="131">
        <v>805</v>
      </c>
      <c r="F57" s="131">
        <v>1190</v>
      </c>
      <c r="H57" s="341">
        <f t="shared" si="6"/>
        <v>1</v>
      </c>
      <c r="I57" s="327">
        <f t="shared" si="7"/>
        <v>750</v>
      </c>
      <c r="J57" s="327">
        <f t="shared" si="8"/>
        <v>805</v>
      </c>
      <c r="K57" s="406">
        <f t="shared" si="9"/>
        <v>1190</v>
      </c>
      <c r="L57" s="358">
        <f>ROUND(D57/(IF(ISNUMBER(SEARCH("เมืองทอง",C57)),อัปเดตราคาอลู!$F$8,IF(ISNUMBER(SEARCH("SlimLux",C57)),อัปเดตราคาอลู!$F$6,IF(ISNUMBER(SEARCH("Velora",C57)),อัปเดตราคาอลู!$F$7,IF(ISNUMBER(SEARCH("Fuji",C57)),อัปเดตราคาอลู!$F$5,อัปเดตราคาอลู!$F$4))))),3)</f>
        <v>4.0110000000000001</v>
      </c>
      <c r="M57" s="358">
        <f t="shared" si="10"/>
        <v>185.93799999999999</v>
      </c>
      <c r="N57" s="400">
        <f t="shared" si="11"/>
        <v>0</v>
      </c>
    </row>
    <row r="58" spans="1:14" x14ac:dyDescent="0.35">
      <c r="A58" s="128" t="s">
        <v>233</v>
      </c>
      <c r="B58" s="126" t="s">
        <v>234</v>
      </c>
      <c r="C58" s="126" t="s">
        <v>190</v>
      </c>
      <c r="D58" s="131">
        <v>1960</v>
      </c>
      <c r="E58" s="131">
        <v>2105</v>
      </c>
      <c r="F58" s="131">
        <v>3105</v>
      </c>
      <c r="H58" s="341">
        <f t="shared" si="6"/>
        <v>1</v>
      </c>
      <c r="I58" s="327">
        <f t="shared" si="7"/>
        <v>1960</v>
      </c>
      <c r="J58" s="327">
        <f t="shared" si="8"/>
        <v>2105</v>
      </c>
      <c r="K58" s="406">
        <f t="shared" si="9"/>
        <v>3105</v>
      </c>
      <c r="L58" s="358">
        <f>ROUND(D58/(IF(ISNUMBER(SEARCH("เมืองทอง",C58)),อัปเดตราคาอลู!$F$8,IF(ISNUMBER(SEARCH("SlimLux",C58)),อัปเดตราคาอลู!$F$6,IF(ISNUMBER(SEARCH("Velora",C58)),อัปเดตราคาอลู!$F$7,IF(ISNUMBER(SEARCH("Fuji",C58)),อัปเดตราคาอลู!$F$5,อัปเดตราคาอลู!$F$4))))),3)</f>
        <v>10.481</v>
      </c>
      <c r="M58" s="358">
        <f t="shared" si="10"/>
        <v>485.15600000000001</v>
      </c>
      <c r="N58" s="400">
        <f t="shared" si="11"/>
        <v>0</v>
      </c>
    </row>
    <row r="59" spans="1:14" x14ac:dyDescent="0.35">
      <c r="A59" s="128" t="s">
        <v>235</v>
      </c>
      <c r="B59" s="126" t="s">
        <v>236</v>
      </c>
      <c r="C59" s="126" t="s">
        <v>190</v>
      </c>
      <c r="D59" s="131">
        <v>665</v>
      </c>
      <c r="E59" s="131">
        <v>715</v>
      </c>
      <c r="F59" s="131">
        <v>1060</v>
      </c>
      <c r="H59" s="341">
        <f t="shared" si="6"/>
        <v>1</v>
      </c>
      <c r="I59" s="327">
        <f t="shared" si="7"/>
        <v>665</v>
      </c>
      <c r="J59" s="327">
        <f t="shared" si="8"/>
        <v>715</v>
      </c>
      <c r="K59" s="406">
        <f t="shared" si="9"/>
        <v>1060</v>
      </c>
      <c r="L59" s="358">
        <f>ROUND(D59/(IF(ISNUMBER(SEARCH("เมืองทอง",C59)),อัปเดตราคาอลู!$F$8,IF(ISNUMBER(SEARCH("SlimLux",C59)),อัปเดตราคาอลู!$F$6,IF(ISNUMBER(SEARCH("Velora",C59)),อัปเดตราคาอลู!$F$7,IF(ISNUMBER(SEARCH("Fuji",C59)),อัปเดตราคาอลู!$F$5,อัปเดตราคาอลู!$F$4))))),3)</f>
        <v>3.556</v>
      </c>
      <c r="M59" s="358">
        <f t="shared" si="10"/>
        <v>165.625</v>
      </c>
      <c r="N59" s="400">
        <f t="shared" si="11"/>
        <v>0</v>
      </c>
    </row>
    <row r="60" spans="1:14" x14ac:dyDescent="0.35">
      <c r="A60" s="128" t="s">
        <v>237</v>
      </c>
      <c r="B60" s="126" t="s">
        <v>238</v>
      </c>
      <c r="C60" s="126" t="s">
        <v>190</v>
      </c>
      <c r="D60" s="131">
        <v>775</v>
      </c>
      <c r="E60" s="131">
        <v>835</v>
      </c>
      <c r="F60" s="131">
        <v>1230</v>
      </c>
      <c r="H60" s="341">
        <f t="shared" si="6"/>
        <v>1</v>
      </c>
      <c r="I60" s="327">
        <f t="shared" si="7"/>
        <v>775</v>
      </c>
      <c r="J60" s="327">
        <f t="shared" si="8"/>
        <v>835</v>
      </c>
      <c r="K60" s="406">
        <f t="shared" si="9"/>
        <v>1230</v>
      </c>
      <c r="L60" s="358">
        <f>ROUND(D60/(IF(ISNUMBER(SEARCH("เมืองทอง",C60)),อัปเดตราคาอลู!$F$8,IF(ISNUMBER(SEARCH("SlimLux",C60)),อัปเดตราคาอลู!$F$6,IF(ISNUMBER(SEARCH("Velora",C60)),อัปเดตราคาอลู!$F$7,IF(ISNUMBER(SEARCH("Fuji",C60)),อัปเดตราคาอลู!$F$5,อัปเดตราคาอลู!$F$4))))),3)</f>
        <v>4.1440000000000001</v>
      </c>
      <c r="M60" s="358">
        <f t="shared" si="10"/>
        <v>192.18799999999999</v>
      </c>
      <c r="N60" s="400">
        <f t="shared" si="11"/>
        <v>0</v>
      </c>
    </row>
    <row r="61" spans="1:14" x14ac:dyDescent="0.35">
      <c r="A61" s="128" t="s">
        <v>239</v>
      </c>
      <c r="B61" s="126" t="s">
        <v>240</v>
      </c>
      <c r="C61" s="126" t="s">
        <v>190</v>
      </c>
      <c r="D61" s="131">
        <v>120</v>
      </c>
      <c r="E61" s="131">
        <v>150</v>
      </c>
      <c r="F61" s="131">
        <v>180</v>
      </c>
      <c r="H61" s="341">
        <f t="shared" si="6"/>
        <v>1</v>
      </c>
      <c r="I61" s="327">
        <f t="shared" si="7"/>
        <v>120</v>
      </c>
      <c r="J61" s="327">
        <f t="shared" si="8"/>
        <v>150</v>
      </c>
      <c r="K61" s="406">
        <f t="shared" si="9"/>
        <v>180</v>
      </c>
      <c r="L61" s="358">
        <f>ROUND(D61/(IF(ISNUMBER(SEARCH("เมืองทอง",C61)),อัปเดตราคาอลู!$F$8,IF(ISNUMBER(SEARCH("SlimLux",C61)),อัปเดตราคาอลู!$F$6,IF(ISNUMBER(SEARCH("Velora",C61)),อัปเดตราคาอลู!$F$7,IF(ISNUMBER(SEARCH("Fuji",C61)),อัปเดตราคาอลู!$F$5,อัปเดตราคาอลู!$F$4))))),3)</f>
        <v>0.64200000000000002</v>
      </c>
      <c r="M61" s="358">
        <f t="shared" si="10"/>
        <v>28.125</v>
      </c>
      <c r="N61" s="400">
        <f t="shared" si="11"/>
        <v>0</v>
      </c>
    </row>
    <row r="62" spans="1:14" x14ac:dyDescent="0.35">
      <c r="A62" s="128" t="s">
        <v>241</v>
      </c>
      <c r="B62" s="126" t="s">
        <v>242</v>
      </c>
      <c r="C62" s="126" t="s">
        <v>190</v>
      </c>
      <c r="D62" s="131">
        <v>120</v>
      </c>
      <c r="E62" s="131">
        <v>150</v>
      </c>
      <c r="F62" s="131">
        <v>170</v>
      </c>
      <c r="H62" s="341">
        <f t="shared" si="6"/>
        <v>1</v>
      </c>
      <c r="I62" s="327">
        <f t="shared" si="7"/>
        <v>120</v>
      </c>
      <c r="J62" s="327">
        <f t="shared" si="8"/>
        <v>150</v>
      </c>
      <c r="K62" s="406">
        <f t="shared" si="9"/>
        <v>170</v>
      </c>
      <c r="L62" s="358">
        <f>ROUND(D62/(IF(ISNUMBER(SEARCH("เมืองทอง",C62)),อัปเดตราคาอลู!$F$8,IF(ISNUMBER(SEARCH("SlimLux",C62)),อัปเดตราคาอลู!$F$6,IF(ISNUMBER(SEARCH("Velora",C62)),อัปเดตราคาอลู!$F$7,IF(ISNUMBER(SEARCH("Fuji",C62)),อัปเดตราคาอลู!$F$5,อัปเดตราคาอลู!$F$4))))),3)</f>
        <v>0.64200000000000002</v>
      </c>
      <c r="M62" s="358">
        <f t="shared" si="10"/>
        <v>26.562999999999999</v>
      </c>
      <c r="N62" s="400">
        <f t="shared" si="11"/>
        <v>0</v>
      </c>
    </row>
    <row r="63" spans="1:14" x14ac:dyDescent="0.35">
      <c r="A63" s="128" t="s">
        <v>243</v>
      </c>
      <c r="B63" s="126" t="s">
        <v>244</v>
      </c>
      <c r="C63" s="126" t="s">
        <v>190</v>
      </c>
      <c r="D63" s="131">
        <v>150</v>
      </c>
      <c r="E63" s="131"/>
      <c r="F63" s="131"/>
      <c r="H63" s="341">
        <f t="shared" si="6"/>
        <v>1</v>
      </c>
      <c r="I63" s="327">
        <f t="shared" si="7"/>
        <v>150</v>
      </c>
      <c r="J63" s="327">
        <f t="shared" si="8"/>
        <v>0</v>
      </c>
      <c r="L63" s="358">
        <f>ROUND(D63/(IF(ISNUMBER(SEARCH("เมืองทอง",C63)),อัปเดตราคาอลู!$F$8,IF(ISNUMBER(SEARCH("SlimLux",C63)),อัปเดตราคาอลู!$F$6,IF(ISNUMBER(SEARCH("Velora",C63)),อัปเดตราคาอลู!$F$7,IF(ISNUMBER(SEARCH("Fuji",C63)),อัปเดตราคาอลู!$F$5,อัปเดตราคาอลู!$F$4))))),3)</f>
        <v>0.80200000000000005</v>
      </c>
      <c r="M63" s="358">
        <f t="shared" si="10"/>
        <v>0</v>
      </c>
      <c r="N63" s="400">
        <f t="shared" si="11"/>
        <v>0</v>
      </c>
    </row>
    <row r="64" spans="1:14" x14ac:dyDescent="0.35">
      <c r="A64" s="128" t="s">
        <v>245</v>
      </c>
      <c r="B64" s="126" t="s">
        <v>246</v>
      </c>
      <c r="C64" s="126" t="s">
        <v>190</v>
      </c>
      <c r="D64" s="131">
        <v>150</v>
      </c>
      <c r="E64" s="131">
        <v>180</v>
      </c>
      <c r="F64" s="131">
        <v>270</v>
      </c>
      <c r="H64" s="341">
        <f t="shared" si="6"/>
        <v>1</v>
      </c>
      <c r="I64" s="327">
        <f t="shared" si="7"/>
        <v>150</v>
      </c>
      <c r="J64" s="327">
        <f t="shared" si="8"/>
        <v>180</v>
      </c>
      <c r="K64" s="406">
        <f t="shared" ref="K64:K108" si="12">ROUND(F64*mult_wood,0)</f>
        <v>270</v>
      </c>
      <c r="L64" s="358">
        <f>ROUND(D64/(IF(ISNUMBER(SEARCH("เมืองทอง",C64)),อัปเดตราคาอลู!$F$8,IF(ISNUMBER(SEARCH("SlimLux",C64)),อัปเดตราคาอลู!$F$6,IF(ISNUMBER(SEARCH("Velora",C64)),อัปเดตราคาอลู!$F$7,IF(ISNUMBER(SEARCH("Fuji",C64)),อัปเดตราคาอลู!$F$5,อัปเดตราคาอลู!$F$4))))),3)</f>
        <v>0.80200000000000005</v>
      </c>
      <c r="M64" s="358">
        <f t="shared" si="10"/>
        <v>42.188000000000002</v>
      </c>
      <c r="N64" s="400">
        <f t="shared" si="11"/>
        <v>0</v>
      </c>
    </row>
    <row r="65" spans="1:14" x14ac:dyDescent="0.35">
      <c r="A65" s="128" t="s">
        <v>247</v>
      </c>
      <c r="B65" s="126" t="s">
        <v>248</v>
      </c>
      <c r="C65" s="126" t="s">
        <v>190</v>
      </c>
      <c r="D65" s="131">
        <v>455</v>
      </c>
      <c r="E65" s="131">
        <v>490</v>
      </c>
      <c r="F65" s="131">
        <v>725</v>
      </c>
      <c r="H65" s="341">
        <f t="shared" si="6"/>
        <v>1</v>
      </c>
      <c r="I65" s="327">
        <f t="shared" si="7"/>
        <v>455</v>
      </c>
      <c r="J65" s="327">
        <f t="shared" si="8"/>
        <v>490</v>
      </c>
      <c r="K65" s="406">
        <f t="shared" si="12"/>
        <v>725</v>
      </c>
      <c r="L65" s="358">
        <f>ROUND(D65/(IF(ISNUMBER(SEARCH("เมืองทอง",C65)),อัปเดตราคาอลู!$F$8,IF(ISNUMBER(SEARCH("SlimLux",C65)),อัปเดตราคาอลู!$F$6,IF(ISNUMBER(SEARCH("Velora",C65)),อัปเดตราคาอลู!$F$7,IF(ISNUMBER(SEARCH("Fuji",C65)),อัปเดตราคาอลู!$F$5,อัปเดตราคาอลู!$F$4))))),3)</f>
        <v>2.4329999999999998</v>
      </c>
      <c r="M65" s="358">
        <f t="shared" si="10"/>
        <v>113.28100000000001</v>
      </c>
      <c r="N65" s="400">
        <f t="shared" si="11"/>
        <v>0</v>
      </c>
    </row>
    <row r="66" spans="1:14" x14ac:dyDescent="0.35">
      <c r="A66" s="128" t="s">
        <v>249</v>
      </c>
      <c r="B66" s="126" t="s">
        <v>250</v>
      </c>
      <c r="C66" s="126" t="s">
        <v>190</v>
      </c>
      <c r="D66" s="131">
        <v>185</v>
      </c>
      <c r="E66" s="131">
        <v>200</v>
      </c>
      <c r="F66" s="131">
        <v>295</v>
      </c>
      <c r="H66" s="341">
        <f t="shared" si="6"/>
        <v>1</v>
      </c>
      <c r="I66" s="327">
        <f t="shared" si="7"/>
        <v>185</v>
      </c>
      <c r="J66" s="327">
        <f t="shared" si="8"/>
        <v>200</v>
      </c>
      <c r="K66" s="406">
        <f t="shared" si="12"/>
        <v>295</v>
      </c>
      <c r="L66" s="358">
        <f>ROUND(D66/(IF(ISNUMBER(SEARCH("เมืองทอง",C66)),อัปเดตราคาอลู!$F$8,IF(ISNUMBER(SEARCH("SlimLux",C66)),อัปเดตราคาอลู!$F$6,IF(ISNUMBER(SEARCH("Velora",C66)),อัปเดตราคาอลู!$F$7,IF(ISNUMBER(SEARCH("Fuji",C66)),อัปเดตราคาอลู!$F$5,อัปเดตราคาอลู!$F$4))))),3)</f>
        <v>0.98899999999999999</v>
      </c>
      <c r="M66" s="358">
        <f t="shared" si="10"/>
        <v>46.094000000000001</v>
      </c>
      <c r="N66" s="400">
        <f t="shared" si="11"/>
        <v>0</v>
      </c>
    </row>
    <row r="67" spans="1:14" x14ac:dyDescent="0.35">
      <c r="A67" s="128" t="s">
        <v>251</v>
      </c>
      <c r="B67" s="126" t="s">
        <v>250</v>
      </c>
      <c r="C67" s="126" t="s">
        <v>190</v>
      </c>
      <c r="D67" s="131">
        <v>160</v>
      </c>
      <c r="E67" s="131">
        <v>170</v>
      </c>
      <c r="F67" s="131">
        <v>255</v>
      </c>
      <c r="H67" s="341">
        <f t="shared" ref="H67:H98" si="13">IF(ISNUMBER(SEARCH("เมืองทอง",C67)),mult_mtong,IF(ISNUMBER(SEARCH("SlimLux",C67)),mult_slim,IF(ISNUMBER(SEARCH("Velora",C67)),mult_velora,IF(ISNUMBER(SEARCH("Fuji",C67)),mult_euro,mult_sms))))</f>
        <v>1</v>
      </c>
      <c r="I67" s="327">
        <f t="shared" ref="I67:I98" si="14">ROUND(D67*H67,0)</f>
        <v>160</v>
      </c>
      <c r="J67" s="327">
        <f t="shared" ref="J67:J98" si="15">ROUND(E67*H67,0)</f>
        <v>170</v>
      </c>
      <c r="K67" s="406">
        <f t="shared" si="12"/>
        <v>255</v>
      </c>
      <c r="L67" s="358">
        <f>ROUND(D67/(IF(ISNUMBER(SEARCH("เมืองทอง",C67)),อัปเดตราคาอลู!$F$8,IF(ISNUMBER(SEARCH("SlimLux",C67)),อัปเดตราคาอลู!$F$6,IF(ISNUMBER(SEARCH("Velora",C67)),อัปเดตราคาอลู!$F$7,IF(ISNUMBER(SEARCH("Fuji",C67)),อัปเดตราคาอลู!$F$5,อัปเดตราคาอลู!$F$4))))),3)</f>
        <v>0.85599999999999998</v>
      </c>
      <c r="M67" s="358">
        <f t="shared" ref="M67:M98" si="16">ROUND(K67/(IF(OR(ISNUMBER(SEARCH("เมืองทอง",C67)),ISNUMBER(SEARCH("SlimLux",C67)),ISNUMBER(SEARCH("Velora",C67))),6,6.4)),3)</f>
        <v>39.844000000000001</v>
      </c>
      <c r="N67" s="400">
        <f t="shared" ref="N67:N98" si="17">ROUND(I67-D67,0)</f>
        <v>0</v>
      </c>
    </row>
    <row r="68" spans="1:14" x14ac:dyDescent="0.35">
      <c r="A68" s="128" t="s">
        <v>252</v>
      </c>
      <c r="B68" s="126" t="s">
        <v>250</v>
      </c>
      <c r="C68" s="126" t="s">
        <v>190</v>
      </c>
      <c r="D68" s="131">
        <v>160</v>
      </c>
      <c r="E68" s="131">
        <v>170</v>
      </c>
      <c r="F68" s="131">
        <v>255</v>
      </c>
      <c r="H68" s="341">
        <f t="shared" si="13"/>
        <v>1</v>
      </c>
      <c r="I68" s="327">
        <f t="shared" si="14"/>
        <v>160</v>
      </c>
      <c r="J68" s="327">
        <f t="shared" si="15"/>
        <v>170</v>
      </c>
      <c r="K68" s="406">
        <f t="shared" si="12"/>
        <v>255</v>
      </c>
      <c r="L68" s="358">
        <f>ROUND(D68/(IF(ISNUMBER(SEARCH("เมืองทอง",C68)),อัปเดตราคาอลู!$F$8,IF(ISNUMBER(SEARCH("SlimLux",C68)),อัปเดตราคาอลู!$F$6,IF(ISNUMBER(SEARCH("Velora",C68)),อัปเดตราคาอลู!$F$7,IF(ISNUMBER(SEARCH("Fuji",C68)),อัปเดตราคาอลู!$F$5,อัปเดตราคาอลู!$F$4))))),3)</f>
        <v>0.85599999999999998</v>
      </c>
      <c r="M68" s="358">
        <f t="shared" si="16"/>
        <v>39.844000000000001</v>
      </c>
      <c r="N68" s="400">
        <f t="shared" si="17"/>
        <v>0</v>
      </c>
    </row>
    <row r="69" spans="1:14" x14ac:dyDescent="0.35">
      <c r="A69" s="128" t="s">
        <v>253</v>
      </c>
      <c r="B69" s="126" t="s">
        <v>254</v>
      </c>
      <c r="C69" s="126" t="s">
        <v>190</v>
      </c>
      <c r="D69" s="131">
        <v>540</v>
      </c>
      <c r="E69" s="131">
        <v>580</v>
      </c>
      <c r="F69" s="131">
        <v>855</v>
      </c>
      <c r="H69" s="341">
        <f t="shared" si="13"/>
        <v>1</v>
      </c>
      <c r="I69" s="327">
        <f t="shared" si="14"/>
        <v>540</v>
      </c>
      <c r="J69" s="327">
        <f t="shared" si="15"/>
        <v>580</v>
      </c>
      <c r="K69" s="406">
        <f t="shared" si="12"/>
        <v>855</v>
      </c>
      <c r="L69" s="358">
        <f>ROUND(D69/(IF(ISNUMBER(SEARCH("เมืองทอง",C69)),อัปเดตราคาอลู!$F$8,IF(ISNUMBER(SEARCH("SlimLux",C69)),อัปเดตราคาอลู!$F$6,IF(ISNUMBER(SEARCH("Velora",C69)),อัปเดตราคาอลู!$F$7,IF(ISNUMBER(SEARCH("Fuji",C69)),อัปเดตราคาอลู!$F$5,อัปเดตราคาอลู!$F$4))))),3)</f>
        <v>2.8879999999999999</v>
      </c>
      <c r="M69" s="358">
        <f t="shared" si="16"/>
        <v>133.59399999999999</v>
      </c>
      <c r="N69" s="400">
        <f t="shared" si="17"/>
        <v>0</v>
      </c>
    </row>
    <row r="70" spans="1:14" x14ac:dyDescent="0.35">
      <c r="A70" s="128" t="s">
        <v>255</v>
      </c>
      <c r="B70" s="126" t="s">
        <v>256</v>
      </c>
      <c r="C70" s="126" t="s">
        <v>190</v>
      </c>
      <c r="D70" s="131">
        <v>355</v>
      </c>
      <c r="E70" s="131">
        <v>380</v>
      </c>
      <c r="F70" s="131">
        <v>560</v>
      </c>
      <c r="H70" s="341">
        <f t="shared" si="13"/>
        <v>1</v>
      </c>
      <c r="I70" s="327">
        <f t="shared" si="14"/>
        <v>355</v>
      </c>
      <c r="J70" s="327">
        <f t="shared" si="15"/>
        <v>380</v>
      </c>
      <c r="K70" s="406">
        <f t="shared" si="12"/>
        <v>560</v>
      </c>
      <c r="L70" s="358">
        <f>ROUND(D70/(IF(ISNUMBER(SEARCH("เมืองทอง",C70)),อัปเดตราคาอลู!$F$8,IF(ISNUMBER(SEARCH("SlimLux",C70)),อัปเดตราคาอลู!$F$6,IF(ISNUMBER(SEARCH("Velora",C70)),อัปเดตราคาอลู!$F$7,IF(ISNUMBER(SEARCH("Fuji",C70)),อัปเดตราคาอลู!$F$5,อัปเดตราคาอลู!$F$4))))),3)</f>
        <v>1.8979999999999999</v>
      </c>
      <c r="M70" s="358">
        <f t="shared" si="16"/>
        <v>87.5</v>
      </c>
      <c r="N70" s="400">
        <f t="shared" si="17"/>
        <v>0</v>
      </c>
    </row>
    <row r="71" spans="1:14" x14ac:dyDescent="0.35">
      <c r="A71" s="128" t="s">
        <v>257</v>
      </c>
      <c r="B71" s="126" t="s">
        <v>258</v>
      </c>
      <c r="C71" s="126" t="s">
        <v>190</v>
      </c>
      <c r="D71" s="131">
        <v>355</v>
      </c>
      <c r="E71" s="131">
        <v>380</v>
      </c>
      <c r="F71" s="131">
        <v>560</v>
      </c>
      <c r="H71" s="341">
        <f t="shared" si="13"/>
        <v>1</v>
      </c>
      <c r="I71" s="327">
        <f t="shared" si="14"/>
        <v>355</v>
      </c>
      <c r="J71" s="327">
        <f t="shared" si="15"/>
        <v>380</v>
      </c>
      <c r="K71" s="406">
        <f t="shared" si="12"/>
        <v>560</v>
      </c>
      <c r="L71" s="358">
        <f>ROUND(D71/(IF(ISNUMBER(SEARCH("เมืองทอง",C71)),อัปเดตราคาอลู!$F$8,IF(ISNUMBER(SEARCH("SlimLux",C71)),อัปเดตราคาอลู!$F$6,IF(ISNUMBER(SEARCH("Velora",C71)),อัปเดตราคาอลู!$F$7,IF(ISNUMBER(SEARCH("Fuji",C71)),อัปเดตราคาอลู!$F$5,อัปเดตราคาอลู!$F$4))))),3)</f>
        <v>1.8979999999999999</v>
      </c>
      <c r="M71" s="358">
        <f t="shared" si="16"/>
        <v>87.5</v>
      </c>
      <c r="N71" s="400">
        <f t="shared" si="17"/>
        <v>0</v>
      </c>
    </row>
    <row r="72" spans="1:14" x14ac:dyDescent="0.35">
      <c r="A72" s="128" t="s">
        <v>259</v>
      </c>
      <c r="B72" s="126" t="s">
        <v>260</v>
      </c>
      <c r="C72" s="126" t="s">
        <v>190</v>
      </c>
      <c r="D72" s="131">
        <v>1075</v>
      </c>
      <c r="E72" s="131">
        <v>1150</v>
      </c>
      <c r="F72" s="131">
        <v>1700</v>
      </c>
      <c r="H72" s="341">
        <f t="shared" si="13"/>
        <v>1</v>
      </c>
      <c r="I72" s="327">
        <f t="shared" si="14"/>
        <v>1075</v>
      </c>
      <c r="J72" s="327">
        <f t="shared" si="15"/>
        <v>1150</v>
      </c>
      <c r="K72" s="406">
        <f t="shared" si="12"/>
        <v>1700</v>
      </c>
      <c r="L72" s="358">
        <f>ROUND(D72/(IF(ISNUMBER(SEARCH("เมืองทอง",C72)),อัปเดตราคาอลู!$F$8,IF(ISNUMBER(SEARCH("SlimLux",C72)),อัปเดตราคาอลู!$F$6,IF(ISNUMBER(SEARCH("Velora",C72)),อัปเดตราคาอลู!$F$7,IF(ISNUMBER(SEARCH("Fuji",C72)),อัปเดตราคาอลู!$F$5,อัปเดตราคาอลู!$F$4))))),3)</f>
        <v>5.7489999999999997</v>
      </c>
      <c r="M72" s="358">
        <f t="shared" si="16"/>
        <v>265.625</v>
      </c>
      <c r="N72" s="400">
        <f t="shared" si="17"/>
        <v>0</v>
      </c>
    </row>
    <row r="73" spans="1:14" x14ac:dyDescent="0.35">
      <c r="A73" s="128" t="s">
        <v>261</v>
      </c>
      <c r="B73" s="126" t="s">
        <v>262</v>
      </c>
      <c r="C73" s="126" t="s">
        <v>190</v>
      </c>
      <c r="D73" s="131">
        <v>1345</v>
      </c>
      <c r="E73" s="131">
        <v>1440</v>
      </c>
      <c r="F73" s="131">
        <v>2130</v>
      </c>
      <c r="H73" s="341">
        <f t="shared" si="13"/>
        <v>1</v>
      </c>
      <c r="I73" s="327">
        <f t="shared" si="14"/>
        <v>1345</v>
      </c>
      <c r="J73" s="327">
        <f t="shared" si="15"/>
        <v>1440</v>
      </c>
      <c r="K73" s="406">
        <f t="shared" si="12"/>
        <v>2130</v>
      </c>
      <c r="L73" s="358">
        <f>ROUND(D73/(IF(ISNUMBER(SEARCH("เมืองทอง",C73)),อัปเดตราคาอลู!$F$8,IF(ISNUMBER(SEARCH("SlimLux",C73)),อัปเดตราคาอลู!$F$6,IF(ISNUMBER(SEARCH("Velora",C73)),อัปเดตราคาอลู!$F$7,IF(ISNUMBER(SEARCH("Fuji",C73)),อัปเดตราคาอลู!$F$5,อัปเดตราคาอลู!$F$4))))),3)</f>
        <v>7.1929999999999996</v>
      </c>
      <c r="M73" s="358">
        <f t="shared" si="16"/>
        <v>332.81299999999999</v>
      </c>
      <c r="N73" s="400">
        <f t="shared" si="17"/>
        <v>0</v>
      </c>
    </row>
    <row r="74" spans="1:14" x14ac:dyDescent="0.35">
      <c r="A74" s="128" t="s">
        <v>263</v>
      </c>
      <c r="B74" s="126" t="s">
        <v>264</v>
      </c>
      <c r="C74" s="126" t="s">
        <v>190</v>
      </c>
      <c r="D74" s="131">
        <v>1180</v>
      </c>
      <c r="E74" s="131">
        <v>1270</v>
      </c>
      <c r="F74" s="131">
        <v>1875</v>
      </c>
      <c r="H74" s="341">
        <f t="shared" si="13"/>
        <v>1</v>
      </c>
      <c r="I74" s="327">
        <f t="shared" si="14"/>
        <v>1180</v>
      </c>
      <c r="J74" s="327">
        <f t="shared" si="15"/>
        <v>1270</v>
      </c>
      <c r="K74" s="406">
        <f t="shared" si="12"/>
        <v>1875</v>
      </c>
      <c r="L74" s="358">
        <f>ROUND(D74/(IF(ISNUMBER(SEARCH("เมืองทอง",C74)),อัปเดตราคาอลู!$F$8,IF(ISNUMBER(SEARCH("SlimLux",C74)),อัปเดตราคาอลู!$F$6,IF(ISNUMBER(SEARCH("Velora",C74)),อัปเดตราคาอลู!$F$7,IF(ISNUMBER(SEARCH("Fuji",C74)),อัปเดตราคาอลู!$F$5,อัปเดตราคาอลู!$F$4))))),3)</f>
        <v>6.31</v>
      </c>
      <c r="M74" s="358">
        <f t="shared" si="16"/>
        <v>292.96899999999999</v>
      </c>
      <c r="N74" s="400">
        <f t="shared" si="17"/>
        <v>0</v>
      </c>
    </row>
    <row r="75" spans="1:14" x14ac:dyDescent="0.35">
      <c r="A75" s="128" t="s">
        <v>265</v>
      </c>
      <c r="B75" s="126" t="s">
        <v>266</v>
      </c>
      <c r="C75" s="126" t="s">
        <v>190</v>
      </c>
      <c r="D75" s="131">
        <v>1505</v>
      </c>
      <c r="E75" s="131">
        <v>1615</v>
      </c>
      <c r="F75" s="131">
        <v>2385</v>
      </c>
      <c r="H75" s="341">
        <f t="shared" si="13"/>
        <v>1</v>
      </c>
      <c r="I75" s="327">
        <f t="shared" si="14"/>
        <v>1505</v>
      </c>
      <c r="J75" s="327">
        <f t="shared" si="15"/>
        <v>1615</v>
      </c>
      <c r="K75" s="406">
        <f t="shared" si="12"/>
        <v>2385</v>
      </c>
      <c r="L75" s="358">
        <f>ROUND(D75/(IF(ISNUMBER(SEARCH("เมืองทอง",C75)),อัปเดตราคาอลู!$F$8,IF(ISNUMBER(SEARCH("SlimLux",C75)),อัปเดตราคาอลู!$F$6,IF(ISNUMBER(SEARCH("Velora",C75)),อัปเดตราคาอลู!$F$7,IF(ISNUMBER(SEARCH("Fuji",C75)),อัปเดตราคาอลู!$F$5,อัปเดตราคาอลู!$F$4))))),3)</f>
        <v>8.048</v>
      </c>
      <c r="M75" s="358">
        <f t="shared" si="16"/>
        <v>372.65600000000001</v>
      </c>
      <c r="N75" s="400">
        <f t="shared" si="17"/>
        <v>0</v>
      </c>
    </row>
    <row r="76" spans="1:14" x14ac:dyDescent="0.35">
      <c r="A76" s="128" t="s">
        <v>267</v>
      </c>
      <c r="B76" s="126" t="s">
        <v>268</v>
      </c>
      <c r="C76" s="126" t="s">
        <v>190</v>
      </c>
      <c r="D76" s="131">
        <v>1350</v>
      </c>
      <c r="E76" s="131">
        <v>1450</v>
      </c>
      <c r="F76" s="131">
        <v>2140</v>
      </c>
      <c r="H76" s="341">
        <f t="shared" si="13"/>
        <v>1</v>
      </c>
      <c r="I76" s="327">
        <f t="shared" si="14"/>
        <v>1350</v>
      </c>
      <c r="J76" s="327">
        <f t="shared" si="15"/>
        <v>1450</v>
      </c>
      <c r="K76" s="406">
        <f t="shared" si="12"/>
        <v>2140</v>
      </c>
      <c r="L76" s="358">
        <f>ROUND(D76/(IF(ISNUMBER(SEARCH("เมืองทอง",C76)),อัปเดตราคาอลู!$F$8,IF(ISNUMBER(SEARCH("SlimLux",C76)),อัปเดตราคาอลู!$F$6,IF(ISNUMBER(SEARCH("Velora",C76)),อัปเดตราคาอลู!$F$7,IF(ISNUMBER(SEARCH("Fuji",C76)),อัปเดตราคาอลู!$F$5,อัปเดตราคาอลู!$F$4))))),3)</f>
        <v>7.2190000000000003</v>
      </c>
      <c r="M76" s="358">
        <f t="shared" si="16"/>
        <v>334.375</v>
      </c>
      <c r="N76" s="400">
        <f t="shared" si="17"/>
        <v>0</v>
      </c>
    </row>
    <row r="77" spans="1:14" x14ac:dyDescent="0.35">
      <c r="A77" s="128" t="s">
        <v>269</v>
      </c>
      <c r="B77" s="126" t="s">
        <v>270</v>
      </c>
      <c r="C77" s="126" t="s">
        <v>190</v>
      </c>
      <c r="D77" s="131">
        <v>1350</v>
      </c>
      <c r="E77" s="131">
        <v>1450</v>
      </c>
      <c r="F77" s="131">
        <v>2140</v>
      </c>
      <c r="H77" s="341">
        <f t="shared" si="13"/>
        <v>1</v>
      </c>
      <c r="I77" s="327">
        <f t="shared" si="14"/>
        <v>1350</v>
      </c>
      <c r="J77" s="327">
        <f t="shared" si="15"/>
        <v>1450</v>
      </c>
      <c r="K77" s="406">
        <f t="shared" si="12"/>
        <v>2140</v>
      </c>
      <c r="L77" s="358">
        <f>ROUND(D77/(IF(ISNUMBER(SEARCH("เมืองทอง",C77)),อัปเดตราคาอลู!$F$8,IF(ISNUMBER(SEARCH("SlimLux",C77)),อัปเดตราคาอลู!$F$6,IF(ISNUMBER(SEARCH("Velora",C77)),อัปเดตราคาอลู!$F$7,IF(ISNUMBER(SEARCH("Fuji",C77)),อัปเดตราคาอลู!$F$5,อัปเดตราคาอลู!$F$4))))),3)</f>
        <v>7.2190000000000003</v>
      </c>
      <c r="M77" s="358">
        <f t="shared" si="16"/>
        <v>334.375</v>
      </c>
      <c r="N77" s="400">
        <f t="shared" si="17"/>
        <v>0</v>
      </c>
    </row>
    <row r="78" spans="1:14" x14ac:dyDescent="0.35">
      <c r="A78" s="128" t="s">
        <v>271</v>
      </c>
      <c r="B78" s="126" t="s">
        <v>272</v>
      </c>
      <c r="C78" s="126" t="s">
        <v>190</v>
      </c>
      <c r="D78" s="131">
        <v>735</v>
      </c>
      <c r="E78" s="131">
        <v>790</v>
      </c>
      <c r="F78" s="131">
        <v>1165</v>
      </c>
      <c r="H78" s="341">
        <f t="shared" si="13"/>
        <v>1</v>
      </c>
      <c r="I78" s="327">
        <f t="shared" si="14"/>
        <v>735</v>
      </c>
      <c r="J78" s="327">
        <f t="shared" si="15"/>
        <v>790</v>
      </c>
      <c r="K78" s="406">
        <f t="shared" si="12"/>
        <v>1165</v>
      </c>
      <c r="L78" s="358">
        <f>ROUND(D78/(IF(ISNUMBER(SEARCH("เมืองทอง",C78)),อัปเดตราคาอลู!$F$8,IF(ISNUMBER(SEARCH("SlimLux",C78)),อัปเดตราคาอลู!$F$6,IF(ISNUMBER(SEARCH("Velora",C78)),อัปเดตราคาอลู!$F$7,IF(ISNUMBER(SEARCH("Fuji",C78)),อัปเดตราคาอลู!$F$5,อัปเดตราคาอลู!$F$4))))),3)</f>
        <v>3.93</v>
      </c>
      <c r="M78" s="358">
        <f t="shared" si="16"/>
        <v>182.03100000000001</v>
      </c>
      <c r="N78" s="400">
        <f t="shared" si="17"/>
        <v>0</v>
      </c>
    </row>
    <row r="79" spans="1:14" x14ac:dyDescent="0.35">
      <c r="A79" s="128" t="s">
        <v>273</v>
      </c>
      <c r="B79" s="126" t="s">
        <v>274</v>
      </c>
      <c r="C79" s="126" t="s">
        <v>190</v>
      </c>
      <c r="D79" s="131">
        <v>1030</v>
      </c>
      <c r="E79" s="131">
        <v>1105</v>
      </c>
      <c r="F79" s="131">
        <v>1635</v>
      </c>
      <c r="H79" s="341">
        <f t="shared" si="13"/>
        <v>1</v>
      </c>
      <c r="I79" s="327">
        <f t="shared" si="14"/>
        <v>1030</v>
      </c>
      <c r="J79" s="327">
        <f t="shared" si="15"/>
        <v>1105</v>
      </c>
      <c r="K79" s="406">
        <f t="shared" si="12"/>
        <v>1635</v>
      </c>
      <c r="L79" s="358">
        <f>ROUND(D79/(IF(ISNUMBER(SEARCH("เมืองทอง",C79)),อัปเดตราคาอลู!$F$8,IF(ISNUMBER(SEARCH("SlimLux",C79)),อัปเดตราคาอลู!$F$6,IF(ISNUMBER(SEARCH("Velora",C79)),อัปเดตราคาอลู!$F$7,IF(ISNUMBER(SEARCH("Fuji",C79)),อัปเดตราคาอลู!$F$5,อัปเดตราคาอลู!$F$4))))),3)</f>
        <v>5.508</v>
      </c>
      <c r="M79" s="358">
        <f t="shared" si="16"/>
        <v>255.46899999999999</v>
      </c>
      <c r="N79" s="400">
        <f t="shared" si="17"/>
        <v>0</v>
      </c>
    </row>
    <row r="80" spans="1:14" x14ac:dyDescent="0.35">
      <c r="A80" s="128" t="s">
        <v>275</v>
      </c>
      <c r="B80" s="126" t="s">
        <v>276</v>
      </c>
      <c r="C80" s="126" t="s">
        <v>190</v>
      </c>
      <c r="D80" s="131">
        <v>555</v>
      </c>
      <c r="E80" s="131">
        <v>600</v>
      </c>
      <c r="F80" s="131">
        <v>885</v>
      </c>
      <c r="H80" s="341">
        <f t="shared" si="13"/>
        <v>1</v>
      </c>
      <c r="I80" s="327">
        <f t="shared" si="14"/>
        <v>555</v>
      </c>
      <c r="J80" s="327">
        <f t="shared" si="15"/>
        <v>600</v>
      </c>
      <c r="K80" s="406">
        <f t="shared" si="12"/>
        <v>885</v>
      </c>
      <c r="L80" s="358">
        <f>ROUND(D80/(IF(ISNUMBER(SEARCH("เมืองทอง",C80)),อัปเดตราคาอลู!$F$8,IF(ISNUMBER(SEARCH("SlimLux",C80)),อัปเดตราคาอลู!$F$6,IF(ISNUMBER(SEARCH("Velora",C80)),อัปเดตราคาอลู!$F$7,IF(ISNUMBER(SEARCH("Fuji",C80)),อัปเดตราคาอลู!$F$5,อัปเดตราคาอลู!$F$4))))),3)</f>
        <v>2.968</v>
      </c>
      <c r="M80" s="358">
        <f t="shared" si="16"/>
        <v>138.28100000000001</v>
      </c>
      <c r="N80" s="400">
        <f t="shared" si="17"/>
        <v>0</v>
      </c>
    </row>
    <row r="81" spans="1:14" x14ac:dyDescent="0.35">
      <c r="A81" s="128" t="s">
        <v>277</v>
      </c>
      <c r="B81" s="126" t="s">
        <v>278</v>
      </c>
      <c r="C81" s="126" t="s">
        <v>190</v>
      </c>
      <c r="D81" s="131">
        <v>1680</v>
      </c>
      <c r="E81" s="131">
        <v>1805</v>
      </c>
      <c r="F81" s="131">
        <v>2665</v>
      </c>
      <c r="H81" s="341">
        <f t="shared" si="13"/>
        <v>1</v>
      </c>
      <c r="I81" s="327">
        <f t="shared" si="14"/>
        <v>1680</v>
      </c>
      <c r="J81" s="327">
        <f t="shared" si="15"/>
        <v>1805</v>
      </c>
      <c r="K81" s="406">
        <f t="shared" si="12"/>
        <v>2665</v>
      </c>
      <c r="L81" s="358">
        <f>ROUND(D81/(IF(ISNUMBER(SEARCH("เมืองทอง",C81)),อัปเดตราคาอลู!$F$8,IF(ISNUMBER(SEARCH("SlimLux",C81)),อัปเดตราคาอลู!$F$6,IF(ISNUMBER(SEARCH("Velora",C81)),อัปเดตราคาอลู!$F$7,IF(ISNUMBER(SEARCH("Fuji",C81)),อัปเดตราคาอลู!$F$5,อัปเดตราคาอลู!$F$4))))),3)</f>
        <v>8.984</v>
      </c>
      <c r="M81" s="358">
        <f t="shared" si="16"/>
        <v>416.40600000000001</v>
      </c>
      <c r="N81" s="400">
        <f t="shared" si="17"/>
        <v>0</v>
      </c>
    </row>
    <row r="82" spans="1:14" x14ac:dyDescent="0.35">
      <c r="A82" s="128" t="s">
        <v>279</v>
      </c>
      <c r="B82" s="126" t="s">
        <v>280</v>
      </c>
      <c r="C82" s="126" t="s">
        <v>190</v>
      </c>
      <c r="D82" s="131">
        <v>1780</v>
      </c>
      <c r="E82" s="131">
        <v>1915</v>
      </c>
      <c r="F82" s="131">
        <v>2825</v>
      </c>
      <c r="H82" s="341">
        <f t="shared" si="13"/>
        <v>1</v>
      </c>
      <c r="I82" s="327">
        <f t="shared" si="14"/>
        <v>1780</v>
      </c>
      <c r="J82" s="327">
        <f t="shared" si="15"/>
        <v>1915</v>
      </c>
      <c r="K82" s="406">
        <f t="shared" si="12"/>
        <v>2825</v>
      </c>
      <c r="L82" s="358">
        <f>ROUND(D82/(IF(ISNUMBER(SEARCH("เมืองทอง",C82)),อัปเดตราคาอลู!$F$8,IF(ISNUMBER(SEARCH("SlimLux",C82)),อัปเดตราคาอลู!$F$6,IF(ISNUMBER(SEARCH("Velora",C82)),อัปเดตราคาอลู!$F$7,IF(ISNUMBER(SEARCH("Fuji",C82)),อัปเดตราคาอลู!$F$5,อัปเดตราคาอลู!$F$4))))),3)</f>
        <v>9.5190000000000001</v>
      </c>
      <c r="M82" s="358">
        <f t="shared" si="16"/>
        <v>441.40600000000001</v>
      </c>
      <c r="N82" s="400">
        <f t="shared" si="17"/>
        <v>0</v>
      </c>
    </row>
    <row r="83" spans="1:14" x14ac:dyDescent="0.35">
      <c r="A83" s="128" t="s">
        <v>281</v>
      </c>
      <c r="B83" s="126" t="s">
        <v>282</v>
      </c>
      <c r="C83" s="126" t="s">
        <v>190</v>
      </c>
      <c r="D83" s="131">
        <v>1825</v>
      </c>
      <c r="E83" s="131">
        <v>1960</v>
      </c>
      <c r="F83" s="131">
        <v>2890</v>
      </c>
      <c r="H83" s="341">
        <f t="shared" si="13"/>
        <v>1</v>
      </c>
      <c r="I83" s="327">
        <f t="shared" si="14"/>
        <v>1825</v>
      </c>
      <c r="J83" s="327">
        <f t="shared" si="15"/>
        <v>1960</v>
      </c>
      <c r="K83" s="406">
        <f t="shared" si="12"/>
        <v>2890</v>
      </c>
      <c r="L83" s="358">
        <f>ROUND(D83/(IF(ISNUMBER(SEARCH("เมืองทอง",C83)),อัปเดตราคาอลู!$F$8,IF(ISNUMBER(SEARCH("SlimLux",C83)),อัปเดตราคาอลู!$F$6,IF(ISNUMBER(SEARCH("Velora",C83)),อัปเดตราคาอลู!$F$7,IF(ISNUMBER(SEARCH("Fuji",C83)),อัปเดตราคาอลู!$F$5,อัปเดตราคาอลู!$F$4))))),3)</f>
        <v>9.7590000000000003</v>
      </c>
      <c r="M83" s="358">
        <f t="shared" si="16"/>
        <v>451.56299999999999</v>
      </c>
      <c r="N83" s="400">
        <f t="shared" si="17"/>
        <v>0</v>
      </c>
    </row>
    <row r="84" spans="1:14" x14ac:dyDescent="0.35">
      <c r="A84" s="128" t="s">
        <v>283</v>
      </c>
      <c r="B84" s="126" t="s">
        <v>284</v>
      </c>
      <c r="C84" s="126" t="s">
        <v>190</v>
      </c>
      <c r="D84" s="131">
        <v>1680</v>
      </c>
      <c r="E84" s="131">
        <v>1805</v>
      </c>
      <c r="F84" s="131">
        <v>2665</v>
      </c>
      <c r="H84" s="341">
        <f t="shared" si="13"/>
        <v>1</v>
      </c>
      <c r="I84" s="327">
        <f t="shared" si="14"/>
        <v>1680</v>
      </c>
      <c r="J84" s="327">
        <f t="shared" si="15"/>
        <v>1805</v>
      </c>
      <c r="K84" s="406">
        <f t="shared" si="12"/>
        <v>2665</v>
      </c>
      <c r="L84" s="358">
        <f>ROUND(D84/(IF(ISNUMBER(SEARCH("เมืองทอง",C84)),อัปเดตราคาอลู!$F$8,IF(ISNUMBER(SEARCH("SlimLux",C84)),อัปเดตราคาอลู!$F$6,IF(ISNUMBER(SEARCH("Velora",C84)),อัปเดตราคาอลู!$F$7,IF(ISNUMBER(SEARCH("Fuji",C84)),อัปเดตราคาอลู!$F$5,อัปเดตราคาอลู!$F$4))))),3)</f>
        <v>8.984</v>
      </c>
      <c r="M84" s="358">
        <f t="shared" si="16"/>
        <v>416.40600000000001</v>
      </c>
      <c r="N84" s="400">
        <f t="shared" si="17"/>
        <v>0</v>
      </c>
    </row>
    <row r="85" spans="1:14" x14ac:dyDescent="0.35">
      <c r="A85" s="128" t="s">
        <v>285</v>
      </c>
      <c r="B85" s="126" t="s">
        <v>286</v>
      </c>
      <c r="C85" s="126" t="s">
        <v>190</v>
      </c>
      <c r="D85" s="131">
        <v>1320</v>
      </c>
      <c r="E85" s="131">
        <v>1420</v>
      </c>
      <c r="F85" s="131">
        <v>2095</v>
      </c>
      <c r="H85" s="341">
        <f t="shared" si="13"/>
        <v>1</v>
      </c>
      <c r="I85" s="327">
        <f t="shared" si="14"/>
        <v>1320</v>
      </c>
      <c r="J85" s="327">
        <f t="shared" si="15"/>
        <v>1420</v>
      </c>
      <c r="K85" s="406">
        <f t="shared" si="12"/>
        <v>2095</v>
      </c>
      <c r="L85" s="358">
        <f>ROUND(D85/(IF(ISNUMBER(SEARCH("เมืองทอง",C85)),อัปเดตราคาอลู!$F$8,IF(ISNUMBER(SEARCH("SlimLux",C85)),อัปเดตราคาอลู!$F$6,IF(ISNUMBER(SEARCH("Velora",C85)),อัปเดตราคาอลู!$F$7,IF(ISNUMBER(SEARCH("Fuji",C85)),อัปเดตราคาอลู!$F$5,อัปเดตราคาอลู!$F$4))))),3)</f>
        <v>7.0590000000000002</v>
      </c>
      <c r="M85" s="358">
        <f t="shared" si="16"/>
        <v>327.34399999999999</v>
      </c>
      <c r="N85" s="400">
        <f t="shared" si="17"/>
        <v>0</v>
      </c>
    </row>
    <row r="86" spans="1:14" x14ac:dyDescent="0.35">
      <c r="A86" s="128" t="s">
        <v>287</v>
      </c>
      <c r="B86" s="126" t="s">
        <v>288</v>
      </c>
      <c r="C86" s="126" t="s">
        <v>190</v>
      </c>
      <c r="D86" s="131">
        <v>760</v>
      </c>
      <c r="E86" s="131">
        <v>815</v>
      </c>
      <c r="F86" s="131">
        <v>1205</v>
      </c>
      <c r="H86" s="341">
        <f t="shared" si="13"/>
        <v>1</v>
      </c>
      <c r="I86" s="327">
        <f t="shared" si="14"/>
        <v>760</v>
      </c>
      <c r="J86" s="327">
        <f t="shared" si="15"/>
        <v>815</v>
      </c>
      <c r="K86" s="406">
        <f t="shared" si="12"/>
        <v>1205</v>
      </c>
      <c r="L86" s="358">
        <f>ROUND(D86/(IF(ISNUMBER(SEARCH("เมืองทอง",C86)),อัปเดตราคาอลู!$F$8,IF(ISNUMBER(SEARCH("SlimLux",C86)),อัปเดตราคาอลู!$F$6,IF(ISNUMBER(SEARCH("Velora",C86)),อัปเดตราคาอลู!$F$7,IF(ISNUMBER(SEARCH("Fuji",C86)),อัปเดตราคาอลู!$F$5,อัปเดตราคาอลู!$F$4))))),3)</f>
        <v>4.0640000000000001</v>
      </c>
      <c r="M86" s="358">
        <f t="shared" si="16"/>
        <v>188.28100000000001</v>
      </c>
      <c r="N86" s="400">
        <f t="shared" si="17"/>
        <v>0</v>
      </c>
    </row>
    <row r="87" spans="1:14" x14ac:dyDescent="0.35">
      <c r="A87" s="128" t="s">
        <v>289</v>
      </c>
      <c r="B87" s="126" t="s">
        <v>290</v>
      </c>
      <c r="C87" s="126" t="s">
        <v>190</v>
      </c>
      <c r="D87" s="131">
        <v>1335</v>
      </c>
      <c r="E87" s="131">
        <v>1430</v>
      </c>
      <c r="F87" s="131">
        <v>2115</v>
      </c>
      <c r="H87" s="341">
        <f t="shared" si="13"/>
        <v>1</v>
      </c>
      <c r="I87" s="327">
        <f t="shared" si="14"/>
        <v>1335</v>
      </c>
      <c r="J87" s="327">
        <f t="shared" si="15"/>
        <v>1430</v>
      </c>
      <c r="K87" s="406">
        <f t="shared" si="12"/>
        <v>2115</v>
      </c>
      <c r="L87" s="358">
        <f>ROUND(D87/(IF(ISNUMBER(SEARCH("เมืองทอง",C87)),อัปเดตราคาอลู!$F$8,IF(ISNUMBER(SEARCH("SlimLux",C87)),อัปเดตราคาอลู!$F$6,IF(ISNUMBER(SEARCH("Velora",C87)),อัปเดตราคาอลู!$F$7,IF(ISNUMBER(SEARCH("Fuji",C87)),อัปเดตราคาอลู!$F$5,อัปเดตราคาอลู!$F$4))))),3)</f>
        <v>7.1390000000000002</v>
      </c>
      <c r="M87" s="358">
        <f t="shared" si="16"/>
        <v>330.46899999999999</v>
      </c>
      <c r="N87" s="400">
        <f t="shared" si="17"/>
        <v>0</v>
      </c>
    </row>
    <row r="88" spans="1:14" x14ac:dyDescent="0.35">
      <c r="A88" s="128" t="s">
        <v>291</v>
      </c>
      <c r="B88" s="126" t="s">
        <v>292</v>
      </c>
      <c r="C88" s="126" t="s">
        <v>190</v>
      </c>
      <c r="D88" s="131">
        <v>800</v>
      </c>
      <c r="E88" s="131">
        <v>860</v>
      </c>
      <c r="F88" s="131">
        <v>1270</v>
      </c>
      <c r="H88" s="341">
        <f t="shared" si="13"/>
        <v>1</v>
      </c>
      <c r="I88" s="327">
        <f t="shared" si="14"/>
        <v>800</v>
      </c>
      <c r="J88" s="327">
        <f t="shared" si="15"/>
        <v>860</v>
      </c>
      <c r="K88" s="406">
        <f t="shared" si="12"/>
        <v>1270</v>
      </c>
      <c r="L88" s="358">
        <f>ROUND(D88/(IF(ISNUMBER(SEARCH("เมืองทอง",C88)),อัปเดตราคาอลู!$F$8,IF(ISNUMBER(SEARCH("SlimLux",C88)),อัปเดตราคาอลู!$F$6,IF(ISNUMBER(SEARCH("Velora",C88)),อัปเดตราคาอลู!$F$7,IF(ISNUMBER(SEARCH("Fuji",C88)),อัปเดตราคาอลู!$F$5,อัปเดตราคาอลู!$F$4))))),3)</f>
        <v>4.2779999999999996</v>
      </c>
      <c r="M88" s="358">
        <f t="shared" si="16"/>
        <v>198.43799999999999</v>
      </c>
      <c r="N88" s="400">
        <f t="shared" si="17"/>
        <v>0</v>
      </c>
    </row>
    <row r="89" spans="1:14" x14ac:dyDescent="0.35">
      <c r="A89" s="128" t="s">
        <v>293</v>
      </c>
      <c r="B89" s="126" t="s">
        <v>294</v>
      </c>
      <c r="C89" s="126" t="s">
        <v>190</v>
      </c>
      <c r="D89" s="131">
        <v>1370</v>
      </c>
      <c r="E89" s="131">
        <v>1470</v>
      </c>
      <c r="F89" s="131">
        <v>2170</v>
      </c>
      <c r="H89" s="341">
        <f t="shared" si="13"/>
        <v>1</v>
      </c>
      <c r="I89" s="327">
        <f t="shared" si="14"/>
        <v>1370</v>
      </c>
      <c r="J89" s="327">
        <f t="shared" si="15"/>
        <v>1470</v>
      </c>
      <c r="K89" s="406">
        <f t="shared" si="12"/>
        <v>2170</v>
      </c>
      <c r="L89" s="358">
        <f>ROUND(D89/(IF(ISNUMBER(SEARCH("เมืองทอง",C89)),อัปเดตราคาอลู!$F$8,IF(ISNUMBER(SEARCH("SlimLux",C89)),อัปเดตราคาอลู!$F$6,IF(ISNUMBER(SEARCH("Velora",C89)),อัปเดตราคาอลู!$F$7,IF(ISNUMBER(SEARCH("Fuji",C89)),อัปเดตราคาอลู!$F$5,อัปเดตราคาอลู!$F$4))))),3)</f>
        <v>7.3259999999999996</v>
      </c>
      <c r="M89" s="358">
        <f t="shared" si="16"/>
        <v>339.06299999999999</v>
      </c>
      <c r="N89" s="400">
        <f t="shared" si="17"/>
        <v>0</v>
      </c>
    </row>
    <row r="90" spans="1:14" x14ac:dyDescent="0.35">
      <c r="A90" s="128" t="s">
        <v>295</v>
      </c>
      <c r="B90" s="126" t="s">
        <v>296</v>
      </c>
      <c r="C90" s="126" t="s">
        <v>190</v>
      </c>
      <c r="D90" s="131">
        <v>695</v>
      </c>
      <c r="E90" s="131">
        <v>745</v>
      </c>
      <c r="F90" s="131">
        <v>1100</v>
      </c>
      <c r="H90" s="341">
        <f t="shared" si="13"/>
        <v>1</v>
      </c>
      <c r="I90" s="327">
        <f t="shared" si="14"/>
        <v>695</v>
      </c>
      <c r="J90" s="327">
        <f t="shared" si="15"/>
        <v>745</v>
      </c>
      <c r="K90" s="406">
        <f t="shared" si="12"/>
        <v>1100</v>
      </c>
      <c r="L90" s="358">
        <f>ROUND(D90/(IF(ISNUMBER(SEARCH("เมืองทอง",C90)),อัปเดตราคาอลู!$F$8,IF(ISNUMBER(SEARCH("SlimLux",C90)),อัปเดตราคาอลู!$F$6,IF(ISNUMBER(SEARCH("Velora",C90)),อัปเดตราคาอลู!$F$7,IF(ISNUMBER(SEARCH("Fuji",C90)),อัปเดตราคาอลู!$F$5,อัปเดตราคาอลู!$F$4))))),3)</f>
        <v>3.7170000000000001</v>
      </c>
      <c r="M90" s="358">
        <f t="shared" si="16"/>
        <v>171.875</v>
      </c>
      <c r="N90" s="400">
        <f t="shared" si="17"/>
        <v>0</v>
      </c>
    </row>
    <row r="91" spans="1:14" x14ac:dyDescent="0.35">
      <c r="A91" s="128" t="s">
        <v>297</v>
      </c>
      <c r="B91" s="126" t="s">
        <v>171</v>
      </c>
      <c r="C91" s="126" t="s">
        <v>190</v>
      </c>
      <c r="D91" s="131">
        <v>550</v>
      </c>
      <c r="E91" s="131">
        <v>590</v>
      </c>
      <c r="F91" s="131">
        <v>870</v>
      </c>
      <c r="H91" s="341">
        <f t="shared" si="13"/>
        <v>1</v>
      </c>
      <c r="I91" s="327">
        <f t="shared" si="14"/>
        <v>550</v>
      </c>
      <c r="J91" s="327">
        <f t="shared" si="15"/>
        <v>590</v>
      </c>
      <c r="K91" s="406">
        <f t="shared" si="12"/>
        <v>870</v>
      </c>
      <c r="L91" s="358">
        <f>ROUND(D91/(IF(ISNUMBER(SEARCH("เมืองทอง",C91)),อัปเดตราคาอลู!$F$8,IF(ISNUMBER(SEARCH("SlimLux",C91)),อัปเดตราคาอลู!$F$6,IF(ISNUMBER(SEARCH("Velora",C91)),อัปเดตราคาอลู!$F$7,IF(ISNUMBER(SEARCH("Fuji",C91)),อัปเดตราคาอลู!$F$5,อัปเดตราคาอลู!$F$4))))),3)</f>
        <v>2.9409999999999998</v>
      </c>
      <c r="M91" s="358">
        <f t="shared" si="16"/>
        <v>135.93799999999999</v>
      </c>
      <c r="N91" s="400">
        <f t="shared" si="17"/>
        <v>0</v>
      </c>
    </row>
    <row r="92" spans="1:14" x14ac:dyDescent="0.35">
      <c r="A92" s="128" t="s">
        <v>298</v>
      </c>
      <c r="B92" s="126" t="s">
        <v>299</v>
      </c>
      <c r="C92" s="126" t="s">
        <v>190</v>
      </c>
      <c r="D92" s="131">
        <v>505</v>
      </c>
      <c r="E92" s="131">
        <v>540</v>
      </c>
      <c r="F92" s="131">
        <v>800</v>
      </c>
      <c r="H92" s="341">
        <f t="shared" si="13"/>
        <v>1</v>
      </c>
      <c r="I92" s="327">
        <f t="shared" si="14"/>
        <v>505</v>
      </c>
      <c r="J92" s="327">
        <f t="shared" si="15"/>
        <v>540</v>
      </c>
      <c r="K92" s="406">
        <f t="shared" si="12"/>
        <v>800</v>
      </c>
      <c r="L92" s="358">
        <f>ROUND(D92/(IF(ISNUMBER(SEARCH("เมืองทอง",C92)),อัปเดตราคาอลู!$F$8,IF(ISNUMBER(SEARCH("SlimLux",C92)),อัปเดตราคาอลู!$F$6,IF(ISNUMBER(SEARCH("Velora",C92)),อัปเดตราคาอลู!$F$7,IF(ISNUMBER(SEARCH("Fuji",C92)),อัปเดตราคาอลู!$F$5,อัปเดตราคาอลู!$F$4))))),3)</f>
        <v>2.7010000000000001</v>
      </c>
      <c r="M92" s="358">
        <f t="shared" si="16"/>
        <v>125</v>
      </c>
      <c r="N92" s="400">
        <f t="shared" si="17"/>
        <v>0</v>
      </c>
    </row>
    <row r="93" spans="1:14" x14ac:dyDescent="0.35">
      <c r="A93" s="128" t="s">
        <v>300</v>
      </c>
      <c r="B93" s="126" t="s">
        <v>301</v>
      </c>
      <c r="C93" s="126" t="s">
        <v>190</v>
      </c>
      <c r="D93" s="131">
        <v>1485</v>
      </c>
      <c r="E93" s="131">
        <v>1595</v>
      </c>
      <c r="F93" s="131">
        <v>2355</v>
      </c>
      <c r="H93" s="341">
        <f t="shared" si="13"/>
        <v>1</v>
      </c>
      <c r="I93" s="327">
        <f t="shared" si="14"/>
        <v>1485</v>
      </c>
      <c r="J93" s="327">
        <f t="shared" si="15"/>
        <v>1595</v>
      </c>
      <c r="K93" s="406">
        <f t="shared" si="12"/>
        <v>2355</v>
      </c>
      <c r="L93" s="358">
        <f>ROUND(D93/(IF(ISNUMBER(SEARCH("เมืองทอง",C93)),อัปเดตราคาอลู!$F$8,IF(ISNUMBER(SEARCH("SlimLux",C93)),อัปเดตราคาอลู!$F$6,IF(ISNUMBER(SEARCH("Velora",C93)),อัปเดตราคาอลู!$F$7,IF(ISNUMBER(SEARCH("Fuji",C93)),อัปเดตราคาอลู!$F$5,อัปเดตราคาอลู!$F$4))))),3)</f>
        <v>7.9409999999999998</v>
      </c>
      <c r="M93" s="358">
        <f t="shared" si="16"/>
        <v>367.96899999999999</v>
      </c>
      <c r="N93" s="400">
        <f t="shared" si="17"/>
        <v>0</v>
      </c>
    </row>
    <row r="94" spans="1:14" x14ac:dyDescent="0.35">
      <c r="A94" s="128" t="s">
        <v>302</v>
      </c>
      <c r="B94" s="126" t="s">
        <v>303</v>
      </c>
      <c r="C94" s="126" t="s">
        <v>190</v>
      </c>
      <c r="D94" s="131">
        <v>995</v>
      </c>
      <c r="E94" s="131">
        <v>1070</v>
      </c>
      <c r="F94" s="131">
        <v>1580</v>
      </c>
      <c r="H94" s="341">
        <f t="shared" si="13"/>
        <v>1</v>
      </c>
      <c r="I94" s="327">
        <f t="shared" si="14"/>
        <v>995</v>
      </c>
      <c r="J94" s="327">
        <f t="shared" si="15"/>
        <v>1070</v>
      </c>
      <c r="K94" s="406">
        <f t="shared" si="12"/>
        <v>1580</v>
      </c>
      <c r="L94" s="358">
        <f>ROUND(D94/(IF(ISNUMBER(SEARCH("เมืองทอง",C94)),อัปเดตราคาอลู!$F$8,IF(ISNUMBER(SEARCH("SlimLux",C94)),อัปเดตราคาอลู!$F$6,IF(ISNUMBER(SEARCH("Velora",C94)),อัปเดตราคาอลู!$F$7,IF(ISNUMBER(SEARCH("Fuji",C94)),อัปเดตราคาอลู!$F$5,อัปเดตราคาอลู!$F$4))))),3)</f>
        <v>5.3209999999999997</v>
      </c>
      <c r="M94" s="358">
        <f t="shared" si="16"/>
        <v>246.875</v>
      </c>
      <c r="N94" s="400">
        <f t="shared" si="17"/>
        <v>0</v>
      </c>
    </row>
    <row r="95" spans="1:14" x14ac:dyDescent="0.35">
      <c r="A95" s="128" t="s">
        <v>304</v>
      </c>
      <c r="B95" s="126" t="s">
        <v>305</v>
      </c>
      <c r="C95" s="126" t="s">
        <v>190</v>
      </c>
      <c r="D95" s="131">
        <v>230</v>
      </c>
      <c r="E95" s="131">
        <v>245</v>
      </c>
      <c r="F95" s="131">
        <v>365</v>
      </c>
      <c r="H95" s="341">
        <f t="shared" si="13"/>
        <v>1</v>
      </c>
      <c r="I95" s="327">
        <f t="shared" si="14"/>
        <v>230</v>
      </c>
      <c r="J95" s="327">
        <f t="shared" si="15"/>
        <v>245</v>
      </c>
      <c r="K95" s="406">
        <f t="shared" si="12"/>
        <v>365</v>
      </c>
      <c r="L95" s="358">
        <f>ROUND(D95/(IF(ISNUMBER(SEARCH("เมืองทอง",C95)),อัปเดตราคาอลู!$F$8,IF(ISNUMBER(SEARCH("SlimLux",C95)),อัปเดตราคาอลู!$F$6,IF(ISNUMBER(SEARCH("Velora",C95)),อัปเดตราคาอลู!$F$7,IF(ISNUMBER(SEARCH("Fuji",C95)),อัปเดตราคาอลู!$F$5,อัปเดตราคาอลู!$F$4))))),3)</f>
        <v>1.23</v>
      </c>
      <c r="M95" s="358">
        <f t="shared" si="16"/>
        <v>57.030999999999999</v>
      </c>
      <c r="N95" s="400">
        <f t="shared" si="17"/>
        <v>0</v>
      </c>
    </row>
    <row r="96" spans="1:14" x14ac:dyDescent="0.35">
      <c r="A96" s="128" t="s">
        <v>306</v>
      </c>
      <c r="B96" s="126" t="s">
        <v>307</v>
      </c>
      <c r="C96" s="126" t="s">
        <v>190</v>
      </c>
      <c r="D96" s="131">
        <v>260</v>
      </c>
      <c r="E96" s="131">
        <v>280</v>
      </c>
      <c r="F96" s="131">
        <v>415</v>
      </c>
      <c r="H96" s="341">
        <f t="shared" si="13"/>
        <v>1</v>
      </c>
      <c r="I96" s="327">
        <f t="shared" si="14"/>
        <v>260</v>
      </c>
      <c r="J96" s="327">
        <f t="shared" si="15"/>
        <v>280</v>
      </c>
      <c r="K96" s="406">
        <f t="shared" si="12"/>
        <v>415</v>
      </c>
      <c r="L96" s="358">
        <f>ROUND(D96/(IF(ISNUMBER(SEARCH("เมืองทอง",C96)),อัปเดตราคาอลู!$F$8,IF(ISNUMBER(SEARCH("SlimLux",C96)),อัปเดตราคาอลู!$F$6,IF(ISNUMBER(SEARCH("Velora",C96)),อัปเดตราคาอลู!$F$7,IF(ISNUMBER(SEARCH("Fuji",C96)),อัปเดตราคาอลู!$F$5,อัปเดตราคาอลู!$F$4))))),3)</f>
        <v>1.39</v>
      </c>
      <c r="M96" s="358">
        <f t="shared" si="16"/>
        <v>64.843999999999994</v>
      </c>
      <c r="N96" s="400">
        <f t="shared" si="17"/>
        <v>0</v>
      </c>
    </row>
    <row r="97" spans="1:14" x14ac:dyDescent="0.35">
      <c r="A97" s="128" t="s">
        <v>308</v>
      </c>
      <c r="B97" s="126" t="s">
        <v>309</v>
      </c>
      <c r="C97" s="126" t="s">
        <v>190</v>
      </c>
      <c r="D97" s="131">
        <v>3140</v>
      </c>
      <c r="E97" s="131">
        <v>3370</v>
      </c>
      <c r="F97" s="131">
        <v>4980</v>
      </c>
      <c r="H97" s="341">
        <f t="shared" si="13"/>
        <v>1</v>
      </c>
      <c r="I97" s="327">
        <f t="shared" si="14"/>
        <v>3140</v>
      </c>
      <c r="J97" s="327">
        <f t="shared" si="15"/>
        <v>3370</v>
      </c>
      <c r="K97" s="406">
        <f t="shared" si="12"/>
        <v>4980</v>
      </c>
      <c r="L97" s="358">
        <f>ROUND(D97/(IF(ISNUMBER(SEARCH("เมืองทอง",C97)),อัปเดตราคาอลู!$F$8,IF(ISNUMBER(SEARCH("SlimLux",C97)),อัปเดตราคาอลู!$F$6,IF(ISNUMBER(SEARCH("Velora",C97)),อัปเดตราคาอลู!$F$7,IF(ISNUMBER(SEARCH("Fuji",C97)),อัปเดตราคาอลู!$F$5,อัปเดตราคาอลู!$F$4))))),3)</f>
        <v>16.791</v>
      </c>
      <c r="M97" s="358">
        <f t="shared" si="16"/>
        <v>778.125</v>
      </c>
      <c r="N97" s="400">
        <f t="shared" si="17"/>
        <v>0</v>
      </c>
    </row>
    <row r="98" spans="1:14" x14ac:dyDescent="0.35">
      <c r="A98" s="128" t="s">
        <v>310</v>
      </c>
      <c r="B98" s="126" t="s">
        <v>169</v>
      </c>
      <c r="C98" s="126" t="s">
        <v>190</v>
      </c>
      <c r="D98" s="131">
        <v>1730</v>
      </c>
      <c r="E98" s="131">
        <v>1860</v>
      </c>
      <c r="F98" s="131">
        <v>2745</v>
      </c>
      <c r="H98" s="341">
        <f t="shared" si="13"/>
        <v>1</v>
      </c>
      <c r="I98" s="327">
        <f t="shared" si="14"/>
        <v>1730</v>
      </c>
      <c r="J98" s="327">
        <f t="shared" si="15"/>
        <v>1860</v>
      </c>
      <c r="K98" s="406">
        <f t="shared" si="12"/>
        <v>2745</v>
      </c>
      <c r="L98" s="358">
        <f>ROUND(D98/(IF(ISNUMBER(SEARCH("เมืองทอง",C98)),อัปเดตราคาอลู!$F$8,IF(ISNUMBER(SEARCH("SlimLux",C98)),อัปเดตราคาอลู!$F$6,IF(ISNUMBER(SEARCH("Velora",C98)),อัปเดตราคาอลู!$F$7,IF(ISNUMBER(SEARCH("Fuji",C98)),อัปเดตราคาอลู!$F$5,อัปเดตราคาอลู!$F$4))))),3)</f>
        <v>9.2509999999999994</v>
      </c>
      <c r="M98" s="358">
        <f t="shared" si="16"/>
        <v>428.90600000000001</v>
      </c>
      <c r="N98" s="400">
        <f t="shared" si="17"/>
        <v>0</v>
      </c>
    </row>
    <row r="99" spans="1:14" x14ac:dyDescent="0.35">
      <c r="A99" s="128" t="s">
        <v>311</v>
      </c>
      <c r="B99" s="126" t="s">
        <v>173</v>
      </c>
      <c r="C99" s="126" t="s">
        <v>190</v>
      </c>
      <c r="D99" s="131">
        <v>1065</v>
      </c>
      <c r="E99" s="131">
        <v>1140</v>
      </c>
      <c r="F99" s="131">
        <v>1685</v>
      </c>
      <c r="H99" s="341">
        <f t="shared" ref="H99:H108" si="18">IF(ISNUMBER(SEARCH("เมืองทอง",C99)),mult_mtong,IF(ISNUMBER(SEARCH("SlimLux",C99)),mult_slim,IF(ISNUMBER(SEARCH("Velora",C99)),mult_velora,IF(ISNUMBER(SEARCH("Fuji",C99)),mult_euro,mult_sms))))</f>
        <v>1</v>
      </c>
      <c r="I99" s="327">
        <f t="shared" ref="I99:I130" si="19">ROUND(D99*H99,0)</f>
        <v>1065</v>
      </c>
      <c r="J99" s="327">
        <f t="shared" ref="J99:J108" si="20">ROUND(E99*H99,0)</f>
        <v>1140</v>
      </c>
      <c r="K99" s="406">
        <f t="shared" si="12"/>
        <v>1685</v>
      </c>
      <c r="L99" s="358">
        <f>ROUND(D99/(IF(ISNUMBER(SEARCH("เมืองทอง",C99)),อัปเดตราคาอลู!$F$8,IF(ISNUMBER(SEARCH("SlimLux",C99)),อัปเดตราคาอลู!$F$6,IF(ISNUMBER(SEARCH("Velora",C99)),อัปเดตราคาอลู!$F$7,IF(ISNUMBER(SEARCH("Fuji",C99)),อัปเดตราคาอลู!$F$5,อัปเดตราคาอลู!$F$4))))),3)</f>
        <v>5.6950000000000003</v>
      </c>
      <c r="M99" s="358">
        <f t="shared" ref="M99:M108" si="21">ROUND(K99/(IF(OR(ISNUMBER(SEARCH("เมืองทอง",C99)),ISNUMBER(SEARCH("SlimLux",C99)),ISNUMBER(SEARCH("Velora",C99))),6,6.4)),3)</f>
        <v>263.28100000000001</v>
      </c>
      <c r="N99" s="400">
        <f t="shared" ref="N99:N108" si="22">ROUND(I99-D99,0)</f>
        <v>0</v>
      </c>
    </row>
    <row r="100" spans="1:14" x14ac:dyDescent="0.35">
      <c r="A100" s="128" t="s">
        <v>312</v>
      </c>
      <c r="B100" s="126" t="s">
        <v>313</v>
      </c>
      <c r="C100" s="126" t="s">
        <v>190</v>
      </c>
      <c r="D100" s="131">
        <v>1670</v>
      </c>
      <c r="E100" s="131">
        <v>1795</v>
      </c>
      <c r="F100" s="131">
        <v>2650</v>
      </c>
      <c r="H100" s="341">
        <f t="shared" si="18"/>
        <v>1</v>
      </c>
      <c r="I100" s="327">
        <f t="shared" si="19"/>
        <v>1670</v>
      </c>
      <c r="J100" s="327">
        <f t="shared" si="20"/>
        <v>1795</v>
      </c>
      <c r="K100" s="406">
        <f t="shared" si="12"/>
        <v>2650</v>
      </c>
      <c r="L100" s="358">
        <f>ROUND(D100/(IF(ISNUMBER(SEARCH("เมืองทอง",C100)),อัปเดตราคาอลู!$F$8,IF(ISNUMBER(SEARCH("SlimLux",C100)),อัปเดตราคาอลู!$F$6,IF(ISNUMBER(SEARCH("Velora",C100)),อัปเดตราคาอลู!$F$7,IF(ISNUMBER(SEARCH("Fuji",C100)),อัปเดตราคาอลู!$F$5,อัปเดตราคาอลู!$F$4))))),3)</f>
        <v>8.93</v>
      </c>
      <c r="M100" s="358">
        <f t="shared" si="21"/>
        <v>414.06299999999999</v>
      </c>
      <c r="N100" s="400">
        <f t="shared" si="22"/>
        <v>0</v>
      </c>
    </row>
    <row r="101" spans="1:14" x14ac:dyDescent="0.35">
      <c r="A101" s="128" t="s">
        <v>314</v>
      </c>
      <c r="B101" s="126" t="s">
        <v>315</v>
      </c>
      <c r="C101" s="126" t="s">
        <v>190</v>
      </c>
      <c r="D101" s="131">
        <v>390</v>
      </c>
      <c r="E101" s="131">
        <v>415</v>
      </c>
      <c r="F101" s="131">
        <v>615</v>
      </c>
      <c r="H101" s="341">
        <f t="shared" si="18"/>
        <v>1</v>
      </c>
      <c r="I101" s="327">
        <f t="shared" si="19"/>
        <v>390</v>
      </c>
      <c r="J101" s="327">
        <f t="shared" si="20"/>
        <v>415</v>
      </c>
      <c r="K101" s="406">
        <f t="shared" si="12"/>
        <v>615</v>
      </c>
      <c r="L101" s="358">
        <f>ROUND(D101/(IF(ISNUMBER(SEARCH("เมืองทอง",C101)),อัปเดตราคาอลู!$F$8,IF(ISNUMBER(SEARCH("SlimLux",C101)),อัปเดตราคาอลู!$F$6,IF(ISNUMBER(SEARCH("Velora",C101)),อัปเดตราคาอลู!$F$7,IF(ISNUMBER(SEARCH("Fuji",C101)),อัปเดตราคาอลู!$F$5,อัปเดตราคาอลู!$F$4))))),3)</f>
        <v>2.0859999999999999</v>
      </c>
      <c r="M101" s="358">
        <f t="shared" si="21"/>
        <v>96.093999999999994</v>
      </c>
      <c r="N101" s="400">
        <f t="shared" si="22"/>
        <v>0</v>
      </c>
    </row>
    <row r="102" spans="1:14" x14ac:dyDescent="0.35">
      <c r="A102" s="128" t="s">
        <v>316</v>
      </c>
      <c r="B102" s="126" t="s">
        <v>317</v>
      </c>
      <c r="C102" s="126" t="s">
        <v>190</v>
      </c>
      <c r="D102" s="131">
        <v>965</v>
      </c>
      <c r="E102" s="131">
        <v>1035</v>
      </c>
      <c r="F102" s="131">
        <v>1525</v>
      </c>
      <c r="H102" s="341">
        <f t="shared" si="18"/>
        <v>1</v>
      </c>
      <c r="I102" s="327">
        <f t="shared" si="19"/>
        <v>965</v>
      </c>
      <c r="J102" s="327">
        <f t="shared" si="20"/>
        <v>1035</v>
      </c>
      <c r="K102" s="406">
        <f t="shared" si="12"/>
        <v>1525</v>
      </c>
      <c r="L102" s="358">
        <f>ROUND(D102/(IF(ISNUMBER(SEARCH("เมืองทอง",C102)),อัปเดตราคาอลู!$F$8,IF(ISNUMBER(SEARCH("SlimLux",C102)),อัปเดตราคาอลู!$F$6,IF(ISNUMBER(SEARCH("Velora",C102)),อัปเดตราคาอลู!$F$7,IF(ISNUMBER(SEARCH("Fuji",C102)),อัปเดตราคาอลู!$F$5,อัปเดตราคาอลู!$F$4))))),3)</f>
        <v>5.16</v>
      </c>
      <c r="M102" s="358">
        <f t="shared" si="21"/>
        <v>238.28100000000001</v>
      </c>
      <c r="N102" s="400">
        <f t="shared" si="22"/>
        <v>0</v>
      </c>
    </row>
    <row r="103" spans="1:14" x14ac:dyDescent="0.35">
      <c r="A103" s="128" t="s">
        <v>318</v>
      </c>
      <c r="B103" s="126" t="s">
        <v>319</v>
      </c>
      <c r="C103" s="126" t="s">
        <v>190</v>
      </c>
      <c r="D103" s="131">
        <v>590</v>
      </c>
      <c r="E103" s="131">
        <v>635</v>
      </c>
      <c r="F103" s="131">
        <v>935</v>
      </c>
      <c r="H103" s="341">
        <f t="shared" si="18"/>
        <v>1</v>
      </c>
      <c r="I103" s="327">
        <f t="shared" si="19"/>
        <v>590</v>
      </c>
      <c r="J103" s="327">
        <f t="shared" si="20"/>
        <v>635</v>
      </c>
      <c r="K103" s="406">
        <f t="shared" si="12"/>
        <v>935</v>
      </c>
      <c r="L103" s="358">
        <f>ROUND(D103/(IF(ISNUMBER(SEARCH("เมืองทอง",C103)),อัปเดตราคาอลู!$F$8,IF(ISNUMBER(SEARCH("SlimLux",C103)),อัปเดตราคาอลู!$F$6,IF(ISNUMBER(SEARCH("Velora",C103)),อัปเดตราคาอลู!$F$7,IF(ISNUMBER(SEARCH("Fuji",C103)),อัปเดตราคาอลู!$F$5,อัปเดตราคาอลู!$F$4))))),3)</f>
        <v>3.1549999999999998</v>
      </c>
      <c r="M103" s="358">
        <f t="shared" si="21"/>
        <v>146.09399999999999</v>
      </c>
      <c r="N103" s="400">
        <f t="shared" si="22"/>
        <v>0</v>
      </c>
    </row>
    <row r="104" spans="1:14" x14ac:dyDescent="0.35">
      <c r="A104" s="128" t="s">
        <v>320</v>
      </c>
      <c r="B104" s="126" t="s">
        <v>321</v>
      </c>
      <c r="C104" s="126" t="s">
        <v>190</v>
      </c>
      <c r="D104" s="131">
        <v>505</v>
      </c>
      <c r="E104" s="131">
        <v>545</v>
      </c>
      <c r="F104" s="131">
        <v>805</v>
      </c>
      <c r="H104" s="341">
        <f t="shared" si="18"/>
        <v>1</v>
      </c>
      <c r="I104" s="327">
        <f t="shared" si="19"/>
        <v>505</v>
      </c>
      <c r="J104" s="327">
        <f t="shared" si="20"/>
        <v>545</v>
      </c>
      <c r="K104" s="406">
        <f t="shared" si="12"/>
        <v>805</v>
      </c>
      <c r="L104" s="358">
        <f>ROUND(D104/(IF(ISNUMBER(SEARCH("เมืองทอง",C104)),อัปเดตราคาอลู!$F$8,IF(ISNUMBER(SEARCH("SlimLux",C104)),อัปเดตราคาอลู!$F$6,IF(ISNUMBER(SEARCH("Velora",C104)),อัปเดตราคาอลู!$F$7,IF(ISNUMBER(SEARCH("Fuji",C104)),อัปเดตราคาอลู!$F$5,อัปเดตราคาอลู!$F$4))))),3)</f>
        <v>2.7010000000000001</v>
      </c>
      <c r="M104" s="358">
        <f t="shared" si="21"/>
        <v>125.78100000000001</v>
      </c>
      <c r="N104" s="400">
        <f t="shared" si="22"/>
        <v>0</v>
      </c>
    </row>
    <row r="105" spans="1:14" x14ac:dyDescent="0.35">
      <c r="A105" s="128" t="s">
        <v>322</v>
      </c>
      <c r="B105" s="126" t="s">
        <v>323</v>
      </c>
      <c r="C105" s="126" t="s">
        <v>190</v>
      </c>
      <c r="D105" s="131">
        <v>1115</v>
      </c>
      <c r="E105" s="131">
        <v>1195</v>
      </c>
      <c r="F105" s="131">
        <v>1765</v>
      </c>
      <c r="H105" s="341">
        <f t="shared" si="18"/>
        <v>1</v>
      </c>
      <c r="I105" s="327">
        <f t="shared" si="19"/>
        <v>1115</v>
      </c>
      <c r="J105" s="327">
        <f t="shared" si="20"/>
        <v>1195</v>
      </c>
      <c r="K105" s="406">
        <f t="shared" si="12"/>
        <v>1765</v>
      </c>
      <c r="L105" s="358">
        <f>ROUND(D105/(IF(ISNUMBER(SEARCH("เมืองทอง",C105)),อัปเดตราคาอลู!$F$8,IF(ISNUMBER(SEARCH("SlimLux",C105)),อัปเดตราคาอลู!$F$6,IF(ISNUMBER(SEARCH("Velora",C105)),อัปเดตราคาอลู!$F$7,IF(ISNUMBER(SEARCH("Fuji",C105)),อัปเดตราคาอลู!$F$5,อัปเดตราคาอลู!$F$4))))),3)</f>
        <v>5.9630000000000001</v>
      </c>
      <c r="M105" s="358">
        <f t="shared" si="21"/>
        <v>275.78100000000001</v>
      </c>
      <c r="N105" s="400">
        <f t="shared" si="22"/>
        <v>0</v>
      </c>
    </row>
    <row r="106" spans="1:14" x14ac:dyDescent="0.35">
      <c r="A106" s="128" t="s">
        <v>324</v>
      </c>
      <c r="B106" s="126" t="s">
        <v>325</v>
      </c>
      <c r="C106" s="126" t="s">
        <v>190</v>
      </c>
      <c r="D106" s="131">
        <v>930</v>
      </c>
      <c r="E106" s="131">
        <v>995</v>
      </c>
      <c r="F106" s="131">
        <v>1475</v>
      </c>
      <c r="H106" s="341">
        <f t="shared" si="18"/>
        <v>1</v>
      </c>
      <c r="I106" s="327">
        <f t="shared" si="19"/>
        <v>930</v>
      </c>
      <c r="J106" s="327">
        <f t="shared" si="20"/>
        <v>995</v>
      </c>
      <c r="K106" s="406">
        <f t="shared" si="12"/>
        <v>1475</v>
      </c>
      <c r="L106" s="358">
        <f>ROUND(D106/(IF(ISNUMBER(SEARCH("เมืองทอง",C106)),อัปเดตราคาอลู!$F$8,IF(ISNUMBER(SEARCH("SlimLux",C106)),อัปเดตราคาอลู!$F$6,IF(ISNUMBER(SEARCH("Velora",C106)),อัปเดตราคาอลู!$F$7,IF(ISNUMBER(SEARCH("Fuji",C106)),อัปเดตราคาอลู!$F$5,อัปเดตราคาอลู!$F$4))))),3)</f>
        <v>4.9729999999999999</v>
      </c>
      <c r="M106" s="358">
        <f t="shared" si="21"/>
        <v>230.46899999999999</v>
      </c>
      <c r="N106" s="400">
        <f t="shared" si="22"/>
        <v>0</v>
      </c>
    </row>
    <row r="107" spans="1:14" x14ac:dyDescent="0.35">
      <c r="A107" s="128" t="s">
        <v>326</v>
      </c>
      <c r="B107" s="126" t="s">
        <v>327</v>
      </c>
      <c r="C107" s="126" t="s">
        <v>190</v>
      </c>
      <c r="D107" s="131">
        <v>230</v>
      </c>
      <c r="E107" s="131">
        <v>245</v>
      </c>
      <c r="F107" s="131">
        <v>360</v>
      </c>
      <c r="H107" s="341">
        <f t="shared" si="18"/>
        <v>1</v>
      </c>
      <c r="I107" s="327">
        <f t="shared" si="19"/>
        <v>230</v>
      </c>
      <c r="J107" s="327">
        <f t="shared" si="20"/>
        <v>245</v>
      </c>
      <c r="K107" s="406">
        <f t="shared" si="12"/>
        <v>360</v>
      </c>
      <c r="L107" s="358">
        <f>ROUND(D107/(IF(ISNUMBER(SEARCH("เมืองทอง",C107)),อัปเดตราคาอลู!$F$8,IF(ISNUMBER(SEARCH("SlimLux",C107)),อัปเดตราคาอลู!$F$6,IF(ISNUMBER(SEARCH("Velora",C107)),อัปเดตราคาอลู!$F$7,IF(ISNUMBER(SEARCH("Fuji",C107)),อัปเดตราคาอลู!$F$5,อัปเดตราคาอลู!$F$4))))),3)</f>
        <v>1.23</v>
      </c>
      <c r="M107" s="358">
        <f t="shared" si="21"/>
        <v>56.25</v>
      </c>
      <c r="N107" s="400">
        <f t="shared" si="22"/>
        <v>0</v>
      </c>
    </row>
    <row r="108" spans="1:14" x14ac:dyDescent="0.35">
      <c r="A108" s="128" t="s">
        <v>328</v>
      </c>
      <c r="B108" s="126" t="s">
        <v>329</v>
      </c>
      <c r="C108" s="126" t="s">
        <v>190</v>
      </c>
      <c r="D108" s="131">
        <v>540</v>
      </c>
      <c r="E108" s="131">
        <v>580</v>
      </c>
      <c r="F108" s="131">
        <v>855</v>
      </c>
      <c r="H108" s="341">
        <f t="shared" si="18"/>
        <v>1</v>
      </c>
      <c r="I108" s="327">
        <f t="shared" si="19"/>
        <v>540</v>
      </c>
      <c r="J108" s="327">
        <f t="shared" si="20"/>
        <v>580</v>
      </c>
      <c r="K108" s="406">
        <f t="shared" si="12"/>
        <v>855</v>
      </c>
      <c r="L108" s="358">
        <f>ROUND(D108/(IF(ISNUMBER(SEARCH("เมืองทอง",C108)),อัปเดตราคาอลู!$F$8,IF(ISNUMBER(SEARCH("SlimLux",C108)),อัปเดตราคาอลู!$F$6,IF(ISNUMBER(SEARCH("Velora",C108)),อัปเดตราคาอลู!$F$7,IF(ISNUMBER(SEARCH("Fuji",C108)),อัปเดตราคาอลู!$F$5,อัปเดตราคาอลู!$F$4))))),3)</f>
        <v>2.8879999999999999</v>
      </c>
      <c r="M108" s="358">
        <f t="shared" si="21"/>
        <v>133.59399999999999</v>
      </c>
      <c r="N108" s="400">
        <f t="shared" si="22"/>
        <v>0</v>
      </c>
    </row>
    <row r="109" spans="1:14" x14ac:dyDescent="0.35">
      <c r="A109" s="346" t="s">
        <v>330</v>
      </c>
    </row>
    <row r="110" spans="1:14" x14ac:dyDescent="0.35">
      <c r="A110" s="155" t="s">
        <v>331</v>
      </c>
      <c r="B110" s="155" t="s">
        <v>332</v>
      </c>
      <c r="C110" s="155" t="s">
        <v>333</v>
      </c>
      <c r="D110" s="155">
        <v>222</v>
      </c>
      <c r="E110" s="155">
        <v>340</v>
      </c>
      <c r="F110" s="155">
        <v>355</v>
      </c>
      <c r="H110" s="341">
        <f t="shared" ref="H110:H149" si="23">IF(ISNUMBER(SEARCH("เมืองทอง",C110)),mult_mtong,IF(ISNUMBER(SEARCH("SlimLux",C110)),mult_slim,IF(ISNUMBER(SEARCH("Velora",C110)),mult_velora,IF(ISNUMBER(SEARCH("Fuji",C110)),mult_euro,mult_sms))))</f>
        <v>1</v>
      </c>
      <c r="I110" s="327">
        <f t="shared" ref="I110:I149" si="24">ROUND(D110*H110,0)</f>
        <v>222</v>
      </c>
      <c r="J110" s="327">
        <f t="shared" ref="J110:J149" si="25">ROUND(E110*H110,0)</f>
        <v>340</v>
      </c>
      <c r="K110" s="406">
        <f t="shared" ref="K110:K149" si="26">ROUND(F110*mult_wood,0)</f>
        <v>355</v>
      </c>
      <c r="L110" s="358">
        <f>ROUND(D110/(IF(ISNUMBER(SEARCH("เมืองทอง",C110)),อัปเดตราคาอลู!$F$8,IF(ISNUMBER(SEARCH("SlimLux",C110)),อัปเดตราคาอลู!$F$6,IF(ISNUMBER(SEARCH("Velora",C110)),อัปเดตราคาอลู!$F$7,IF(ISNUMBER(SEARCH("Fuji",C110)),อัปเดตราคาอลู!$F$5,อัปเดตราคาอลู!$F$4))))),3)</f>
        <v>1.181</v>
      </c>
      <c r="M110" s="358">
        <f t="shared" ref="M110:M149" si="27">ROUND(K110/(IF(OR(ISNUMBER(SEARCH("เมืองทอง",C110)),ISNUMBER(SEARCH("SlimLux",C110)),ISNUMBER(SEARCH("Velora",C110))),6,6.4)),3)</f>
        <v>59.167000000000002</v>
      </c>
      <c r="N110" s="400">
        <f t="shared" ref="N110:N149" si="28">ROUND(I110-D110,0)</f>
        <v>0</v>
      </c>
    </row>
    <row r="111" spans="1:14" x14ac:dyDescent="0.35">
      <c r="A111" s="155" t="s">
        <v>334</v>
      </c>
      <c r="B111" s="155" t="s">
        <v>332</v>
      </c>
      <c r="C111" s="155" t="s">
        <v>333</v>
      </c>
      <c r="D111" s="155">
        <v>261</v>
      </c>
      <c r="E111" s="155">
        <v>400</v>
      </c>
      <c r="F111" s="155">
        <v>418</v>
      </c>
      <c r="H111" s="341">
        <f t="shared" si="23"/>
        <v>1</v>
      </c>
      <c r="I111" s="327">
        <f t="shared" si="24"/>
        <v>261</v>
      </c>
      <c r="J111" s="327">
        <f t="shared" si="25"/>
        <v>400</v>
      </c>
      <c r="K111" s="406">
        <f t="shared" si="26"/>
        <v>418</v>
      </c>
      <c r="L111" s="358">
        <f>ROUND(D111/(IF(ISNUMBER(SEARCH("เมืองทอง",C111)),อัปเดตราคาอลู!$F$8,IF(ISNUMBER(SEARCH("SlimLux",C111)),อัปเดตราคาอลู!$F$6,IF(ISNUMBER(SEARCH("Velora",C111)),อัปเดตราคาอลู!$F$7,IF(ISNUMBER(SEARCH("Fuji",C111)),อัปเดตราคาอลู!$F$5,อัปเดตราคาอลู!$F$4))))),3)</f>
        <v>1.3879999999999999</v>
      </c>
      <c r="M111" s="358">
        <f t="shared" si="27"/>
        <v>69.667000000000002</v>
      </c>
      <c r="N111" s="400">
        <f t="shared" si="28"/>
        <v>0</v>
      </c>
    </row>
    <row r="112" spans="1:14" x14ac:dyDescent="0.35">
      <c r="A112" s="155" t="s">
        <v>335</v>
      </c>
      <c r="B112" s="155" t="s">
        <v>336</v>
      </c>
      <c r="C112" s="155" t="s">
        <v>333</v>
      </c>
      <c r="D112" s="155">
        <v>295</v>
      </c>
      <c r="E112" s="155">
        <v>452</v>
      </c>
      <c r="F112" s="155">
        <v>472</v>
      </c>
      <c r="H112" s="341">
        <f t="shared" si="23"/>
        <v>1</v>
      </c>
      <c r="I112" s="327">
        <f t="shared" si="24"/>
        <v>295</v>
      </c>
      <c r="J112" s="327">
        <f t="shared" si="25"/>
        <v>452</v>
      </c>
      <c r="K112" s="406">
        <f t="shared" si="26"/>
        <v>472</v>
      </c>
      <c r="L112" s="358">
        <f>ROUND(D112/(IF(ISNUMBER(SEARCH("เมืองทอง",C112)),อัปเดตราคาอลู!$F$8,IF(ISNUMBER(SEARCH("SlimLux",C112)),อัปเดตราคาอลู!$F$6,IF(ISNUMBER(SEARCH("Velora",C112)),อัปเดตราคาอลู!$F$7,IF(ISNUMBER(SEARCH("Fuji",C112)),อัปเดตราคาอลู!$F$5,อัปเดตราคาอลู!$F$4))))),3)</f>
        <v>1.569</v>
      </c>
      <c r="M112" s="358">
        <f t="shared" si="27"/>
        <v>78.667000000000002</v>
      </c>
      <c r="N112" s="400">
        <f t="shared" si="28"/>
        <v>0</v>
      </c>
    </row>
    <row r="113" spans="1:14" x14ac:dyDescent="0.35">
      <c r="A113" s="155" t="s">
        <v>337</v>
      </c>
      <c r="B113" s="155" t="s">
        <v>336</v>
      </c>
      <c r="C113" s="155" t="s">
        <v>333</v>
      </c>
      <c r="D113" s="155">
        <v>325</v>
      </c>
      <c r="E113" s="155">
        <v>498</v>
      </c>
      <c r="F113" s="155">
        <v>520</v>
      </c>
      <c r="H113" s="341">
        <f t="shared" si="23"/>
        <v>1</v>
      </c>
      <c r="I113" s="327">
        <f t="shared" si="24"/>
        <v>325</v>
      </c>
      <c r="J113" s="327">
        <f t="shared" si="25"/>
        <v>498</v>
      </c>
      <c r="K113" s="406">
        <f t="shared" si="26"/>
        <v>520</v>
      </c>
      <c r="L113" s="358">
        <f>ROUND(D113/(IF(ISNUMBER(SEARCH("เมืองทอง",C113)),อัปเดตราคาอลู!$F$8,IF(ISNUMBER(SEARCH("SlimLux",C113)),อัปเดตราคาอลู!$F$6,IF(ISNUMBER(SEARCH("Velora",C113)),อัปเดตราคาอลู!$F$7,IF(ISNUMBER(SEARCH("Fuji",C113)),อัปเดตราคาอลู!$F$5,อัปเดตราคาอลู!$F$4))))),3)</f>
        <v>1.7290000000000001</v>
      </c>
      <c r="M113" s="358">
        <f t="shared" si="27"/>
        <v>86.667000000000002</v>
      </c>
      <c r="N113" s="400">
        <f t="shared" si="28"/>
        <v>0</v>
      </c>
    </row>
    <row r="114" spans="1:14" x14ac:dyDescent="0.35">
      <c r="A114" s="155" t="s">
        <v>338</v>
      </c>
      <c r="B114" s="155" t="s">
        <v>336</v>
      </c>
      <c r="C114" s="155" t="s">
        <v>333</v>
      </c>
      <c r="D114" s="155">
        <v>353</v>
      </c>
      <c r="E114" s="155">
        <v>541</v>
      </c>
      <c r="F114" s="155">
        <v>565</v>
      </c>
      <c r="H114" s="341">
        <f t="shared" si="23"/>
        <v>1</v>
      </c>
      <c r="I114" s="327">
        <f t="shared" si="24"/>
        <v>353</v>
      </c>
      <c r="J114" s="327">
        <f t="shared" si="25"/>
        <v>541</v>
      </c>
      <c r="K114" s="406">
        <f t="shared" si="26"/>
        <v>565</v>
      </c>
      <c r="L114" s="358">
        <f>ROUND(D114/(IF(ISNUMBER(SEARCH("เมืองทอง",C114)),อัปเดตราคาอลู!$F$8,IF(ISNUMBER(SEARCH("SlimLux",C114)),อัปเดตราคาอลู!$F$6,IF(ISNUMBER(SEARCH("Velora",C114)),อัปเดตราคาอลู!$F$7,IF(ISNUMBER(SEARCH("Fuji",C114)),อัปเดตราคาอลู!$F$5,อัปเดตราคาอลู!$F$4))))),3)</f>
        <v>1.8779999999999999</v>
      </c>
      <c r="M114" s="358">
        <f t="shared" si="27"/>
        <v>94.167000000000002</v>
      </c>
      <c r="N114" s="400">
        <f t="shared" si="28"/>
        <v>0</v>
      </c>
    </row>
    <row r="115" spans="1:14" x14ac:dyDescent="0.35">
      <c r="A115" s="155" t="s">
        <v>339</v>
      </c>
      <c r="B115" s="155" t="s">
        <v>340</v>
      </c>
      <c r="C115" s="155" t="s">
        <v>333</v>
      </c>
      <c r="D115" s="155">
        <v>410</v>
      </c>
      <c r="E115" s="155">
        <v>628</v>
      </c>
      <c r="F115" s="155">
        <v>655</v>
      </c>
      <c r="H115" s="341">
        <f t="shared" si="23"/>
        <v>1</v>
      </c>
      <c r="I115" s="327">
        <f t="shared" si="24"/>
        <v>410</v>
      </c>
      <c r="J115" s="327">
        <f t="shared" si="25"/>
        <v>628</v>
      </c>
      <c r="K115" s="406">
        <f t="shared" si="26"/>
        <v>655</v>
      </c>
      <c r="L115" s="358">
        <f>ROUND(D115/(IF(ISNUMBER(SEARCH("เมืองทอง",C115)),อัปเดตราคาอลู!$F$8,IF(ISNUMBER(SEARCH("SlimLux",C115)),อัปเดตราคาอลู!$F$6,IF(ISNUMBER(SEARCH("Velora",C115)),อัปเดตราคาอลู!$F$7,IF(ISNUMBER(SEARCH("Fuji",C115)),อัปเดตราคาอลู!$F$5,อัปเดตราคาอลู!$F$4))))),3)</f>
        <v>2.181</v>
      </c>
      <c r="M115" s="358">
        <f t="shared" si="27"/>
        <v>109.167</v>
      </c>
      <c r="N115" s="400">
        <f t="shared" si="28"/>
        <v>0</v>
      </c>
    </row>
    <row r="116" spans="1:14" x14ac:dyDescent="0.35">
      <c r="A116" s="155" t="s">
        <v>341</v>
      </c>
      <c r="B116" s="155" t="s">
        <v>342</v>
      </c>
      <c r="C116" s="155" t="s">
        <v>333</v>
      </c>
      <c r="D116" s="155">
        <v>494</v>
      </c>
      <c r="E116" s="155">
        <v>757</v>
      </c>
      <c r="F116" s="155">
        <v>790</v>
      </c>
      <c r="H116" s="341">
        <f t="shared" si="23"/>
        <v>1</v>
      </c>
      <c r="I116" s="327">
        <f t="shared" si="24"/>
        <v>494</v>
      </c>
      <c r="J116" s="327">
        <f t="shared" si="25"/>
        <v>757</v>
      </c>
      <c r="K116" s="406">
        <f t="shared" si="26"/>
        <v>790</v>
      </c>
      <c r="L116" s="358">
        <f>ROUND(D116/(IF(ISNUMBER(SEARCH("เมืองทอง",C116)),อัปเดตราคาอลู!$F$8,IF(ISNUMBER(SEARCH("SlimLux",C116)),อัปเดตราคาอลู!$F$6,IF(ISNUMBER(SEARCH("Velora",C116)),อัปเดตราคาอลู!$F$7,IF(ISNUMBER(SEARCH("Fuji",C116)),อัปเดตราคาอลู!$F$5,อัปเดตราคาอลู!$F$4))))),3)</f>
        <v>2.6280000000000001</v>
      </c>
      <c r="M116" s="358">
        <f t="shared" si="27"/>
        <v>131.667</v>
      </c>
      <c r="N116" s="400">
        <f t="shared" si="28"/>
        <v>0</v>
      </c>
    </row>
    <row r="117" spans="1:14" x14ac:dyDescent="0.35">
      <c r="A117" s="155" t="s">
        <v>343</v>
      </c>
      <c r="B117" s="155" t="s">
        <v>342</v>
      </c>
      <c r="C117" s="155" t="s">
        <v>333</v>
      </c>
      <c r="D117" s="155">
        <v>671</v>
      </c>
      <c r="E117" s="155">
        <v>1028</v>
      </c>
      <c r="F117" s="155">
        <v>1073</v>
      </c>
      <c r="H117" s="341">
        <f t="shared" si="23"/>
        <v>1</v>
      </c>
      <c r="I117" s="327">
        <f t="shared" si="24"/>
        <v>671</v>
      </c>
      <c r="J117" s="327">
        <f t="shared" si="25"/>
        <v>1028</v>
      </c>
      <c r="K117" s="406">
        <f t="shared" si="26"/>
        <v>1073</v>
      </c>
      <c r="L117" s="358">
        <f>ROUND(D117/(IF(ISNUMBER(SEARCH("เมืองทอง",C117)),อัปเดตราคาอลู!$F$8,IF(ISNUMBER(SEARCH("SlimLux",C117)),อัปเดตราคาอลู!$F$6,IF(ISNUMBER(SEARCH("Velora",C117)),อัปเดตราคาอลู!$F$7,IF(ISNUMBER(SEARCH("Fuji",C117)),อัปเดตราคาอลู!$F$5,อัปเดตราคาอลู!$F$4))))),3)</f>
        <v>3.569</v>
      </c>
      <c r="M117" s="358">
        <f t="shared" si="27"/>
        <v>178.833</v>
      </c>
      <c r="N117" s="400">
        <f t="shared" si="28"/>
        <v>0</v>
      </c>
    </row>
    <row r="118" spans="1:14" x14ac:dyDescent="0.35">
      <c r="A118" s="155" t="s">
        <v>344</v>
      </c>
      <c r="B118" s="155" t="s">
        <v>345</v>
      </c>
      <c r="C118" s="155" t="s">
        <v>333</v>
      </c>
      <c r="D118" s="155">
        <v>427</v>
      </c>
      <c r="E118" s="155">
        <v>654</v>
      </c>
      <c r="F118" s="155">
        <v>682</v>
      </c>
      <c r="H118" s="341">
        <f t="shared" si="23"/>
        <v>1</v>
      </c>
      <c r="I118" s="327">
        <f t="shared" si="24"/>
        <v>427</v>
      </c>
      <c r="J118" s="327">
        <f t="shared" si="25"/>
        <v>654</v>
      </c>
      <c r="K118" s="406">
        <f t="shared" si="26"/>
        <v>682</v>
      </c>
      <c r="L118" s="358">
        <f>ROUND(D118/(IF(ISNUMBER(SEARCH("เมืองทอง",C118)),อัปเดตราคาอลู!$F$8,IF(ISNUMBER(SEARCH("SlimLux",C118)),อัปเดตราคาอลู!$F$6,IF(ISNUMBER(SEARCH("Velora",C118)),อัปเดตราคาอลู!$F$7,IF(ISNUMBER(SEARCH("Fuji",C118)),อัปเดตราคาอลู!$F$5,อัปเดตราคาอลู!$F$4))))),3)</f>
        <v>2.2709999999999999</v>
      </c>
      <c r="M118" s="358">
        <f t="shared" si="27"/>
        <v>113.667</v>
      </c>
      <c r="N118" s="400">
        <f t="shared" si="28"/>
        <v>0</v>
      </c>
    </row>
    <row r="119" spans="1:14" x14ac:dyDescent="0.35">
      <c r="A119" s="155" t="s">
        <v>346</v>
      </c>
      <c r="B119" s="155" t="s">
        <v>345</v>
      </c>
      <c r="C119" s="155" t="s">
        <v>333</v>
      </c>
      <c r="D119" s="155">
        <v>479</v>
      </c>
      <c r="E119" s="155">
        <v>734</v>
      </c>
      <c r="F119" s="155">
        <v>766</v>
      </c>
      <c r="H119" s="341">
        <f t="shared" si="23"/>
        <v>1</v>
      </c>
      <c r="I119" s="327">
        <f t="shared" si="24"/>
        <v>479</v>
      </c>
      <c r="J119" s="327">
        <f t="shared" si="25"/>
        <v>734</v>
      </c>
      <c r="K119" s="406">
        <f t="shared" si="26"/>
        <v>766</v>
      </c>
      <c r="L119" s="358">
        <f>ROUND(D119/(IF(ISNUMBER(SEARCH("เมืองทอง",C119)),อัปเดตราคาอลู!$F$8,IF(ISNUMBER(SEARCH("SlimLux",C119)),อัปเดตราคาอลู!$F$6,IF(ISNUMBER(SEARCH("Velora",C119)),อัปเดตราคาอลู!$F$7,IF(ISNUMBER(SEARCH("Fuji",C119)),อัปเดตราคาอลู!$F$5,อัปเดตราคาอลู!$F$4))))),3)</f>
        <v>2.548</v>
      </c>
      <c r="M119" s="358">
        <f t="shared" si="27"/>
        <v>127.667</v>
      </c>
      <c r="N119" s="400">
        <f t="shared" si="28"/>
        <v>0</v>
      </c>
    </row>
    <row r="120" spans="1:14" x14ac:dyDescent="0.35">
      <c r="A120" s="155" t="s">
        <v>347</v>
      </c>
      <c r="B120" s="155" t="s">
        <v>345</v>
      </c>
      <c r="C120" s="155" t="s">
        <v>333</v>
      </c>
      <c r="D120" s="155">
        <v>583</v>
      </c>
      <c r="E120" s="155">
        <v>893</v>
      </c>
      <c r="F120" s="155">
        <v>932</v>
      </c>
      <c r="H120" s="341">
        <f t="shared" si="23"/>
        <v>1</v>
      </c>
      <c r="I120" s="327">
        <f t="shared" si="24"/>
        <v>583</v>
      </c>
      <c r="J120" s="327">
        <f t="shared" si="25"/>
        <v>893</v>
      </c>
      <c r="K120" s="406">
        <f t="shared" si="26"/>
        <v>932</v>
      </c>
      <c r="L120" s="358">
        <f>ROUND(D120/(IF(ISNUMBER(SEARCH("เมืองทอง",C120)),อัปเดตราคาอลู!$F$8,IF(ISNUMBER(SEARCH("SlimLux",C120)),อัปเดตราคาอลู!$F$6,IF(ISNUMBER(SEARCH("Velora",C120)),อัปเดตราคาอลู!$F$7,IF(ISNUMBER(SEARCH("Fuji",C120)),อัปเดตราคาอลู!$F$5,อัปเดตราคาอลู!$F$4))))),3)</f>
        <v>3.101</v>
      </c>
      <c r="M120" s="358">
        <f t="shared" si="27"/>
        <v>155.333</v>
      </c>
      <c r="N120" s="400">
        <f t="shared" si="28"/>
        <v>0</v>
      </c>
    </row>
    <row r="121" spans="1:14" x14ac:dyDescent="0.35">
      <c r="A121" s="155" t="s">
        <v>348</v>
      </c>
      <c r="B121" s="155" t="s">
        <v>345</v>
      </c>
      <c r="C121" s="155" t="s">
        <v>333</v>
      </c>
      <c r="D121" s="155">
        <v>713</v>
      </c>
      <c r="E121" s="155">
        <v>1092</v>
      </c>
      <c r="F121" s="155">
        <v>1139</v>
      </c>
      <c r="H121" s="341">
        <f t="shared" si="23"/>
        <v>1</v>
      </c>
      <c r="I121" s="327">
        <f t="shared" si="24"/>
        <v>713</v>
      </c>
      <c r="J121" s="327">
        <f t="shared" si="25"/>
        <v>1092</v>
      </c>
      <c r="K121" s="406">
        <f t="shared" si="26"/>
        <v>1139</v>
      </c>
      <c r="L121" s="358">
        <f>ROUND(D121/(IF(ISNUMBER(SEARCH("เมืองทอง",C121)),อัปเดตราคาอลู!$F$8,IF(ISNUMBER(SEARCH("SlimLux",C121)),อัปเดตราคาอลู!$F$6,IF(ISNUMBER(SEARCH("Velora",C121)),อัปเดตราคาอลู!$F$7,IF(ISNUMBER(SEARCH("Fuji",C121)),อัปเดตราคาอลู!$F$5,อัปเดตราคาอลู!$F$4))))),3)</f>
        <v>3.7930000000000001</v>
      </c>
      <c r="M121" s="358">
        <f t="shared" si="27"/>
        <v>189.833</v>
      </c>
      <c r="N121" s="400">
        <f t="shared" si="28"/>
        <v>0</v>
      </c>
    </row>
    <row r="122" spans="1:14" x14ac:dyDescent="0.35">
      <c r="A122" s="155" t="s">
        <v>349</v>
      </c>
      <c r="B122" s="155" t="s">
        <v>345</v>
      </c>
      <c r="C122" s="155" t="s">
        <v>333</v>
      </c>
      <c r="D122" s="155">
        <v>737</v>
      </c>
      <c r="E122" s="155">
        <v>1129</v>
      </c>
      <c r="F122" s="155">
        <v>1178</v>
      </c>
      <c r="H122" s="341">
        <f t="shared" si="23"/>
        <v>1</v>
      </c>
      <c r="I122" s="327">
        <f t="shared" si="24"/>
        <v>737</v>
      </c>
      <c r="J122" s="327">
        <f t="shared" si="25"/>
        <v>1129</v>
      </c>
      <c r="K122" s="406">
        <f t="shared" si="26"/>
        <v>1178</v>
      </c>
      <c r="L122" s="358">
        <f>ROUND(D122/(IF(ISNUMBER(SEARCH("เมืองทอง",C122)),อัปเดตราคาอลู!$F$8,IF(ISNUMBER(SEARCH("SlimLux",C122)),อัปเดตราคาอลู!$F$6,IF(ISNUMBER(SEARCH("Velora",C122)),อัปเดตราคาอลู!$F$7,IF(ISNUMBER(SEARCH("Fuji",C122)),อัปเดตราคาอลู!$F$5,อัปเดตราคาอลู!$F$4))))),3)</f>
        <v>3.92</v>
      </c>
      <c r="M122" s="358">
        <f t="shared" si="27"/>
        <v>196.333</v>
      </c>
      <c r="N122" s="400">
        <f t="shared" si="28"/>
        <v>0</v>
      </c>
    </row>
    <row r="123" spans="1:14" x14ac:dyDescent="0.35">
      <c r="A123" s="155" t="s">
        <v>350</v>
      </c>
      <c r="B123" s="155" t="s">
        <v>351</v>
      </c>
      <c r="C123" s="155" t="s">
        <v>333</v>
      </c>
      <c r="D123" s="155">
        <v>728</v>
      </c>
      <c r="E123" s="155">
        <v>1115</v>
      </c>
      <c r="F123" s="155">
        <v>1163</v>
      </c>
      <c r="H123" s="341">
        <f t="shared" si="23"/>
        <v>1</v>
      </c>
      <c r="I123" s="327">
        <f t="shared" si="24"/>
        <v>728</v>
      </c>
      <c r="J123" s="327">
        <f t="shared" si="25"/>
        <v>1115</v>
      </c>
      <c r="K123" s="406">
        <f t="shared" si="26"/>
        <v>1163</v>
      </c>
      <c r="L123" s="358">
        <f>ROUND(D123/(IF(ISNUMBER(SEARCH("เมืองทอง",C123)),อัปเดตราคาอลู!$F$8,IF(ISNUMBER(SEARCH("SlimLux",C123)),อัปเดตราคาอลู!$F$6,IF(ISNUMBER(SEARCH("Velora",C123)),อัปเดตราคาอลู!$F$7,IF(ISNUMBER(SEARCH("Fuji",C123)),อัปเดตราคาอลู!$F$5,อัปเดตราคาอลู!$F$4))))),3)</f>
        <v>3.8719999999999999</v>
      </c>
      <c r="M123" s="358">
        <f t="shared" si="27"/>
        <v>193.833</v>
      </c>
      <c r="N123" s="400">
        <f t="shared" si="28"/>
        <v>0</v>
      </c>
    </row>
    <row r="124" spans="1:14" x14ac:dyDescent="0.35">
      <c r="A124" s="155" t="s">
        <v>352</v>
      </c>
      <c r="B124" s="155" t="s">
        <v>351</v>
      </c>
      <c r="C124" s="155" t="s">
        <v>333</v>
      </c>
      <c r="D124" s="155">
        <v>904</v>
      </c>
      <c r="E124" s="155">
        <v>1385</v>
      </c>
      <c r="F124" s="155">
        <v>1445</v>
      </c>
      <c r="H124" s="341">
        <f t="shared" si="23"/>
        <v>1</v>
      </c>
      <c r="I124" s="327">
        <f t="shared" si="24"/>
        <v>904</v>
      </c>
      <c r="J124" s="327">
        <f t="shared" si="25"/>
        <v>1385</v>
      </c>
      <c r="K124" s="406">
        <f t="shared" si="26"/>
        <v>1445</v>
      </c>
      <c r="L124" s="358">
        <f>ROUND(D124/(IF(ISNUMBER(SEARCH("เมืองทอง",C124)),อัปเดตราคาอลู!$F$8,IF(ISNUMBER(SEARCH("SlimLux",C124)),อัปเดตราคาอลู!$F$6,IF(ISNUMBER(SEARCH("Velora",C124)),อัปเดตราคาอลู!$F$7,IF(ISNUMBER(SEARCH("Fuji",C124)),อัปเดตราคาอลู!$F$5,อัปเดตราคาอลู!$F$4))))),3)</f>
        <v>4.8090000000000002</v>
      </c>
      <c r="M124" s="358">
        <f t="shared" si="27"/>
        <v>240.833</v>
      </c>
      <c r="N124" s="400">
        <f t="shared" si="28"/>
        <v>0</v>
      </c>
    </row>
    <row r="125" spans="1:14" x14ac:dyDescent="0.35">
      <c r="A125" s="155" t="s">
        <v>353</v>
      </c>
      <c r="B125" s="155" t="s">
        <v>354</v>
      </c>
      <c r="C125" s="155" t="s">
        <v>333</v>
      </c>
      <c r="D125" s="155">
        <v>218</v>
      </c>
      <c r="E125" s="155">
        <v>334</v>
      </c>
      <c r="F125" s="155">
        <v>349</v>
      </c>
      <c r="H125" s="341">
        <f t="shared" si="23"/>
        <v>1</v>
      </c>
      <c r="I125" s="327">
        <f t="shared" si="24"/>
        <v>218</v>
      </c>
      <c r="J125" s="327">
        <f t="shared" si="25"/>
        <v>334</v>
      </c>
      <c r="K125" s="406">
        <f t="shared" si="26"/>
        <v>349</v>
      </c>
      <c r="L125" s="358">
        <f>ROUND(D125/(IF(ISNUMBER(SEARCH("เมืองทอง",C125)),อัปเดตราคาอลู!$F$8,IF(ISNUMBER(SEARCH("SlimLux",C125)),อัปเดตราคาอลู!$F$6,IF(ISNUMBER(SEARCH("Velora",C125)),อัปเดตราคาอลู!$F$7,IF(ISNUMBER(SEARCH("Fuji",C125)),อัปเดตราคาอลู!$F$5,อัปเดตราคาอลู!$F$4))))),3)</f>
        <v>1.1599999999999999</v>
      </c>
      <c r="M125" s="358">
        <f t="shared" si="27"/>
        <v>58.167000000000002</v>
      </c>
      <c r="N125" s="400">
        <f t="shared" si="28"/>
        <v>0</v>
      </c>
    </row>
    <row r="126" spans="1:14" x14ac:dyDescent="0.35">
      <c r="A126" s="155" t="s">
        <v>355</v>
      </c>
      <c r="B126" s="155" t="s">
        <v>356</v>
      </c>
      <c r="C126" s="155" t="s">
        <v>333</v>
      </c>
      <c r="D126" s="155">
        <v>374</v>
      </c>
      <c r="E126" s="155">
        <v>573</v>
      </c>
      <c r="F126" s="155">
        <v>598</v>
      </c>
      <c r="H126" s="341">
        <f t="shared" si="23"/>
        <v>1</v>
      </c>
      <c r="I126" s="327">
        <f t="shared" si="24"/>
        <v>374</v>
      </c>
      <c r="J126" s="327">
        <f t="shared" si="25"/>
        <v>573</v>
      </c>
      <c r="K126" s="406">
        <f t="shared" si="26"/>
        <v>598</v>
      </c>
      <c r="L126" s="358">
        <f>ROUND(D126/(IF(ISNUMBER(SEARCH("เมืองทอง",C126)),อัปเดตราคาอลู!$F$8,IF(ISNUMBER(SEARCH("SlimLux",C126)),อัปเดตราคาอลู!$F$6,IF(ISNUMBER(SEARCH("Velora",C126)),อัปเดตราคาอลู!$F$7,IF(ISNUMBER(SEARCH("Fuji",C126)),อัปเดตราคาอลู!$F$5,อัปเดตราคาอลู!$F$4))))),3)</f>
        <v>1.9890000000000001</v>
      </c>
      <c r="M126" s="358">
        <f t="shared" si="27"/>
        <v>99.667000000000002</v>
      </c>
      <c r="N126" s="400">
        <f t="shared" si="28"/>
        <v>0</v>
      </c>
    </row>
    <row r="127" spans="1:14" x14ac:dyDescent="0.35">
      <c r="A127" s="155" t="s">
        <v>357</v>
      </c>
      <c r="B127" s="155" t="s">
        <v>358</v>
      </c>
      <c r="C127" s="155" t="s">
        <v>333</v>
      </c>
      <c r="D127" s="155">
        <v>453</v>
      </c>
      <c r="E127" s="155">
        <v>694</v>
      </c>
      <c r="F127" s="155">
        <v>724</v>
      </c>
      <c r="H127" s="341">
        <f t="shared" si="23"/>
        <v>1</v>
      </c>
      <c r="I127" s="327">
        <f t="shared" si="24"/>
        <v>453</v>
      </c>
      <c r="J127" s="327">
        <f t="shared" si="25"/>
        <v>694</v>
      </c>
      <c r="K127" s="406">
        <f t="shared" si="26"/>
        <v>724</v>
      </c>
      <c r="L127" s="358">
        <f>ROUND(D127/(IF(ISNUMBER(SEARCH("เมืองทอง",C127)),อัปเดตราคาอลู!$F$8,IF(ISNUMBER(SEARCH("SlimLux",C127)),อัปเดตราคาอลู!$F$6,IF(ISNUMBER(SEARCH("Velora",C127)),อัปเดตราคาอลู!$F$7,IF(ISNUMBER(SEARCH("Fuji",C127)),อัปเดตราคาอลู!$F$5,อัปเดตราคาอลู!$F$4))))),3)</f>
        <v>2.41</v>
      </c>
      <c r="M127" s="358">
        <f t="shared" si="27"/>
        <v>120.667</v>
      </c>
      <c r="N127" s="400">
        <f t="shared" si="28"/>
        <v>0</v>
      </c>
    </row>
    <row r="128" spans="1:14" x14ac:dyDescent="0.35">
      <c r="A128" s="155" t="s">
        <v>359</v>
      </c>
      <c r="B128" s="155" t="s">
        <v>360</v>
      </c>
      <c r="C128" s="155" t="s">
        <v>333</v>
      </c>
      <c r="D128" s="155">
        <v>453</v>
      </c>
      <c r="E128" s="155">
        <v>694</v>
      </c>
      <c r="F128" s="155">
        <v>724</v>
      </c>
      <c r="H128" s="341">
        <f t="shared" si="23"/>
        <v>1</v>
      </c>
      <c r="I128" s="327">
        <f t="shared" si="24"/>
        <v>453</v>
      </c>
      <c r="J128" s="327">
        <f t="shared" si="25"/>
        <v>694</v>
      </c>
      <c r="K128" s="406">
        <f t="shared" si="26"/>
        <v>724</v>
      </c>
      <c r="L128" s="358">
        <f>ROUND(D128/(IF(ISNUMBER(SEARCH("เมืองทอง",C128)),อัปเดตราคาอลู!$F$8,IF(ISNUMBER(SEARCH("SlimLux",C128)),อัปเดตราคาอลู!$F$6,IF(ISNUMBER(SEARCH("Velora",C128)),อัปเดตราคาอลู!$F$7,IF(ISNUMBER(SEARCH("Fuji",C128)),อัปเดตราคาอลู!$F$5,อัปเดตราคาอลู!$F$4))))),3)</f>
        <v>2.41</v>
      </c>
      <c r="M128" s="358">
        <f t="shared" si="27"/>
        <v>120.667</v>
      </c>
      <c r="N128" s="400">
        <f t="shared" si="28"/>
        <v>0</v>
      </c>
    </row>
    <row r="129" spans="1:14" x14ac:dyDescent="0.35">
      <c r="A129" s="155" t="s">
        <v>361</v>
      </c>
      <c r="B129" s="155" t="s">
        <v>360</v>
      </c>
      <c r="C129" s="155" t="s">
        <v>333</v>
      </c>
      <c r="D129" s="155">
        <v>540</v>
      </c>
      <c r="E129" s="155">
        <v>827</v>
      </c>
      <c r="F129" s="155">
        <v>862</v>
      </c>
      <c r="H129" s="341">
        <f t="shared" si="23"/>
        <v>1</v>
      </c>
      <c r="I129" s="327">
        <f t="shared" si="24"/>
        <v>540</v>
      </c>
      <c r="J129" s="327">
        <f t="shared" si="25"/>
        <v>827</v>
      </c>
      <c r="K129" s="406">
        <f t="shared" si="26"/>
        <v>862</v>
      </c>
      <c r="L129" s="358">
        <f>ROUND(D129/(IF(ISNUMBER(SEARCH("เมืองทอง",C129)),อัปเดตราคาอลู!$F$8,IF(ISNUMBER(SEARCH("SlimLux",C129)),อัปเดตราคาอลู!$F$6,IF(ISNUMBER(SEARCH("Velora",C129)),อัปเดตราคาอลู!$F$7,IF(ISNUMBER(SEARCH("Fuji",C129)),อัปเดตราคาอลู!$F$5,อัปเดตราคาอลู!$F$4))))),3)</f>
        <v>2.8719999999999999</v>
      </c>
      <c r="M129" s="358">
        <f t="shared" si="27"/>
        <v>143.667</v>
      </c>
      <c r="N129" s="400">
        <f t="shared" si="28"/>
        <v>0</v>
      </c>
    </row>
    <row r="130" spans="1:14" x14ac:dyDescent="0.35">
      <c r="A130" s="155" t="s">
        <v>362</v>
      </c>
      <c r="B130" s="155" t="s">
        <v>363</v>
      </c>
      <c r="C130" s="155" t="s">
        <v>333</v>
      </c>
      <c r="D130" s="155">
        <v>726</v>
      </c>
      <c r="E130" s="155">
        <v>1112</v>
      </c>
      <c r="F130" s="155">
        <v>1160</v>
      </c>
      <c r="H130" s="341">
        <f t="shared" si="23"/>
        <v>1</v>
      </c>
      <c r="I130" s="327">
        <f t="shared" si="24"/>
        <v>726</v>
      </c>
      <c r="J130" s="327">
        <f t="shared" si="25"/>
        <v>1112</v>
      </c>
      <c r="K130" s="406">
        <f t="shared" si="26"/>
        <v>1160</v>
      </c>
      <c r="L130" s="358">
        <f>ROUND(D130/(IF(ISNUMBER(SEARCH("เมืองทอง",C130)),อัปเดตราคาอลู!$F$8,IF(ISNUMBER(SEARCH("SlimLux",C130)),อัปเดตราคาอลู!$F$6,IF(ISNUMBER(SEARCH("Velora",C130)),อัปเดตราคาอลู!$F$7,IF(ISNUMBER(SEARCH("Fuji",C130)),อัปเดตราคาอลู!$F$5,อัปเดตราคาอลู!$F$4))))),3)</f>
        <v>3.8620000000000001</v>
      </c>
      <c r="M130" s="358">
        <f t="shared" si="27"/>
        <v>193.333</v>
      </c>
      <c r="N130" s="400">
        <f t="shared" si="28"/>
        <v>0</v>
      </c>
    </row>
    <row r="131" spans="1:14" x14ac:dyDescent="0.35">
      <c r="A131" s="155" t="s">
        <v>364</v>
      </c>
      <c r="B131" s="155" t="s">
        <v>363</v>
      </c>
      <c r="C131" s="155" t="s">
        <v>333</v>
      </c>
      <c r="D131" s="155">
        <v>846</v>
      </c>
      <c r="E131" s="155">
        <v>1296</v>
      </c>
      <c r="F131" s="155">
        <v>1352</v>
      </c>
      <c r="H131" s="341">
        <f t="shared" si="23"/>
        <v>1</v>
      </c>
      <c r="I131" s="327">
        <f t="shared" si="24"/>
        <v>846</v>
      </c>
      <c r="J131" s="327">
        <f t="shared" si="25"/>
        <v>1296</v>
      </c>
      <c r="K131" s="406">
        <f t="shared" si="26"/>
        <v>1352</v>
      </c>
      <c r="L131" s="358">
        <f>ROUND(D131/(IF(ISNUMBER(SEARCH("เมืองทอง",C131)),อัปเดตราคาอลู!$F$8,IF(ISNUMBER(SEARCH("SlimLux",C131)),อัปเดตราคาอลู!$F$6,IF(ISNUMBER(SEARCH("Velora",C131)),อัปเดตราคาอลู!$F$7,IF(ISNUMBER(SEARCH("Fuji",C131)),อัปเดตราคาอลู!$F$5,อัปเดตราคาอลู!$F$4))))),3)</f>
        <v>4.5</v>
      </c>
      <c r="M131" s="358">
        <f t="shared" si="27"/>
        <v>225.333</v>
      </c>
      <c r="N131" s="400">
        <f t="shared" si="28"/>
        <v>0</v>
      </c>
    </row>
    <row r="132" spans="1:14" x14ac:dyDescent="0.35">
      <c r="A132" s="155" t="s">
        <v>365</v>
      </c>
      <c r="B132" s="155" t="s">
        <v>366</v>
      </c>
      <c r="C132" s="155" t="s">
        <v>333</v>
      </c>
      <c r="D132" s="155">
        <v>797</v>
      </c>
      <c r="E132" s="155">
        <v>1221</v>
      </c>
      <c r="F132" s="155">
        <v>1274</v>
      </c>
      <c r="H132" s="341">
        <f t="shared" si="23"/>
        <v>1</v>
      </c>
      <c r="I132" s="327">
        <f t="shared" si="24"/>
        <v>797</v>
      </c>
      <c r="J132" s="327">
        <f t="shared" si="25"/>
        <v>1221</v>
      </c>
      <c r="K132" s="406">
        <f t="shared" si="26"/>
        <v>1274</v>
      </c>
      <c r="L132" s="358">
        <f>ROUND(D132/(IF(ISNUMBER(SEARCH("เมืองทอง",C132)),อัปเดตราคาอลู!$F$8,IF(ISNUMBER(SEARCH("SlimLux",C132)),อัปเดตราคาอลู!$F$6,IF(ISNUMBER(SEARCH("Velora",C132)),อัปเดตราคาอลู!$F$7,IF(ISNUMBER(SEARCH("Fuji",C132)),อัปเดตราคาอลู!$F$5,อัปเดตราคาอลู!$F$4))))),3)</f>
        <v>4.2389999999999999</v>
      </c>
      <c r="M132" s="358">
        <f t="shared" si="27"/>
        <v>212.333</v>
      </c>
      <c r="N132" s="400">
        <f t="shared" si="28"/>
        <v>0</v>
      </c>
    </row>
    <row r="133" spans="1:14" x14ac:dyDescent="0.35">
      <c r="A133" s="155" t="s">
        <v>367</v>
      </c>
      <c r="B133" s="155" t="s">
        <v>366</v>
      </c>
      <c r="C133" s="155" t="s">
        <v>333</v>
      </c>
      <c r="D133" s="155">
        <v>867</v>
      </c>
      <c r="E133" s="155">
        <v>1328</v>
      </c>
      <c r="F133" s="155">
        <v>1385</v>
      </c>
      <c r="H133" s="341">
        <f t="shared" si="23"/>
        <v>1</v>
      </c>
      <c r="I133" s="327">
        <f t="shared" si="24"/>
        <v>867</v>
      </c>
      <c r="J133" s="327">
        <f t="shared" si="25"/>
        <v>1328</v>
      </c>
      <c r="K133" s="406">
        <f t="shared" si="26"/>
        <v>1385</v>
      </c>
      <c r="L133" s="358">
        <f>ROUND(D133/(IF(ISNUMBER(SEARCH("เมืองทอง",C133)),อัปเดตราคาอลู!$F$8,IF(ISNUMBER(SEARCH("SlimLux",C133)),อัปเดตราคาอลู!$F$6,IF(ISNUMBER(SEARCH("Velora",C133)),อัปเดตราคาอลู!$F$7,IF(ISNUMBER(SEARCH("Fuji",C133)),อัปเดตราคาอลู!$F$5,อัปเดตราคาอลู!$F$4))))),3)</f>
        <v>4.6120000000000001</v>
      </c>
      <c r="M133" s="358">
        <f t="shared" si="27"/>
        <v>230.833</v>
      </c>
      <c r="N133" s="400">
        <f t="shared" si="28"/>
        <v>0</v>
      </c>
    </row>
    <row r="134" spans="1:14" x14ac:dyDescent="0.35">
      <c r="A134" s="155" t="s">
        <v>368</v>
      </c>
      <c r="B134" s="155" t="s">
        <v>366</v>
      </c>
      <c r="C134" s="155" t="s">
        <v>333</v>
      </c>
      <c r="D134" s="155">
        <v>1008</v>
      </c>
      <c r="E134" s="155">
        <v>1544</v>
      </c>
      <c r="F134" s="155">
        <v>1611</v>
      </c>
      <c r="H134" s="341">
        <f t="shared" si="23"/>
        <v>1</v>
      </c>
      <c r="I134" s="327">
        <f t="shared" si="24"/>
        <v>1008</v>
      </c>
      <c r="J134" s="327">
        <f t="shared" si="25"/>
        <v>1544</v>
      </c>
      <c r="K134" s="406">
        <f t="shared" si="26"/>
        <v>1611</v>
      </c>
      <c r="L134" s="358">
        <f>ROUND(D134/(IF(ISNUMBER(SEARCH("เมืองทอง",C134)),อัปเดตราคาอลู!$F$8,IF(ISNUMBER(SEARCH("SlimLux",C134)),อัปเดตราคาอลู!$F$6,IF(ISNUMBER(SEARCH("Velora",C134)),อัปเดตราคาอลู!$F$7,IF(ISNUMBER(SEARCH("Fuji",C134)),อัปเดตราคาอลู!$F$5,อัปเดตราคาอลู!$F$4))))),3)</f>
        <v>5.3620000000000001</v>
      </c>
      <c r="M134" s="358">
        <f t="shared" si="27"/>
        <v>268.5</v>
      </c>
      <c r="N134" s="400">
        <f t="shared" si="28"/>
        <v>0</v>
      </c>
    </row>
    <row r="135" spans="1:14" x14ac:dyDescent="0.35">
      <c r="A135" s="155" t="s">
        <v>369</v>
      </c>
      <c r="B135" s="155" t="s">
        <v>370</v>
      </c>
      <c r="C135" s="155" t="s">
        <v>333</v>
      </c>
      <c r="D135" s="155">
        <v>914</v>
      </c>
      <c r="E135" s="155">
        <v>1400</v>
      </c>
      <c r="F135" s="155">
        <v>1460</v>
      </c>
      <c r="H135" s="341">
        <f t="shared" si="23"/>
        <v>1</v>
      </c>
      <c r="I135" s="327">
        <f t="shared" si="24"/>
        <v>914</v>
      </c>
      <c r="J135" s="327">
        <f t="shared" si="25"/>
        <v>1400</v>
      </c>
      <c r="K135" s="406">
        <f t="shared" si="26"/>
        <v>1460</v>
      </c>
      <c r="L135" s="358">
        <f>ROUND(D135/(IF(ISNUMBER(SEARCH("เมืองทอง",C135)),อัปเดตราคาอลู!$F$8,IF(ISNUMBER(SEARCH("SlimLux",C135)),อัปเดตราคาอลู!$F$6,IF(ISNUMBER(SEARCH("Velora",C135)),อัปเดตราคาอลู!$F$7,IF(ISNUMBER(SEARCH("Fuji",C135)),อัปเดตราคาอลู!$F$5,อัปเดตราคาอลู!$F$4))))),3)</f>
        <v>4.8620000000000001</v>
      </c>
      <c r="M135" s="358">
        <f t="shared" si="27"/>
        <v>243.333</v>
      </c>
      <c r="N135" s="400">
        <f t="shared" si="28"/>
        <v>0</v>
      </c>
    </row>
    <row r="136" spans="1:14" x14ac:dyDescent="0.35">
      <c r="A136" s="155" t="s">
        <v>371</v>
      </c>
      <c r="B136" s="155" t="s">
        <v>370</v>
      </c>
      <c r="C136" s="155" t="s">
        <v>333</v>
      </c>
      <c r="D136" s="155">
        <v>1137</v>
      </c>
      <c r="E136" s="155">
        <v>1742</v>
      </c>
      <c r="F136" s="155">
        <v>1818</v>
      </c>
      <c r="H136" s="341">
        <f t="shared" si="23"/>
        <v>1</v>
      </c>
      <c r="I136" s="327">
        <f t="shared" si="24"/>
        <v>1137</v>
      </c>
      <c r="J136" s="327">
        <f t="shared" si="25"/>
        <v>1742</v>
      </c>
      <c r="K136" s="406">
        <f t="shared" si="26"/>
        <v>1818</v>
      </c>
      <c r="L136" s="358">
        <f>ROUND(D136/(IF(ISNUMBER(SEARCH("เมืองทอง",C136)),อัปเดตราคาอลู!$F$8,IF(ISNUMBER(SEARCH("SlimLux",C136)),อัปเดตราคาอลู!$F$6,IF(ISNUMBER(SEARCH("Velora",C136)),อัปเดตราคาอลู!$F$7,IF(ISNUMBER(SEARCH("Fuji",C136)),อัปเดตราคาอลู!$F$5,อัปเดตราคาอลู!$F$4))))),3)</f>
        <v>6.048</v>
      </c>
      <c r="M136" s="358">
        <f t="shared" si="27"/>
        <v>303</v>
      </c>
      <c r="N136" s="400">
        <f t="shared" si="28"/>
        <v>0</v>
      </c>
    </row>
    <row r="137" spans="1:14" x14ac:dyDescent="0.35">
      <c r="A137" s="155" t="s">
        <v>372</v>
      </c>
      <c r="B137" s="155" t="s">
        <v>373</v>
      </c>
      <c r="C137" s="155" t="s">
        <v>333</v>
      </c>
      <c r="D137" s="155">
        <v>968</v>
      </c>
      <c r="E137" s="155">
        <v>1483</v>
      </c>
      <c r="F137" s="155">
        <v>1548</v>
      </c>
      <c r="H137" s="341">
        <f t="shared" si="23"/>
        <v>1</v>
      </c>
      <c r="I137" s="327">
        <f t="shared" si="24"/>
        <v>968</v>
      </c>
      <c r="J137" s="327">
        <f t="shared" si="25"/>
        <v>1483</v>
      </c>
      <c r="K137" s="406">
        <f t="shared" si="26"/>
        <v>1548</v>
      </c>
      <c r="L137" s="358">
        <f>ROUND(D137/(IF(ISNUMBER(SEARCH("เมืองทอง",C137)),อัปเดตราคาอลู!$F$8,IF(ISNUMBER(SEARCH("SlimLux",C137)),อัปเดตราคาอลู!$F$6,IF(ISNUMBER(SEARCH("Velora",C137)),อัปเดตราคาอลู!$F$7,IF(ISNUMBER(SEARCH("Fuji",C137)),อัปเดตราคาอลู!$F$5,อัปเดตราคาอลู!$F$4))))),3)</f>
        <v>5.149</v>
      </c>
      <c r="M137" s="358">
        <f t="shared" si="27"/>
        <v>258</v>
      </c>
      <c r="N137" s="400">
        <f t="shared" si="28"/>
        <v>0</v>
      </c>
    </row>
    <row r="138" spans="1:14" x14ac:dyDescent="0.35">
      <c r="A138" s="155" t="s">
        <v>374</v>
      </c>
      <c r="B138" s="155" t="s">
        <v>373</v>
      </c>
      <c r="C138" s="155" t="s">
        <v>333</v>
      </c>
      <c r="D138" s="155">
        <v>1057</v>
      </c>
      <c r="E138" s="155">
        <v>1619</v>
      </c>
      <c r="F138" s="155">
        <v>1689</v>
      </c>
      <c r="H138" s="341">
        <f t="shared" si="23"/>
        <v>1</v>
      </c>
      <c r="I138" s="327">
        <f t="shared" si="24"/>
        <v>1057</v>
      </c>
      <c r="J138" s="327">
        <f t="shared" si="25"/>
        <v>1619</v>
      </c>
      <c r="K138" s="406">
        <f t="shared" si="26"/>
        <v>1689</v>
      </c>
      <c r="L138" s="358">
        <f>ROUND(D138/(IF(ISNUMBER(SEARCH("เมืองทอง",C138)),อัปเดตราคาอลู!$F$8,IF(ISNUMBER(SEARCH("SlimLux",C138)),อัปเดตราคาอลู!$F$6,IF(ISNUMBER(SEARCH("Velora",C138)),อัปเดตราคาอลู!$F$7,IF(ISNUMBER(SEARCH("Fuji",C138)),อัปเดตราคาอลู!$F$5,อัปเดตราคาอลู!$F$4))))),3)</f>
        <v>5.6219999999999999</v>
      </c>
      <c r="M138" s="358">
        <f t="shared" si="27"/>
        <v>281.5</v>
      </c>
      <c r="N138" s="400">
        <f t="shared" si="28"/>
        <v>0</v>
      </c>
    </row>
    <row r="139" spans="1:14" x14ac:dyDescent="0.35">
      <c r="A139" s="155" t="s">
        <v>375</v>
      </c>
      <c r="B139" s="155" t="s">
        <v>373</v>
      </c>
      <c r="C139" s="155" t="s">
        <v>333</v>
      </c>
      <c r="D139" s="155">
        <v>1141</v>
      </c>
      <c r="E139" s="155">
        <v>1748</v>
      </c>
      <c r="F139" s="155">
        <v>1824</v>
      </c>
      <c r="H139" s="341">
        <f t="shared" si="23"/>
        <v>1</v>
      </c>
      <c r="I139" s="327">
        <f t="shared" si="24"/>
        <v>1141</v>
      </c>
      <c r="J139" s="327">
        <f t="shared" si="25"/>
        <v>1748</v>
      </c>
      <c r="K139" s="406">
        <f t="shared" si="26"/>
        <v>1824</v>
      </c>
      <c r="L139" s="358">
        <f>ROUND(D139/(IF(ISNUMBER(SEARCH("เมืองทอง",C139)),อัปเดตราคาอลู!$F$8,IF(ISNUMBER(SEARCH("SlimLux",C139)),อัปเดตราคาอลู!$F$6,IF(ISNUMBER(SEARCH("Velora",C139)),อัปเดตราคาอลู!$F$7,IF(ISNUMBER(SEARCH("Fuji",C139)),อัปเดตราคาอลู!$F$5,อัปเดตราคาอลู!$F$4))))),3)</f>
        <v>6.069</v>
      </c>
      <c r="M139" s="358">
        <f t="shared" si="27"/>
        <v>304</v>
      </c>
      <c r="N139" s="400">
        <f t="shared" si="28"/>
        <v>0</v>
      </c>
    </row>
    <row r="140" spans="1:14" x14ac:dyDescent="0.35">
      <c r="A140" s="155" t="s">
        <v>376</v>
      </c>
      <c r="B140" s="155" t="s">
        <v>373</v>
      </c>
      <c r="C140" s="155" t="s">
        <v>333</v>
      </c>
      <c r="D140" s="155">
        <v>1183</v>
      </c>
      <c r="E140" s="155">
        <v>1812</v>
      </c>
      <c r="F140" s="155">
        <v>1890</v>
      </c>
      <c r="H140" s="341">
        <f t="shared" si="23"/>
        <v>1</v>
      </c>
      <c r="I140" s="327">
        <f t="shared" si="24"/>
        <v>1183</v>
      </c>
      <c r="J140" s="327">
        <f t="shared" si="25"/>
        <v>1812</v>
      </c>
      <c r="K140" s="406">
        <f t="shared" si="26"/>
        <v>1890</v>
      </c>
      <c r="L140" s="358">
        <f>ROUND(D140/(IF(ISNUMBER(SEARCH("เมืองทอง",C140)),อัปเดตราคาอลู!$F$8,IF(ISNUMBER(SEARCH("SlimLux",C140)),อัปเดตราคาอลู!$F$6,IF(ISNUMBER(SEARCH("Velora",C140)),อัปเดตราคาอลู!$F$7,IF(ISNUMBER(SEARCH("Fuji",C140)),อัปเดตราคาอลู!$F$5,อัปเดตราคาอลู!$F$4))))),3)</f>
        <v>6.2930000000000001</v>
      </c>
      <c r="M140" s="358">
        <f t="shared" si="27"/>
        <v>315</v>
      </c>
      <c r="N140" s="400">
        <f t="shared" si="28"/>
        <v>0</v>
      </c>
    </row>
    <row r="141" spans="1:14" x14ac:dyDescent="0.35">
      <c r="A141" s="155" t="s">
        <v>377</v>
      </c>
      <c r="B141" s="155" t="s">
        <v>373</v>
      </c>
      <c r="C141" s="155" t="s">
        <v>333</v>
      </c>
      <c r="D141" s="155">
        <v>1312</v>
      </c>
      <c r="E141" s="155">
        <v>2010</v>
      </c>
      <c r="F141" s="155">
        <v>2097</v>
      </c>
      <c r="H141" s="341">
        <f t="shared" si="23"/>
        <v>1</v>
      </c>
      <c r="I141" s="327">
        <f t="shared" si="24"/>
        <v>1312</v>
      </c>
      <c r="J141" s="327">
        <f t="shared" si="25"/>
        <v>2010</v>
      </c>
      <c r="K141" s="406">
        <f t="shared" si="26"/>
        <v>2097</v>
      </c>
      <c r="L141" s="358">
        <f>ROUND(D141/(IF(ISNUMBER(SEARCH("เมืองทอง",C141)),อัปเดตราคาอลู!$F$8,IF(ISNUMBER(SEARCH("SlimLux",C141)),อัปเดตราคาอลู!$F$6,IF(ISNUMBER(SEARCH("Velora",C141)),อัปเดตราคาอลู!$F$7,IF(ISNUMBER(SEARCH("Fuji",C141)),อัปเดตราคาอลู!$F$5,อัปเดตราคาอลู!$F$4))))),3)</f>
        <v>6.9790000000000001</v>
      </c>
      <c r="M141" s="358">
        <f t="shared" si="27"/>
        <v>349.5</v>
      </c>
      <c r="N141" s="400">
        <f t="shared" si="28"/>
        <v>0</v>
      </c>
    </row>
    <row r="142" spans="1:14" x14ac:dyDescent="0.35">
      <c r="A142" s="155" t="s">
        <v>378</v>
      </c>
      <c r="B142" s="155" t="s">
        <v>379</v>
      </c>
      <c r="C142" s="155" t="s">
        <v>333</v>
      </c>
      <c r="D142" s="155">
        <v>1371</v>
      </c>
      <c r="E142" s="155">
        <v>2100</v>
      </c>
      <c r="F142" s="155">
        <v>2191</v>
      </c>
      <c r="H142" s="341">
        <f t="shared" si="23"/>
        <v>1</v>
      </c>
      <c r="I142" s="327">
        <f t="shared" si="24"/>
        <v>1371</v>
      </c>
      <c r="J142" s="327">
        <f t="shared" si="25"/>
        <v>2100</v>
      </c>
      <c r="K142" s="406">
        <f t="shared" si="26"/>
        <v>2191</v>
      </c>
      <c r="L142" s="358">
        <f>ROUND(D142/(IF(ISNUMBER(SEARCH("เมืองทอง",C142)),อัปเดตราคาอลู!$F$8,IF(ISNUMBER(SEARCH("SlimLux",C142)),อัปเดตราคาอลู!$F$6,IF(ISNUMBER(SEARCH("Velora",C142)),อัปเดตราคาอลู!$F$7,IF(ISNUMBER(SEARCH("Fuji",C142)),อัปเดตราคาอลู!$F$5,อัปเดตราคาอลู!$F$4))))),3)</f>
        <v>7.2930000000000001</v>
      </c>
      <c r="M142" s="358">
        <f t="shared" si="27"/>
        <v>365.16699999999997</v>
      </c>
      <c r="N142" s="400">
        <f t="shared" si="28"/>
        <v>0</v>
      </c>
    </row>
    <row r="143" spans="1:14" x14ac:dyDescent="0.35">
      <c r="A143" s="155" t="s">
        <v>380</v>
      </c>
      <c r="B143" s="155" t="s">
        <v>379</v>
      </c>
      <c r="C143" s="155" t="s">
        <v>333</v>
      </c>
      <c r="D143" s="155">
        <v>2113</v>
      </c>
      <c r="E143" s="155">
        <v>3237</v>
      </c>
      <c r="F143" s="155">
        <v>3378</v>
      </c>
      <c r="H143" s="341">
        <f t="shared" si="23"/>
        <v>1</v>
      </c>
      <c r="I143" s="327">
        <f t="shared" si="24"/>
        <v>2113</v>
      </c>
      <c r="J143" s="327">
        <f t="shared" si="25"/>
        <v>3237</v>
      </c>
      <c r="K143" s="406">
        <f t="shared" si="26"/>
        <v>3378</v>
      </c>
      <c r="L143" s="358">
        <f>ROUND(D143/(IF(ISNUMBER(SEARCH("เมืองทอง",C143)),อัปเดตราคาอลู!$F$8,IF(ISNUMBER(SEARCH("SlimLux",C143)),อัปเดตราคาอลู!$F$6,IF(ISNUMBER(SEARCH("Velora",C143)),อัปเดตราคาอลู!$F$7,IF(ISNUMBER(SEARCH("Fuji",C143)),อัปเดตราคาอลู!$F$5,อัปเดตราคาอลู!$F$4))))),3)</f>
        <v>11.239000000000001</v>
      </c>
      <c r="M143" s="358">
        <f t="shared" si="27"/>
        <v>563</v>
      </c>
      <c r="N143" s="400">
        <f t="shared" si="28"/>
        <v>0</v>
      </c>
    </row>
    <row r="144" spans="1:14" x14ac:dyDescent="0.35">
      <c r="A144" s="155" t="s">
        <v>381</v>
      </c>
      <c r="B144" s="155" t="s">
        <v>382</v>
      </c>
      <c r="C144" s="155" t="s">
        <v>333</v>
      </c>
      <c r="D144" s="155">
        <v>764</v>
      </c>
      <c r="E144" s="155">
        <v>1170</v>
      </c>
      <c r="F144" s="155">
        <v>1221</v>
      </c>
      <c r="H144" s="341">
        <f t="shared" si="23"/>
        <v>1</v>
      </c>
      <c r="I144" s="327">
        <f t="shared" si="24"/>
        <v>764</v>
      </c>
      <c r="J144" s="327">
        <f t="shared" si="25"/>
        <v>1170</v>
      </c>
      <c r="K144" s="406">
        <f t="shared" si="26"/>
        <v>1221</v>
      </c>
      <c r="L144" s="358">
        <f>ROUND(D144/(IF(ISNUMBER(SEARCH("เมืองทอง",C144)),อัปเดตราคาอลู!$F$8,IF(ISNUMBER(SEARCH("SlimLux",C144)),อัปเดตราคาอลู!$F$6,IF(ISNUMBER(SEARCH("Velora",C144)),อัปเดตราคาอลู!$F$7,IF(ISNUMBER(SEARCH("Fuji",C144)),อัปเดตราคาอลู!$F$5,อัปเดตราคาอลู!$F$4))))),3)</f>
        <v>4.0640000000000001</v>
      </c>
      <c r="M144" s="358">
        <f t="shared" si="27"/>
        <v>203.5</v>
      </c>
      <c r="N144" s="400">
        <f t="shared" si="28"/>
        <v>0</v>
      </c>
    </row>
    <row r="145" spans="1:14" x14ac:dyDescent="0.35">
      <c r="A145" s="155" t="s">
        <v>383</v>
      </c>
      <c r="B145" s="155" t="s">
        <v>384</v>
      </c>
      <c r="C145" s="155" t="s">
        <v>333</v>
      </c>
      <c r="D145" s="155">
        <v>2435</v>
      </c>
      <c r="E145" s="155">
        <v>3731</v>
      </c>
      <c r="F145" s="155">
        <v>3893</v>
      </c>
      <c r="H145" s="341">
        <f t="shared" si="23"/>
        <v>1</v>
      </c>
      <c r="I145" s="327">
        <f t="shared" si="24"/>
        <v>2435</v>
      </c>
      <c r="J145" s="327">
        <f t="shared" si="25"/>
        <v>3731</v>
      </c>
      <c r="K145" s="406">
        <f t="shared" si="26"/>
        <v>3893</v>
      </c>
      <c r="L145" s="358">
        <f>ROUND(D145/(IF(ISNUMBER(SEARCH("เมืองทอง",C145)),อัปเดตราคาอลู!$F$8,IF(ISNUMBER(SEARCH("SlimLux",C145)),อัปเดตราคาอลู!$F$6,IF(ISNUMBER(SEARCH("Velora",C145)),อัปเดตราคาอลู!$F$7,IF(ISNUMBER(SEARCH("Fuji",C145)),อัปเดตราคาอลู!$F$5,อัปเดตราคาอลู!$F$4))))),3)</f>
        <v>12.952</v>
      </c>
      <c r="M145" s="358">
        <f t="shared" si="27"/>
        <v>648.83299999999997</v>
      </c>
      <c r="N145" s="400">
        <f t="shared" si="28"/>
        <v>0</v>
      </c>
    </row>
    <row r="146" spans="1:14" x14ac:dyDescent="0.35">
      <c r="A146" s="155" t="s">
        <v>383</v>
      </c>
      <c r="B146" s="155" t="s">
        <v>385</v>
      </c>
      <c r="C146" s="155" t="s">
        <v>333</v>
      </c>
      <c r="D146" s="155">
        <v>1078</v>
      </c>
      <c r="E146" s="155">
        <v>1652</v>
      </c>
      <c r="F146" s="155">
        <v>1724</v>
      </c>
      <c r="H146" s="341">
        <f t="shared" si="23"/>
        <v>1</v>
      </c>
      <c r="I146" s="327">
        <f t="shared" si="24"/>
        <v>1078</v>
      </c>
      <c r="J146" s="327">
        <f t="shared" si="25"/>
        <v>1652</v>
      </c>
      <c r="K146" s="406">
        <f t="shared" si="26"/>
        <v>1724</v>
      </c>
      <c r="L146" s="358">
        <f>ROUND(D146/(IF(ISNUMBER(SEARCH("เมืองทอง",C146)),อัปเดตราคาอลู!$F$8,IF(ISNUMBER(SEARCH("SlimLux",C146)),อัปเดตราคาอลู!$F$6,IF(ISNUMBER(SEARCH("Velora",C146)),อัปเดตราคาอลู!$F$7,IF(ISNUMBER(SEARCH("Fuji",C146)),อัปเดตราคาอลู!$F$5,อัปเดตราคาอลู!$F$4))))),3)</f>
        <v>5.734</v>
      </c>
      <c r="M146" s="358">
        <f t="shared" si="27"/>
        <v>287.33300000000003</v>
      </c>
      <c r="N146" s="400">
        <f t="shared" si="28"/>
        <v>0</v>
      </c>
    </row>
    <row r="147" spans="1:14" x14ac:dyDescent="0.35">
      <c r="A147" s="155" t="s">
        <v>383</v>
      </c>
      <c r="B147" s="155" t="s">
        <v>386</v>
      </c>
      <c r="C147" s="155" t="s">
        <v>333</v>
      </c>
      <c r="D147" s="155">
        <v>1312</v>
      </c>
      <c r="E147" s="155">
        <v>2010</v>
      </c>
      <c r="F147" s="155">
        <v>2097</v>
      </c>
      <c r="H147" s="341">
        <f t="shared" si="23"/>
        <v>1</v>
      </c>
      <c r="I147" s="327">
        <f t="shared" si="24"/>
        <v>1312</v>
      </c>
      <c r="J147" s="327">
        <f t="shared" si="25"/>
        <v>2010</v>
      </c>
      <c r="K147" s="406">
        <f t="shared" si="26"/>
        <v>2097</v>
      </c>
      <c r="L147" s="358">
        <f>ROUND(D147/(IF(ISNUMBER(SEARCH("เมืองทอง",C147)),อัปเดตราคาอลู!$F$8,IF(ISNUMBER(SEARCH("SlimLux",C147)),อัปเดตราคาอลู!$F$6,IF(ISNUMBER(SEARCH("Velora",C147)),อัปเดตราคาอลู!$F$7,IF(ISNUMBER(SEARCH("Fuji",C147)),อัปเดตราคาอลู!$F$5,อัปเดตราคาอลู!$F$4))))),3)</f>
        <v>6.9790000000000001</v>
      </c>
      <c r="M147" s="358">
        <f t="shared" si="27"/>
        <v>349.5</v>
      </c>
      <c r="N147" s="400">
        <f t="shared" si="28"/>
        <v>0</v>
      </c>
    </row>
    <row r="148" spans="1:14" x14ac:dyDescent="0.35">
      <c r="A148" s="155" t="s">
        <v>387</v>
      </c>
      <c r="B148" s="155" t="s">
        <v>387</v>
      </c>
      <c r="C148" s="155" t="s">
        <v>333</v>
      </c>
      <c r="D148" s="155">
        <v>838</v>
      </c>
      <c r="E148" s="155">
        <v>1284</v>
      </c>
      <c r="F148" s="155">
        <v>1340</v>
      </c>
      <c r="H148" s="341">
        <f t="shared" si="23"/>
        <v>1</v>
      </c>
      <c r="I148" s="327">
        <f t="shared" si="24"/>
        <v>838</v>
      </c>
      <c r="J148" s="327">
        <f t="shared" si="25"/>
        <v>1284</v>
      </c>
      <c r="K148" s="406">
        <f t="shared" si="26"/>
        <v>1340</v>
      </c>
      <c r="L148" s="358">
        <f>ROUND(D148/(IF(ISNUMBER(SEARCH("เมืองทอง",C148)),อัปเดตราคาอลู!$F$8,IF(ISNUMBER(SEARCH("SlimLux",C148)),อัปเดตราคาอลู!$F$6,IF(ISNUMBER(SEARCH("Velora",C148)),อัปเดตราคาอลู!$F$7,IF(ISNUMBER(SEARCH("Fuji",C148)),อัปเดตราคาอลู!$F$5,อัปเดตราคาอลู!$F$4))))),3)</f>
        <v>4.4569999999999999</v>
      </c>
      <c r="M148" s="358">
        <f t="shared" si="27"/>
        <v>223.333</v>
      </c>
      <c r="N148" s="400">
        <f t="shared" si="28"/>
        <v>0</v>
      </c>
    </row>
    <row r="149" spans="1:14" x14ac:dyDescent="0.35">
      <c r="A149" s="155" t="s">
        <v>388</v>
      </c>
      <c r="B149" s="155" t="s">
        <v>389</v>
      </c>
      <c r="C149" s="155" t="s">
        <v>333</v>
      </c>
      <c r="D149" s="155">
        <v>75</v>
      </c>
      <c r="E149" s="155">
        <v>115</v>
      </c>
      <c r="F149" s="155">
        <v>121</v>
      </c>
      <c r="H149" s="341">
        <f t="shared" si="23"/>
        <v>1</v>
      </c>
      <c r="I149" s="327">
        <f t="shared" si="24"/>
        <v>75</v>
      </c>
      <c r="J149" s="327">
        <f t="shared" si="25"/>
        <v>115</v>
      </c>
      <c r="K149" s="406">
        <f t="shared" si="26"/>
        <v>121</v>
      </c>
      <c r="L149" s="358">
        <f>ROUND(D149/(IF(ISNUMBER(SEARCH("เมืองทอง",C149)),อัปเดตราคาอลู!$F$8,IF(ISNUMBER(SEARCH("SlimLux",C149)),อัปเดตราคาอลู!$F$6,IF(ISNUMBER(SEARCH("Velora",C149)),อัปเดตราคาอลู!$F$7,IF(ISNUMBER(SEARCH("Fuji",C149)),อัปเดตราคาอลู!$F$5,อัปเดตราคาอลู!$F$4))))),3)</f>
        <v>0.39900000000000002</v>
      </c>
      <c r="M149" s="358">
        <f t="shared" si="27"/>
        <v>20.167000000000002</v>
      </c>
      <c r="N149" s="400">
        <f t="shared" si="28"/>
        <v>0</v>
      </c>
    </row>
    <row r="150" spans="1:14" x14ac:dyDescent="0.35">
      <c r="A150" s="346" t="s">
        <v>390</v>
      </c>
    </row>
    <row r="151" spans="1:14" x14ac:dyDescent="0.35">
      <c r="A151" s="155" t="s">
        <v>391</v>
      </c>
      <c r="B151" s="155" t="s">
        <v>392</v>
      </c>
      <c r="C151" s="155" t="s">
        <v>393</v>
      </c>
      <c r="D151" s="155">
        <v>502</v>
      </c>
      <c r="E151" s="155">
        <v>796</v>
      </c>
      <c r="F151" s="155"/>
      <c r="H151" s="341">
        <f t="shared" ref="H151:H165" si="29">IF(ISNUMBER(SEARCH("เมืองทอง",C151)),mult_mtong,IF(ISNUMBER(SEARCH("SlimLux",C151)),mult_slim,IF(ISNUMBER(SEARCH("Velora",C151)),mult_velora,IF(ISNUMBER(SEARCH("Fuji",C151)),mult_euro,mult_sms))))</f>
        <v>1</v>
      </c>
      <c r="I151" s="327">
        <f t="shared" ref="I151:I165" si="30">ROUND(D151*H151,0)</f>
        <v>502</v>
      </c>
      <c r="J151" s="327">
        <f t="shared" ref="J151:J165" si="31">ROUND(E151*H151,0)</f>
        <v>796</v>
      </c>
      <c r="L151" s="358">
        <f>ROUND(D151/(IF(ISNUMBER(SEARCH("เมืองทอง",C151)),อัปเดตราคาอลู!$F$8,IF(ISNUMBER(SEARCH("SlimLux",C151)),อัปเดตราคาอลู!$F$6,IF(ISNUMBER(SEARCH("Velora",C151)),อัปเดตราคาอลู!$F$7,IF(ISNUMBER(SEARCH("Fuji",C151)),อัปเดตราคาอลู!$F$5,อัปเดตราคาอลู!$F$4))))),3)</f>
        <v>2.9529999999999998</v>
      </c>
      <c r="M151" s="358">
        <f t="shared" ref="M151:M165" si="32">ROUND(K151/(IF(OR(ISNUMBER(SEARCH("เมืองทอง",C151)),ISNUMBER(SEARCH("SlimLux",C151)),ISNUMBER(SEARCH("Velora",C151))),6,6.4)),3)</f>
        <v>0</v>
      </c>
      <c r="N151" s="400">
        <f t="shared" ref="N151:N165" si="33">ROUND(I151-D151,0)</f>
        <v>0</v>
      </c>
    </row>
    <row r="152" spans="1:14" x14ac:dyDescent="0.35">
      <c r="A152" s="155" t="s">
        <v>394</v>
      </c>
      <c r="B152" s="155" t="s">
        <v>395</v>
      </c>
      <c r="C152" s="155" t="s">
        <v>393</v>
      </c>
      <c r="D152" s="155">
        <v>267</v>
      </c>
      <c r="E152" s="155">
        <v>424</v>
      </c>
      <c r="F152" s="155"/>
      <c r="H152" s="341">
        <f t="shared" si="29"/>
        <v>1</v>
      </c>
      <c r="I152" s="327">
        <f t="shared" si="30"/>
        <v>267</v>
      </c>
      <c r="J152" s="327">
        <f t="shared" si="31"/>
        <v>424</v>
      </c>
      <c r="L152" s="358">
        <f>ROUND(D152/(IF(ISNUMBER(SEARCH("เมืองทอง",C152)),อัปเดตราคาอลู!$F$8,IF(ISNUMBER(SEARCH("SlimLux",C152)),อัปเดตราคาอลู!$F$6,IF(ISNUMBER(SEARCH("Velora",C152)),อัปเดตราคาอลู!$F$7,IF(ISNUMBER(SEARCH("Fuji",C152)),อัปเดตราคาอลู!$F$5,อัปเดตราคาอลู!$F$4))))),3)</f>
        <v>1.571</v>
      </c>
      <c r="M152" s="358">
        <f t="shared" si="32"/>
        <v>0</v>
      </c>
      <c r="N152" s="400">
        <f t="shared" si="33"/>
        <v>0</v>
      </c>
    </row>
    <row r="153" spans="1:14" x14ac:dyDescent="0.35">
      <c r="A153" s="155" t="s">
        <v>396</v>
      </c>
      <c r="B153" s="155" t="s">
        <v>397</v>
      </c>
      <c r="C153" s="155" t="s">
        <v>393</v>
      </c>
      <c r="D153" s="155">
        <v>288</v>
      </c>
      <c r="E153" s="155">
        <v>457</v>
      </c>
      <c r="F153" s="155"/>
      <c r="H153" s="341">
        <f t="shared" si="29"/>
        <v>1</v>
      </c>
      <c r="I153" s="327">
        <f t="shared" si="30"/>
        <v>288</v>
      </c>
      <c r="J153" s="327">
        <f t="shared" si="31"/>
        <v>457</v>
      </c>
      <c r="L153" s="358">
        <f>ROUND(D153/(IF(ISNUMBER(SEARCH("เมืองทอง",C153)),อัปเดตราคาอลู!$F$8,IF(ISNUMBER(SEARCH("SlimLux",C153)),อัปเดตราคาอลู!$F$6,IF(ISNUMBER(SEARCH("Velora",C153)),อัปเดตราคาอลู!$F$7,IF(ISNUMBER(SEARCH("Fuji",C153)),อัปเดตราคาอลู!$F$5,อัปเดตราคาอลู!$F$4))))),3)</f>
        <v>1.694</v>
      </c>
      <c r="M153" s="358">
        <f t="shared" si="32"/>
        <v>0</v>
      </c>
      <c r="N153" s="400">
        <f t="shared" si="33"/>
        <v>0</v>
      </c>
    </row>
    <row r="154" spans="1:14" x14ac:dyDescent="0.35">
      <c r="A154" s="155" t="s">
        <v>398</v>
      </c>
      <c r="B154" s="155" t="s">
        <v>399</v>
      </c>
      <c r="C154" s="155" t="s">
        <v>393</v>
      </c>
      <c r="D154" s="155">
        <v>797</v>
      </c>
      <c r="E154" s="155">
        <v>1266</v>
      </c>
      <c r="F154" s="155"/>
      <c r="H154" s="341">
        <f t="shared" si="29"/>
        <v>1</v>
      </c>
      <c r="I154" s="327">
        <f t="shared" si="30"/>
        <v>797</v>
      </c>
      <c r="J154" s="327">
        <f t="shared" si="31"/>
        <v>1266</v>
      </c>
      <c r="L154" s="358">
        <f>ROUND(D154/(IF(ISNUMBER(SEARCH("เมืองทอง",C154)),อัปเดตราคาอลู!$F$8,IF(ISNUMBER(SEARCH("SlimLux",C154)),อัปเดตราคาอลู!$F$6,IF(ISNUMBER(SEARCH("Velora",C154)),อัปเดตราคาอลู!$F$7,IF(ISNUMBER(SEARCH("Fuji",C154)),อัปเดตราคาอลู!$F$5,อัปเดตราคาอลู!$F$4))))),3)</f>
        <v>4.6879999999999997</v>
      </c>
      <c r="M154" s="358">
        <f t="shared" si="32"/>
        <v>0</v>
      </c>
      <c r="N154" s="400">
        <f t="shared" si="33"/>
        <v>0</v>
      </c>
    </row>
    <row r="155" spans="1:14" x14ac:dyDescent="0.35">
      <c r="A155" s="155" t="s">
        <v>383</v>
      </c>
      <c r="B155" s="155" t="s">
        <v>400</v>
      </c>
      <c r="C155" s="155" t="s">
        <v>393</v>
      </c>
      <c r="D155" s="155">
        <v>1825</v>
      </c>
      <c r="E155" s="155">
        <v>2898</v>
      </c>
      <c r="F155" s="155"/>
      <c r="H155" s="341">
        <f t="shared" si="29"/>
        <v>1</v>
      </c>
      <c r="I155" s="327">
        <f t="shared" si="30"/>
        <v>1825</v>
      </c>
      <c r="J155" s="327">
        <f t="shared" si="31"/>
        <v>2898</v>
      </c>
      <c r="L155" s="358">
        <f>ROUND(D155/(IF(ISNUMBER(SEARCH("เมืองทอง",C155)),อัปเดตราคาอลู!$F$8,IF(ISNUMBER(SEARCH("SlimLux",C155)),อัปเดตราคาอลู!$F$6,IF(ISNUMBER(SEARCH("Velora",C155)),อัปเดตราคาอลู!$F$7,IF(ISNUMBER(SEARCH("Fuji",C155)),อัปเดตราคาอลู!$F$5,อัปเดตราคาอลู!$F$4))))),3)</f>
        <v>10.734999999999999</v>
      </c>
      <c r="M155" s="358">
        <f t="shared" si="32"/>
        <v>0</v>
      </c>
      <c r="N155" s="400">
        <f t="shared" si="33"/>
        <v>0</v>
      </c>
    </row>
    <row r="156" spans="1:14" x14ac:dyDescent="0.35">
      <c r="A156" s="155" t="s">
        <v>401</v>
      </c>
      <c r="B156" s="155" t="s">
        <v>402</v>
      </c>
      <c r="C156" s="155" t="s">
        <v>393</v>
      </c>
      <c r="D156" s="155">
        <v>928</v>
      </c>
      <c r="E156" s="155">
        <v>1474</v>
      </c>
      <c r="F156" s="155"/>
      <c r="H156" s="341">
        <f t="shared" si="29"/>
        <v>1</v>
      </c>
      <c r="I156" s="327">
        <f t="shared" si="30"/>
        <v>928</v>
      </c>
      <c r="J156" s="327">
        <f t="shared" si="31"/>
        <v>1474</v>
      </c>
      <c r="L156" s="358">
        <f>ROUND(D156/(IF(ISNUMBER(SEARCH("เมืองทอง",C156)),อัปเดตราคาอลู!$F$8,IF(ISNUMBER(SEARCH("SlimLux",C156)),อัปเดตราคาอลู!$F$6,IF(ISNUMBER(SEARCH("Velora",C156)),อัปเดตราคาอลู!$F$7,IF(ISNUMBER(SEARCH("Fuji",C156)),อัปเดตราคาอลู!$F$5,อัปเดตราคาอลู!$F$4))))),3)</f>
        <v>5.4589999999999996</v>
      </c>
      <c r="M156" s="358">
        <f t="shared" si="32"/>
        <v>0</v>
      </c>
      <c r="N156" s="400">
        <f t="shared" si="33"/>
        <v>0</v>
      </c>
    </row>
    <row r="157" spans="1:14" x14ac:dyDescent="0.35">
      <c r="A157" s="155" t="s">
        <v>403</v>
      </c>
      <c r="B157" s="155" t="s">
        <v>404</v>
      </c>
      <c r="C157" s="155" t="s">
        <v>393</v>
      </c>
      <c r="D157" s="155">
        <v>116</v>
      </c>
      <c r="E157" s="155">
        <v>185</v>
      </c>
      <c r="F157" s="155"/>
      <c r="H157" s="341">
        <f t="shared" si="29"/>
        <v>1</v>
      </c>
      <c r="I157" s="327">
        <f t="shared" si="30"/>
        <v>116</v>
      </c>
      <c r="J157" s="327">
        <f t="shared" si="31"/>
        <v>185</v>
      </c>
      <c r="L157" s="358">
        <f>ROUND(D157/(IF(ISNUMBER(SEARCH("เมืองทอง",C157)),อัปเดตราคาอลู!$F$8,IF(ISNUMBER(SEARCH("SlimLux",C157)),อัปเดตราคาอลู!$F$6,IF(ISNUMBER(SEARCH("Velora",C157)),อัปเดตราคาอลู!$F$7,IF(ISNUMBER(SEARCH("Fuji",C157)),อัปเดตราคาอลู!$F$5,อัปเดตราคาอลู!$F$4))))),3)</f>
        <v>0.68200000000000005</v>
      </c>
      <c r="M157" s="358">
        <f t="shared" si="32"/>
        <v>0</v>
      </c>
      <c r="N157" s="400">
        <f t="shared" si="33"/>
        <v>0</v>
      </c>
    </row>
    <row r="158" spans="1:14" x14ac:dyDescent="0.35">
      <c r="A158" s="155" t="s">
        <v>405</v>
      </c>
      <c r="B158" s="155" t="s">
        <v>406</v>
      </c>
      <c r="C158" s="155" t="s">
        <v>393</v>
      </c>
      <c r="D158" s="155">
        <v>147</v>
      </c>
      <c r="E158" s="155">
        <v>233</v>
      </c>
      <c r="F158" s="155"/>
      <c r="H158" s="341">
        <f t="shared" si="29"/>
        <v>1</v>
      </c>
      <c r="I158" s="327">
        <f t="shared" si="30"/>
        <v>147</v>
      </c>
      <c r="J158" s="327">
        <f t="shared" si="31"/>
        <v>233</v>
      </c>
      <c r="L158" s="358">
        <f>ROUND(D158/(IF(ISNUMBER(SEARCH("เมืองทอง",C158)),อัปเดตราคาอลู!$F$8,IF(ISNUMBER(SEARCH("SlimLux",C158)),อัปเดตราคาอลู!$F$6,IF(ISNUMBER(SEARCH("Velora",C158)),อัปเดตราคาอลู!$F$7,IF(ISNUMBER(SEARCH("Fuji",C158)),อัปเดตราคาอลู!$F$5,อัปเดตราคาอลู!$F$4))))),3)</f>
        <v>0.86499999999999999</v>
      </c>
      <c r="M158" s="358">
        <f t="shared" si="32"/>
        <v>0</v>
      </c>
      <c r="N158" s="400">
        <f t="shared" si="33"/>
        <v>0</v>
      </c>
    </row>
    <row r="159" spans="1:14" x14ac:dyDescent="0.35">
      <c r="A159" s="155" t="s">
        <v>407</v>
      </c>
      <c r="B159" s="155" t="s">
        <v>408</v>
      </c>
      <c r="C159" s="155" t="s">
        <v>393</v>
      </c>
      <c r="D159" s="155">
        <v>81</v>
      </c>
      <c r="E159" s="155">
        <v>128</v>
      </c>
      <c r="F159" s="155"/>
      <c r="H159" s="341">
        <f t="shared" si="29"/>
        <v>1</v>
      </c>
      <c r="I159" s="327">
        <f t="shared" si="30"/>
        <v>81</v>
      </c>
      <c r="J159" s="327">
        <f t="shared" si="31"/>
        <v>128</v>
      </c>
      <c r="L159" s="358">
        <f>ROUND(D159/(IF(ISNUMBER(SEARCH("เมืองทอง",C159)),อัปเดตราคาอลู!$F$8,IF(ISNUMBER(SEARCH("SlimLux",C159)),อัปเดตราคาอลู!$F$6,IF(ISNUMBER(SEARCH("Velora",C159)),อัปเดตราคาอลู!$F$7,IF(ISNUMBER(SEARCH("Fuji",C159)),อัปเดตราคาอลู!$F$5,อัปเดตราคาอลู!$F$4))))),3)</f>
        <v>0.47599999999999998</v>
      </c>
      <c r="M159" s="358">
        <f t="shared" si="32"/>
        <v>0</v>
      </c>
      <c r="N159" s="400">
        <f t="shared" si="33"/>
        <v>0</v>
      </c>
    </row>
    <row r="160" spans="1:14" x14ac:dyDescent="0.35">
      <c r="A160" s="155" t="s">
        <v>409</v>
      </c>
      <c r="B160" s="155" t="s">
        <v>410</v>
      </c>
      <c r="C160" s="155" t="s">
        <v>393</v>
      </c>
      <c r="D160" s="155">
        <v>143</v>
      </c>
      <c r="E160" s="155">
        <v>227</v>
      </c>
      <c r="F160" s="155"/>
      <c r="H160" s="341">
        <f t="shared" si="29"/>
        <v>1</v>
      </c>
      <c r="I160" s="327">
        <f t="shared" si="30"/>
        <v>143</v>
      </c>
      <c r="J160" s="327">
        <f t="shared" si="31"/>
        <v>227</v>
      </c>
      <c r="L160" s="358">
        <f>ROUND(D160/(IF(ISNUMBER(SEARCH("เมืองทอง",C160)),อัปเดตราคาอลู!$F$8,IF(ISNUMBER(SEARCH("SlimLux",C160)),อัปเดตราคาอลู!$F$6,IF(ISNUMBER(SEARCH("Velora",C160)),อัปเดตราคาอลู!$F$7,IF(ISNUMBER(SEARCH("Fuji",C160)),อัปเดตราคาอลู!$F$5,อัปเดตราคาอลู!$F$4))))),3)</f>
        <v>0.84099999999999997</v>
      </c>
      <c r="M160" s="358">
        <f t="shared" si="32"/>
        <v>0</v>
      </c>
      <c r="N160" s="400">
        <f t="shared" si="33"/>
        <v>0</v>
      </c>
    </row>
    <row r="161" spans="1:14" x14ac:dyDescent="0.35">
      <c r="A161" s="155" t="s">
        <v>383</v>
      </c>
      <c r="B161" s="155" t="s">
        <v>411</v>
      </c>
      <c r="C161" s="155" t="s">
        <v>393</v>
      </c>
      <c r="D161" s="155">
        <v>608</v>
      </c>
      <c r="E161" s="155">
        <v>966</v>
      </c>
      <c r="F161" s="155"/>
      <c r="H161" s="341">
        <f t="shared" si="29"/>
        <v>1</v>
      </c>
      <c r="I161" s="327">
        <f t="shared" si="30"/>
        <v>608</v>
      </c>
      <c r="J161" s="327">
        <f t="shared" si="31"/>
        <v>966</v>
      </c>
      <c r="L161" s="358">
        <f>ROUND(D161/(IF(ISNUMBER(SEARCH("เมืองทอง",C161)),อัปเดตราคาอลู!$F$8,IF(ISNUMBER(SEARCH("SlimLux",C161)),อัปเดตราคาอลู!$F$6,IF(ISNUMBER(SEARCH("Velora",C161)),อัปเดตราคาอลู!$F$7,IF(ISNUMBER(SEARCH("Fuji",C161)),อัปเดตราคาอลู!$F$5,อัปเดตราคาอลู!$F$4))))),3)</f>
        <v>3.5760000000000001</v>
      </c>
      <c r="M161" s="358">
        <f t="shared" si="32"/>
        <v>0</v>
      </c>
      <c r="N161" s="400">
        <f t="shared" si="33"/>
        <v>0</v>
      </c>
    </row>
    <row r="162" spans="1:14" x14ac:dyDescent="0.35">
      <c r="A162" s="155" t="s">
        <v>383</v>
      </c>
      <c r="B162" s="155" t="s">
        <v>412</v>
      </c>
      <c r="C162" s="155" t="s">
        <v>393</v>
      </c>
      <c r="D162" s="155">
        <v>432</v>
      </c>
      <c r="E162" s="155">
        <v>687</v>
      </c>
      <c r="F162" s="155"/>
      <c r="H162" s="341">
        <f t="shared" si="29"/>
        <v>1</v>
      </c>
      <c r="I162" s="327">
        <f t="shared" si="30"/>
        <v>432</v>
      </c>
      <c r="J162" s="327">
        <f t="shared" si="31"/>
        <v>687</v>
      </c>
      <c r="L162" s="358">
        <f>ROUND(D162/(IF(ISNUMBER(SEARCH("เมืองทอง",C162)),อัปเดตราคาอลู!$F$8,IF(ISNUMBER(SEARCH("SlimLux",C162)),อัปเดตราคาอลู!$F$6,IF(ISNUMBER(SEARCH("Velora",C162)),อัปเดตราคาอลู!$F$7,IF(ISNUMBER(SEARCH("Fuji",C162)),อัปเดตราคาอลู!$F$5,อัปเดตราคาอลู!$F$4))))),3)</f>
        <v>2.5409999999999999</v>
      </c>
      <c r="M162" s="358">
        <f t="shared" si="32"/>
        <v>0</v>
      </c>
      <c r="N162" s="400">
        <f t="shared" si="33"/>
        <v>0</v>
      </c>
    </row>
    <row r="163" spans="1:14" x14ac:dyDescent="0.35">
      <c r="A163" s="155" t="s">
        <v>383</v>
      </c>
      <c r="B163" s="155" t="s">
        <v>413</v>
      </c>
      <c r="C163" s="155" t="s">
        <v>393</v>
      </c>
      <c r="D163" s="155">
        <v>78</v>
      </c>
      <c r="E163" s="155">
        <v>123</v>
      </c>
      <c r="F163" s="155"/>
      <c r="H163" s="341">
        <f t="shared" si="29"/>
        <v>1</v>
      </c>
      <c r="I163" s="327">
        <f t="shared" si="30"/>
        <v>78</v>
      </c>
      <c r="J163" s="327">
        <f t="shared" si="31"/>
        <v>123</v>
      </c>
      <c r="L163" s="358">
        <f>ROUND(D163/(IF(ISNUMBER(SEARCH("เมืองทอง",C163)),อัปเดตราคาอลู!$F$8,IF(ISNUMBER(SEARCH("SlimLux",C163)),อัปเดตราคาอลู!$F$6,IF(ISNUMBER(SEARCH("Velora",C163)),อัปเดตราคาอลู!$F$7,IF(ISNUMBER(SEARCH("Fuji",C163)),อัปเดตราคาอลู!$F$5,อัปเดตราคาอลู!$F$4))))),3)</f>
        <v>0.45900000000000002</v>
      </c>
      <c r="M163" s="358">
        <f t="shared" si="32"/>
        <v>0</v>
      </c>
      <c r="N163" s="400">
        <f t="shared" si="33"/>
        <v>0</v>
      </c>
    </row>
    <row r="164" spans="1:14" x14ac:dyDescent="0.35">
      <c r="A164" s="155" t="s">
        <v>383</v>
      </c>
      <c r="B164" s="155" t="s">
        <v>414</v>
      </c>
      <c r="C164" s="155" t="s">
        <v>393</v>
      </c>
      <c r="D164" s="155">
        <v>286</v>
      </c>
      <c r="E164" s="155">
        <v>454</v>
      </c>
      <c r="F164" s="155"/>
      <c r="H164" s="341">
        <f t="shared" si="29"/>
        <v>1</v>
      </c>
      <c r="I164" s="327">
        <f t="shared" si="30"/>
        <v>286</v>
      </c>
      <c r="J164" s="327">
        <f t="shared" si="31"/>
        <v>454</v>
      </c>
      <c r="L164" s="358">
        <f>ROUND(D164/(IF(ISNUMBER(SEARCH("เมืองทอง",C164)),อัปเดตราคาอลู!$F$8,IF(ISNUMBER(SEARCH("SlimLux",C164)),อัปเดตราคาอลู!$F$6,IF(ISNUMBER(SEARCH("Velora",C164)),อัปเดตราคาอลู!$F$7,IF(ISNUMBER(SEARCH("Fuji",C164)),อัปเดตราคาอลู!$F$5,อัปเดตราคาอลู!$F$4))))),3)</f>
        <v>1.6819999999999999</v>
      </c>
      <c r="M164" s="358">
        <f t="shared" si="32"/>
        <v>0</v>
      </c>
      <c r="N164" s="400">
        <f t="shared" si="33"/>
        <v>0</v>
      </c>
    </row>
    <row r="165" spans="1:14" x14ac:dyDescent="0.35">
      <c r="A165" s="155" t="s">
        <v>383</v>
      </c>
      <c r="B165" s="155" t="s">
        <v>415</v>
      </c>
      <c r="C165" s="155" t="s">
        <v>393</v>
      </c>
      <c r="D165" s="155">
        <v>491</v>
      </c>
      <c r="E165" s="155">
        <v>779</v>
      </c>
      <c r="F165" s="155"/>
      <c r="H165" s="341">
        <f t="shared" si="29"/>
        <v>1</v>
      </c>
      <c r="I165" s="327">
        <f t="shared" si="30"/>
        <v>491</v>
      </c>
      <c r="J165" s="327">
        <f t="shared" si="31"/>
        <v>779</v>
      </c>
      <c r="L165" s="358">
        <f>ROUND(D165/(IF(ISNUMBER(SEARCH("เมืองทอง",C165)),อัปเดตราคาอลู!$F$8,IF(ISNUMBER(SEARCH("SlimLux",C165)),อัปเดตราคาอลู!$F$6,IF(ISNUMBER(SEARCH("Velora",C165)),อัปเดตราคาอลู!$F$7,IF(ISNUMBER(SEARCH("Fuji",C165)),อัปเดตราคาอลู!$F$5,อัปเดตราคาอลู!$F$4))))),3)</f>
        <v>2.8879999999999999</v>
      </c>
      <c r="M165" s="358">
        <f t="shared" si="32"/>
        <v>0</v>
      </c>
      <c r="N165" s="400">
        <f t="shared" si="33"/>
        <v>0</v>
      </c>
    </row>
    <row r="166" spans="1:14" x14ac:dyDescent="0.35">
      <c r="A166" s="346" t="s">
        <v>416</v>
      </c>
    </row>
    <row r="167" spans="1:14" x14ac:dyDescent="0.35">
      <c r="A167" s="155" t="s">
        <v>383</v>
      </c>
      <c r="B167" s="155" t="s">
        <v>415</v>
      </c>
      <c r="C167" s="155" t="s">
        <v>417</v>
      </c>
      <c r="D167" s="155">
        <v>693</v>
      </c>
      <c r="E167" s="155">
        <v>981</v>
      </c>
      <c r="F167" s="155"/>
      <c r="H167" s="341">
        <f>IF(ISNUMBER(SEARCH("เมืองทอง",C167)),mult_mtong,IF(ISNUMBER(SEARCH("SlimLux",C167)),mult_slim,IF(ISNUMBER(SEARCH("Velora",C167)),mult_velora,IF(ISNUMBER(SEARCH("Fuji",C167)),mult_euro,mult_sms))))</f>
        <v>1</v>
      </c>
      <c r="I167" s="327">
        <f>ROUND(D167*H167,0)</f>
        <v>693</v>
      </c>
      <c r="J167" s="327">
        <f>ROUND(E167*H167,0)</f>
        <v>981</v>
      </c>
      <c r="L167" s="358">
        <f>ROUND(D167/(IF(ISNUMBER(SEARCH("เมืองทอง",C167)),อัปเดตราคาอลู!$F$8,IF(ISNUMBER(SEARCH("SlimLux",C167)),อัปเดตราคาอลู!$F$6,IF(ISNUMBER(SEARCH("Velora",C167)),อัปเดตราคาอลู!$F$7,IF(ISNUMBER(SEARCH("Fuji",C167)),อัปเดตราคาอลู!$F$5,อัปเดตราคาอลู!$F$4))))),3)</f>
        <v>2.8879999999999999</v>
      </c>
      <c r="M167" s="358">
        <f>ROUND(K167/(IF(OR(ISNUMBER(SEARCH("เมืองทอง",C167)),ISNUMBER(SEARCH("SlimLux",C167)),ISNUMBER(SEARCH("Velora",C167))),6,6.4)),3)</f>
        <v>0</v>
      </c>
      <c r="N167" s="400">
        <f>ROUND(I167-D167,0)</f>
        <v>0</v>
      </c>
    </row>
    <row r="168" spans="1:14" x14ac:dyDescent="0.35">
      <c r="A168" s="155" t="s">
        <v>383</v>
      </c>
      <c r="B168" s="155" t="s">
        <v>411</v>
      </c>
      <c r="C168" s="155" t="s">
        <v>417</v>
      </c>
      <c r="D168" s="155">
        <v>858</v>
      </c>
      <c r="E168" s="155">
        <v>1216</v>
      </c>
      <c r="F168" s="155"/>
      <c r="H168" s="341">
        <f>IF(ISNUMBER(SEARCH("เมืองทอง",C168)),mult_mtong,IF(ISNUMBER(SEARCH("SlimLux",C168)),mult_slim,IF(ISNUMBER(SEARCH("Velora",C168)),mult_velora,IF(ISNUMBER(SEARCH("Fuji",C168)),mult_euro,mult_sms))))</f>
        <v>1</v>
      </c>
      <c r="I168" s="327">
        <f>ROUND(D168*H168,0)</f>
        <v>858</v>
      </c>
      <c r="J168" s="327">
        <f>ROUND(E168*H168,0)</f>
        <v>1216</v>
      </c>
      <c r="L168" s="358">
        <f>ROUND(D168/(IF(ISNUMBER(SEARCH("เมืองทอง",C168)),อัปเดตราคาอลู!$F$8,IF(ISNUMBER(SEARCH("SlimLux",C168)),อัปเดตราคาอลู!$F$6,IF(ISNUMBER(SEARCH("Velora",C168)),อัปเดตราคาอลู!$F$7,IF(ISNUMBER(SEARCH("Fuji",C168)),อัปเดตราคาอลู!$F$5,อัปเดตราคาอลู!$F$4))))),3)</f>
        <v>3.5750000000000002</v>
      </c>
      <c r="M168" s="358">
        <f>ROUND(K168/(IF(OR(ISNUMBER(SEARCH("เมืองทอง",C168)),ISNUMBER(SEARCH("SlimLux",C168)),ISNUMBER(SEARCH("Velora",C168))),6,6.4)),3)</f>
        <v>0</v>
      </c>
      <c r="N168" s="400">
        <f>ROUND(I168-D168,0)</f>
        <v>0</v>
      </c>
    </row>
    <row r="169" spans="1:14" x14ac:dyDescent="0.35">
      <c r="A169" s="346" t="s">
        <v>418</v>
      </c>
    </row>
    <row r="170" spans="1:14" x14ac:dyDescent="0.35">
      <c r="A170" s="155" t="s">
        <v>419</v>
      </c>
      <c r="B170" s="155" t="s">
        <v>383</v>
      </c>
      <c r="C170" s="155" t="s">
        <v>420</v>
      </c>
      <c r="D170" s="155">
        <v>1285</v>
      </c>
      <c r="E170" s="155">
        <v>1999</v>
      </c>
      <c r="F170" s="155"/>
      <c r="H170" s="341">
        <f t="shared" ref="H170:H191" si="34">IF(ISNUMBER(SEARCH("เมืองทอง",C170)),mult_mtong,IF(ISNUMBER(SEARCH("SlimLux",C170)),mult_slim,IF(ISNUMBER(SEARCH("Velora",C170)),mult_velora,IF(ISNUMBER(SEARCH("Fuji",C170)),mult_euro,mult_sms))))</f>
        <v>1</v>
      </c>
      <c r="I170" s="327">
        <f t="shared" ref="I170:I191" si="35">ROUND(D170*H170,0)</f>
        <v>1285</v>
      </c>
      <c r="J170" s="327">
        <f t="shared" ref="J170:J191" si="36">ROUND(E170*H170,0)</f>
        <v>1999</v>
      </c>
      <c r="L170" s="358">
        <f>ROUND(D170/(IF(ISNUMBER(SEARCH("เมืองทอง",C170)),อัปเดตราคาอลู!$F$8,IF(ISNUMBER(SEARCH("SlimLux",C170)),อัปเดตราคาอลู!$F$6,IF(ISNUMBER(SEARCH("Velora",C170)),อัปเดตราคาอลู!$F$7,IF(ISNUMBER(SEARCH("Fuji",C170)),อัปเดตราคาอลู!$F$5,อัปเดตราคาอลู!$F$4))))),3)</f>
        <v>6.8719999999999999</v>
      </c>
      <c r="M170" s="358">
        <f t="shared" ref="M170:M191" si="37">ROUND(K170/(IF(OR(ISNUMBER(SEARCH("เมืองทอง",C170)),ISNUMBER(SEARCH("SlimLux",C170)),ISNUMBER(SEARCH("Velora",C170))),6,6.4)),3)</f>
        <v>0</v>
      </c>
      <c r="N170" s="400">
        <f t="shared" ref="N170:N191" si="38">ROUND(I170-D170,0)</f>
        <v>0</v>
      </c>
    </row>
    <row r="171" spans="1:14" x14ac:dyDescent="0.35">
      <c r="A171" s="155" t="s">
        <v>421</v>
      </c>
      <c r="B171" s="155" t="s">
        <v>383</v>
      </c>
      <c r="C171" s="155" t="s">
        <v>420</v>
      </c>
      <c r="D171" s="155">
        <v>155</v>
      </c>
      <c r="E171" s="155">
        <v>241</v>
      </c>
      <c r="F171" s="155"/>
      <c r="H171" s="341">
        <f t="shared" si="34"/>
        <v>1</v>
      </c>
      <c r="I171" s="327">
        <f t="shared" si="35"/>
        <v>155</v>
      </c>
      <c r="J171" s="327">
        <f t="shared" si="36"/>
        <v>241</v>
      </c>
      <c r="L171" s="358">
        <f>ROUND(D171/(IF(ISNUMBER(SEARCH("เมืองทอง",C171)),อัปเดตราคาอลู!$F$8,IF(ISNUMBER(SEARCH("SlimLux",C171)),อัปเดตราคาอลู!$F$6,IF(ISNUMBER(SEARCH("Velora",C171)),อัปเดตราคาอลู!$F$7,IF(ISNUMBER(SEARCH("Fuji",C171)),อัปเดตราคาอลู!$F$5,อัปเดตราคาอลู!$F$4))))),3)</f>
        <v>0.82899999999999996</v>
      </c>
      <c r="M171" s="358">
        <f t="shared" si="37"/>
        <v>0</v>
      </c>
      <c r="N171" s="400">
        <f t="shared" si="38"/>
        <v>0</v>
      </c>
    </row>
    <row r="172" spans="1:14" x14ac:dyDescent="0.35">
      <c r="A172" s="155" t="s">
        <v>422</v>
      </c>
      <c r="B172" s="155" t="s">
        <v>383</v>
      </c>
      <c r="C172" s="155" t="s">
        <v>420</v>
      </c>
      <c r="D172" s="155">
        <v>1237</v>
      </c>
      <c r="E172" s="155">
        <v>1924</v>
      </c>
      <c r="F172" s="155"/>
      <c r="H172" s="341">
        <f t="shared" si="34"/>
        <v>1</v>
      </c>
      <c r="I172" s="327">
        <f t="shared" si="35"/>
        <v>1237</v>
      </c>
      <c r="J172" s="327">
        <f t="shared" si="36"/>
        <v>1924</v>
      </c>
      <c r="L172" s="358">
        <f>ROUND(D172/(IF(ISNUMBER(SEARCH("เมืองทอง",C172)),อัปเดตราคาอลู!$F$8,IF(ISNUMBER(SEARCH("SlimLux",C172)),อัปเดตราคาอลู!$F$6,IF(ISNUMBER(SEARCH("Velora",C172)),อัปเดตราคาอลู!$F$7,IF(ISNUMBER(SEARCH("Fuji",C172)),อัปเดตราคาอลู!$F$5,อัปเดตราคาอลู!$F$4))))),3)</f>
        <v>6.6150000000000002</v>
      </c>
      <c r="M172" s="358">
        <f t="shared" si="37"/>
        <v>0</v>
      </c>
      <c r="N172" s="400">
        <f t="shared" si="38"/>
        <v>0</v>
      </c>
    </row>
    <row r="173" spans="1:14" x14ac:dyDescent="0.35">
      <c r="A173" s="155" t="s">
        <v>423</v>
      </c>
      <c r="B173" s="155" t="s">
        <v>383</v>
      </c>
      <c r="C173" s="155" t="s">
        <v>420</v>
      </c>
      <c r="D173" s="155">
        <v>257</v>
      </c>
      <c r="E173" s="155">
        <v>400</v>
      </c>
      <c r="F173" s="155"/>
      <c r="H173" s="341">
        <f t="shared" si="34"/>
        <v>1</v>
      </c>
      <c r="I173" s="327">
        <f t="shared" si="35"/>
        <v>257</v>
      </c>
      <c r="J173" s="327">
        <f t="shared" si="36"/>
        <v>400</v>
      </c>
      <c r="L173" s="358">
        <f>ROUND(D173/(IF(ISNUMBER(SEARCH("เมืองทอง",C173)),อัปเดตราคาอลู!$F$8,IF(ISNUMBER(SEARCH("SlimLux",C173)),อัปเดตราคาอลู!$F$6,IF(ISNUMBER(SEARCH("Velora",C173)),อัปเดตราคาอลู!$F$7,IF(ISNUMBER(SEARCH("Fuji",C173)),อัปเดตราคาอลู!$F$5,อัปเดตราคาอลู!$F$4))))),3)</f>
        <v>1.3740000000000001</v>
      </c>
      <c r="M173" s="358">
        <f t="shared" si="37"/>
        <v>0</v>
      </c>
      <c r="N173" s="400">
        <f t="shared" si="38"/>
        <v>0</v>
      </c>
    </row>
    <row r="174" spans="1:14" x14ac:dyDescent="0.35">
      <c r="A174" s="155" t="s">
        <v>424</v>
      </c>
      <c r="B174" s="155" t="s">
        <v>383</v>
      </c>
      <c r="C174" s="155" t="s">
        <v>420</v>
      </c>
      <c r="D174" s="155">
        <v>1051</v>
      </c>
      <c r="E174" s="155">
        <v>1635</v>
      </c>
      <c r="F174" s="155"/>
      <c r="H174" s="341">
        <f t="shared" si="34"/>
        <v>1</v>
      </c>
      <c r="I174" s="327">
        <f t="shared" si="35"/>
        <v>1051</v>
      </c>
      <c r="J174" s="327">
        <f t="shared" si="36"/>
        <v>1635</v>
      </c>
      <c r="L174" s="358">
        <f>ROUND(D174/(IF(ISNUMBER(SEARCH("เมืองทอง",C174)),อัปเดตราคาอลู!$F$8,IF(ISNUMBER(SEARCH("SlimLux",C174)),อัปเดตราคาอลู!$F$6,IF(ISNUMBER(SEARCH("Velora",C174)),อัปเดตราคาอลู!$F$7,IF(ISNUMBER(SEARCH("Fuji",C174)),อัปเดตราคาอลู!$F$5,อัปเดตราคาอลู!$F$4))))),3)</f>
        <v>5.62</v>
      </c>
      <c r="M174" s="358">
        <f t="shared" si="37"/>
        <v>0</v>
      </c>
      <c r="N174" s="400">
        <f t="shared" si="38"/>
        <v>0</v>
      </c>
    </row>
    <row r="175" spans="1:14" x14ac:dyDescent="0.35">
      <c r="A175" s="155" t="s">
        <v>425</v>
      </c>
      <c r="B175" s="155" t="s">
        <v>383</v>
      </c>
      <c r="C175" s="155" t="s">
        <v>420</v>
      </c>
      <c r="D175" s="155">
        <v>1175</v>
      </c>
      <c r="E175" s="155">
        <v>1828</v>
      </c>
      <c r="F175" s="155"/>
      <c r="H175" s="341">
        <f t="shared" si="34"/>
        <v>1</v>
      </c>
      <c r="I175" s="327">
        <f t="shared" si="35"/>
        <v>1175</v>
      </c>
      <c r="J175" s="327">
        <f t="shared" si="36"/>
        <v>1828</v>
      </c>
      <c r="L175" s="358">
        <f>ROUND(D175/(IF(ISNUMBER(SEARCH("เมืองทอง",C175)),อัปเดตราคาอลู!$F$8,IF(ISNUMBER(SEARCH("SlimLux",C175)),อัปเดตราคาอลู!$F$6,IF(ISNUMBER(SEARCH("Velora",C175)),อัปเดตราคาอลู!$F$7,IF(ISNUMBER(SEARCH("Fuji",C175)),อัปเดตราคาอลู!$F$5,อัปเดตราคาอลู!$F$4))))),3)</f>
        <v>6.2830000000000004</v>
      </c>
      <c r="M175" s="358">
        <f t="shared" si="37"/>
        <v>0</v>
      </c>
      <c r="N175" s="400">
        <f t="shared" si="38"/>
        <v>0</v>
      </c>
    </row>
    <row r="176" spans="1:14" x14ac:dyDescent="0.35">
      <c r="A176" s="155" t="s">
        <v>426</v>
      </c>
      <c r="B176" s="155" t="s">
        <v>383</v>
      </c>
      <c r="C176" s="155" t="s">
        <v>420</v>
      </c>
      <c r="D176" s="155">
        <v>1145</v>
      </c>
      <c r="E176" s="155">
        <v>1781</v>
      </c>
      <c r="F176" s="155"/>
      <c r="H176" s="341">
        <f t="shared" si="34"/>
        <v>1</v>
      </c>
      <c r="I176" s="327">
        <f t="shared" si="35"/>
        <v>1145</v>
      </c>
      <c r="J176" s="327">
        <f t="shared" si="36"/>
        <v>1781</v>
      </c>
      <c r="L176" s="358">
        <f>ROUND(D176/(IF(ISNUMBER(SEARCH("เมืองทอง",C176)),อัปเดตราคาอลู!$F$8,IF(ISNUMBER(SEARCH("SlimLux",C176)),อัปเดตราคาอลู!$F$6,IF(ISNUMBER(SEARCH("Velora",C176)),อัปเดตราคาอลู!$F$7,IF(ISNUMBER(SEARCH("Fuji",C176)),อัปเดตราคาอลู!$F$5,อัปเดตราคาอลู!$F$4))))),3)</f>
        <v>6.1230000000000002</v>
      </c>
      <c r="M176" s="358">
        <f t="shared" si="37"/>
        <v>0</v>
      </c>
      <c r="N176" s="400">
        <f t="shared" si="38"/>
        <v>0</v>
      </c>
    </row>
    <row r="177" spans="1:14" x14ac:dyDescent="0.35">
      <c r="A177" s="155" t="s">
        <v>427</v>
      </c>
      <c r="B177" s="155" t="s">
        <v>383</v>
      </c>
      <c r="C177" s="155" t="s">
        <v>420</v>
      </c>
      <c r="D177" s="155">
        <v>952</v>
      </c>
      <c r="E177" s="155">
        <v>1481</v>
      </c>
      <c r="F177" s="155"/>
      <c r="H177" s="341">
        <f t="shared" si="34"/>
        <v>1</v>
      </c>
      <c r="I177" s="327">
        <f t="shared" si="35"/>
        <v>952</v>
      </c>
      <c r="J177" s="327">
        <f t="shared" si="36"/>
        <v>1481</v>
      </c>
      <c r="L177" s="358">
        <f>ROUND(D177/(IF(ISNUMBER(SEARCH("เมืองทอง",C177)),อัปเดตราคาอลู!$F$8,IF(ISNUMBER(SEARCH("SlimLux",C177)),อัปเดตราคาอลู!$F$6,IF(ISNUMBER(SEARCH("Velora",C177)),อัปเดตราคาอลู!$F$7,IF(ISNUMBER(SEARCH("Fuji",C177)),อัปเดตราคาอลู!$F$5,อัปเดตราคาอลู!$F$4))))),3)</f>
        <v>5.0910000000000002</v>
      </c>
      <c r="M177" s="358">
        <f t="shared" si="37"/>
        <v>0</v>
      </c>
      <c r="N177" s="400">
        <f t="shared" si="38"/>
        <v>0</v>
      </c>
    </row>
    <row r="178" spans="1:14" x14ac:dyDescent="0.35">
      <c r="A178" s="155" t="s">
        <v>428</v>
      </c>
      <c r="B178" s="155" t="s">
        <v>383</v>
      </c>
      <c r="C178" s="155" t="s">
        <v>420</v>
      </c>
      <c r="D178" s="155">
        <v>1690</v>
      </c>
      <c r="E178" s="155">
        <v>2629</v>
      </c>
      <c r="F178" s="155"/>
      <c r="H178" s="341">
        <f t="shared" si="34"/>
        <v>1</v>
      </c>
      <c r="I178" s="327">
        <f t="shared" si="35"/>
        <v>1690</v>
      </c>
      <c r="J178" s="327">
        <f t="shared" si="36"/>
        <v>2629</v>
      </c>
      <c r="L178" s="358">
        <f>ROUND(D178/(IF(ISNUMBER(SEARCH("เมืองทอง",C178)),อัปเดตราคาอลู!$F$8,IF(ISNUMBER(SEARCH("SlimLux",C178)),อัปเดตราคาอลู!$F$6,IF(ISNUMBER(SEARCH("Velora",C178)),อัปเดตราคาอลู!$F$7,IF(ISNUMBER(SEARCH("Fuji",C178)),อัปเดตราคาอลู!$F$5,อัปเดตราคาอลู!$F$4))))),3)</f>
        <v>9.0370000000000008</v>
      </c>
      <c r="M178" s="358">
        <f t="shared" si="37"/>
        <v>0</v>
      </c>
      <c r="N178" s="400">
        <f t="shared" si="38"/>
        <v>0</v>
      </c>
    </row>
    <row r="179" spans="1:14" x14ac:dyDescent="0.35">
      <c r="A179" s="155" t="s">
        <v>429</v>
      </c>
      <c r="B179" s="155" t="s">
        <v>383</v>
      </c>
      <c r="C179" s="155" t="s">
        <v>420</v>
      </c>
      <c r="D179" s="155">
        <v>1051</v>
      </c>
      <c r="E179" s="155">
        <v>1635</v>
      </c>
      <c r="F179" s="155"/>
      <c r="H179" s="341">
        <f t="shared" si="34"/>
        <v>1</v>
      </c>
      <c r="I179" s="327">
        <f t="shared" si="35"/>
        <v>1051</v>
      </c>
      <c r="J179" s="327">
        <f t="shared" si="36"/>
        <v>1635</v>
      </c>
      <c r="L179" s="358">
        <f>ROUND(D179/(IF(ISNUMBER(SEARCH("เมืองทอง",C179)),อัปเดตราคาอลู!$F$8,IF(ISNUMBER(SEARCH("SlimLux",C179)),อัปเดตราคาอลู!$F$6,IF(ISNUMBER(SEARCH("Velora",C179)),อัปเดตราคาอลู!$F$7,IF(ISNUMBER(SEARCH("Fuji",C179)),อัปเดตราคาอลู!$F$5,อัปเดตราคาอลู!$F$4))))),3)</f>
        <v>5.62</v>
      </c>
      <c r="M179" s="358">
        <f t="shared" si="37"/>
        <v>0</v>
      </c>
      <c r="N179" s="400">
        <f t="shared" si="38"/>
        <v>0</v>
      </c>
    </row>
    <row r="180" spans="1:14" x14ac:dyDescent="0.35">
      <c r="A180" s="155" t="s">
        <v>430</v>
      </c>
      <c r="B180" s="155" t="s">
        <v>383</v>
      </c>
      <c r="C180" s="155" t="s">
        <v>420</v>
      </c>
      <c r="D180" s="155">
        <v>1166</v>
      </c>
      <c r="E180" s="155">
        <v>1814</v>
      </c>
      <c r="F180" s="155"/>
      <c r="H180" s="341">
        <f t="shared" si="34"/>
        <v>1</v>
      </c>
      <c r="I180" s="327">
        <f t="shared" si="35"/>
        <v>1166</v>
      </c>
      <c r="J180" s="327">
        <f t="shared" si="36"/>
        <v>1814</v>
      </c>
      <c r="L180" s="358">
        <f>ROUND(D180/(IF(ISNUMBER(SEARCH("เมืองทอง",C180)),อัปเดตราคาอลู!$F$8,IF(ISNUMBER(SEARCH("SlimLux",C180)),อัปเดตราคาอลู!$F$6,IF(ISNUMBER(SEARCH("Velora",C180)),อัปเดตราคาอลู!$F$7,IF(ISNUMBER(SEARCH("Fuji",C180)),อัปเดตราคาอลู!$F$5,อัปเดตราคาอลู!$F$4))))),3)</f>
        <v>6.2350000000000003</v>
      </c>
      <c r="M180" s="358">
        <f t="shared" si="37"/>
        <v>0</v>
      </c>
      <c r="N180" s="400">
        <f t="shared" si="38"/>
        <v>0</v>
      </c>
    </row>
    <row r="181" spans="1:14" x14ac:dyDescent="0.35">
      <c r="A181" s="155" t="s">
        <v>431</v>
      </c>
      <c r="B181" s="155" t="s">
        <v>383</v>
      </c>
      <c r="C181" s="155" t="s">
        <v>420</v>
      </c>
      <c r="D181" s="155">
        <v>617</v>
      </c>
      <c r="E181" s="155">
        <v>960</v>
      </c>
      <c r="F181" s="155"/>
      <c r="H181" s="341">
        <f t="shared" si="34"/>
        <v>1</v>
      </c>
      <c r="I181" s="327">
        <f t="shared" si="35"/>
        <v>617</v>
      </c>
      <c r="J181" s="327">
        <f t="shared" si="36"/>
        <v>960</v>
      </c>
      <c r="L181" s="358">
        <f>ROUND(D181/(IF(ISNUMBER(SEARCH("เมืองทอง",C181)),อัปเดตราคาอลู!$F$8,IF(ISNUMBER(SEARCH("SlimLux",C181)),อัปเดตราคาอลู!$F$6,IF(ISNUMBER(SEARCH("Velora",C181)),อัปเดตราคาอลู!$F$7,IF(ISNUMBER(SEARCH("Fuji",C181)),อัปเดตราคาอลู!$F$5,อัปเดตราคาอลู!$F$4))))),3)</f>
        <v>3.2989999999999999</v>
      </c>
      <c r="M181" s="358">
        <f t="shared" si="37"/>
        <v>0</v>
      </c>
      <c r="N181" s="400">
        <f t="shared" si="38"/>
        <v>0</v>
      </c>
    </row>
    <row r="182" spans="1:14" x14ac:dyDescent="0.35">
      <c r="A182" s="155" t="s">
        <v>432</v>
      </c>
      <c r="B182" s="155" t="s">
        <v>383</v>
      </c>
      <c r="C182" s="155" t="s">
        <v>420</v>
      </c>
      <c r="D182" s="155">
        <v>616</v>
      </c>
      <c r="E182" s="155">
        <v>958</v>
      </c>
      <c r="F182" s="155"/>
      <c r="H182" s="341">
        <f t="shared" si="34"/>
        <v>1</v>
      </c>
      <c r="I182" s="327">
        <f t="shared" si="35"/>
        <v>616</v>
      </c>
      <c r="J182" s="327">
        <f t="shared" si="36"/>
        <v>958</v>
      </c>
      <c r="L182" s="358">
        <f>ROUND(D182/(IF(ISNUMBER(SEARCH("เมืองทอง",C182)),อัปเดตราคาอลู!$F$8,IF(ISNUMBER(SEARCH("SlimLux",C182)),อัปเดตราคาอลู!$F$6,IF(ISNUMBER(SEARCH("Velora",C182)),อัปเดตราคาอลู!$F$7,IF(ISNUMBER(SEARCH("Fuji",C182)),อัปเดตราคาอลู!$F$5,อัปเดตราคาอลู!$F$4))))),3)</f>
        <v>3.294</v>
      </c>
      <c r="M182" s="358">
        <f t="shared" si="37"/>
        <v>0</v>
      </c>
      <c r="N182" s="400">
        <f t="shared" si="38"/>
        <v>0</v>
      </c>
    </row>
    <row r="183" spans="1:14" x14ac:dyDescent="0.35">
      <c r="A183" s="155" t="s">
        <v>433</v>
      </c>
      <c r="B183" s="155" t="s">
        <v>383</v>
      </c>
      <c r="C183" s="155" t="s">
        <v>420</v>
      </c>
      <c r="D183" s="155">
        <v>763</v>
      </c>
      <c r="E183" s="155">
        <v>1187</v>
      </c>
      <c r="F183" s="155"/>
      <c r="H183" s="341">
        <f t="shared" si="34"/>
        <v>1</v>
      </c>
      <c r="I183" s="327">
        <f t="shared" si="35"/>
        <v>763</v>
      </c>
      <c r="J183" s="327">
        <f t="shared" si="36"/>
        <v>1187</v>
      </c>
      <c r="L183" s="358">
        <f>ROUND(D183/(IF(ISNUMBER(SEARCH("เมืองทอง",C183)),อัปเดตราคาอลู!$F$8,IF(ISNUMBER(SEARCH("SlimLux",C183)),อัปเดตราคาอลู!$F$6,IF(ISNUMBER(SEARCH("Velora",C183)),อัปเดตราคาอลู!$F$7,IF(ISNUMBER(SEARCH("Fuji",C183)),อัปเดตราคาอลู!$F$5,อัปเดตราคาอลู!$F$4))))),3)</f>
        <v>4.08</v>
      </c>
      <c r="M183" s="358">
        <f t="shared" si="37"/>
        <v>0</v>
      </c>
      <c r="N183" s="400">
        <f t="shared" si="38"/>
        <v>0</v>
      </c>
    </row>
    <row r="184" spans="1:14" x14ac:dyDescent="0.35">
      <c r="A184" s="155" t="s">
        <v>434</v>
      </c>
      <c r="B184" s="155" t="s">
        <v>383</v>
      </c>
      <c r="C184" s="155" t="s">
        <v>420</v>
      </c>
      <c r="D184" s="155">
        <v>666</v>
      </c>
      <c r="E184" s="155">
        <v>1036</v>
      </c>
      <c r="F184" s="155"/>
      <c r="H184" s="341">
        <f t="shared" si="34"/>
        <v>1</v>
      </c>
      <c r="I184" s="327">
        <f t="shared" si="35"/>
        <v>666</v>
      </c>
      <c r="J184" s="327">
        <f t="shared" si="36"/>
        <v>1036</v>
      </c>
      <c r="L184" s="358">
        <f>ROUND(D184/(IF(ISNUMBER(SEARCH("เมืองทอง",C184)),อัปเดตราคาอลู!$F$8,IF(ISNUMBER(SEARCH("SlimLux",C184)),อัปเดตราคาอลู!$F$6,IF(ISNUMBER(SEARCH("Velora",C184)),อัปเดตราคาอลู!$F$7,IF(ISNUMBER(SEARCH("Fuji",C184)),อัปเดตราคาอลู!$F$5,อัปเดตราคาอลู!$F$4))))),3)</f>
        <v>3.5609999999999999</v>
      </c>
      <c r="M184" s="358">
        <f t="shared" si="37"/>
        <v>0</v>
      </c>
      <c r="N184" s="400">
        <f t="shared" si="38"/>
        <v>0</v>
      </c>
    </row>
    <row r="185" spans="1:14" x14ac:dyDescent="0.35">
      <c r="A185" s="155" t="s">
        <v>435</v>
      </c>
      <c r="B185" s="155" t="s">
        <v>383</v>
      </c>
      <c r="C185" s="155" t="s">
        <v>420</v>
      </c>
      <c r="D185" s="155">
        <v>1467</v>
      </c>
      <c r="E185" s="155">
        <v>2282</v>
      </c>
      <c r="F185" s="155"/>
      <c r="H185" s="341">
        <f t="shared" si="34"/>
        <v>1</v>
      </c>
      <c r="I185" s="327">
        <f t="shared" si="35"/>
        <v>1467</v>
      </c>
      <c r="J185" s="327">
        <f t="shared" si="36"/>
        <v>2282</v>
      </c>
      <c r="L185" s="358">
        <f>ROUND(D185/(IF(ISNUMBER(SEARCH("เมืองทอง",C185)),อัปเดตราคาอลู!$F$8,IF(ISNUMBER(SEARCH("SlimLux",C185)),อัปเดตราคาอลู!$F$6,IF(ISNUMBER(SEARCH("Velora",C185)),อัปเดตราคาอลู!$F$7,IF(ISNUMBER(SEARCH("Fuji",C185)),อัปเดตราคาอลู!$F$5,อัปเดตราคาอลู!$F$4))))),3)</f>
        <v>7.8449999999999998</v>
      </c>
      <c r="M185" s="358">
        <f t="shared" si="37"/>
        <v>0</v>
      </c>
      <c r="N185" s="400">
        <f t="shared" si="38"/>
        <v>0</v>
      </c>
    </row>
    <row r="186" spans="1:14" x14ac:dyDescent="0.35">
      <c r="A186" s="155" t="s">
        <v>436</v>
      </c>
      <c r="B186" s="155" t="s">
        <v>383</v>
      </c>
      <c r="C186" s="155" t="s">
        <v>420</v>
      </c>
      <c r="D186" s="155">
        <v>1422</v>
      </c>
      <c r="E186" s="155">
        <v>2212</v>
      </c>
      <c r="F186" s="155"/>
      <c r="H186" s="341">
        <f t="shared" si="34"/>
        <v>1</v>
      </c>
      <c r="I186" s="327">
        <f t="shared" si="35"/>
        <v>1422</v>
      </c>
      <c r="J186" s="327">
        <f t="shared" si="36"/>
        <v>2212</v>
      </c>
      <c r="L186" s="358">
        <f>ROUND(D186/(IF(ISNUMBER(SEARCH("เมืองทอง",C186)),อัปเดตราคาอลู!$F$8,IF(ISNUMBER(SEARCH("SlimLux",C186)),อัปเดตราคาอลู!$F$6,IF(ISNUMBER(SEARCH("Velora",C186)),อัปเดตราคาอลู!$F$7,IF(ISNUMBER(SEARCH("Fuji",C186)),อัปเดตราคาอลู!$F$5,อัปเดตราคาอลู!$F$4))))),3)</f>
        <v>7.6040000000000001</v>
      </c>
      <c r="M186" s="358">
        <f t="shared" si="37"/>
        <v>0</v>
      </c>
      <c r="N186" s="400">
        <f t="shared" si="38"/>
        <v>0</v>
      </c>
    </row>
    <row r="187" spans="1:14" x14ac:dyDescent="0.35">
      <c r="A187" s="155" t="s">
        <v>437</v>
      </c>
      <c r="B187" s="155" t="s">
        <v>383</v>
      </c>
      <c r="C187" s="155" t="s">
        <v>420</v>
      </c>
      <c r="D187" s="155">
        <v>1607</v>
      </c>
      <c r="E187" s="155">
        <v>2500</v>
      </c>
      <c r="F187" s="155"/>
      <c r="H187" s="341">
        <f t="shared" si="34"/>
        <v>1</v>
      </c>
      <c r="I187" s="327">
        <f t="shared" si="35"/>
        <v>1607</v>
      </c>
      <c r="J187" s="327">
        <f t="shared" si="36"/>
        <v>2500</v>
      </c>
      <c r="L187" s="358">
        <f>ROUND(D187/(IF(ISNUMBER(SEARCH("เมืองทอง",C187)),อัปเดตราคาอลู!$F$8,IF(ISNUMBER(SEARCH("SlimLux",C187)),อัปเดตราคาอลู!$F$6,IF(ISNUMBER(SEARCH("Velora",C187)),อัปเดตราคาอลู!$F$7,IF(ISNUMBER(SEARCH("Fuji",C187)),อัปเดตราคาอลู!$F$5,อัปเดตราคาอลู!$F$4))))),3)</f>
        <v>8.5939999999999994</v>
      </c>
      <c r="M187" s="358">
        <f t="shared" si="37"/>
        <v>0</v>
      </c>
      <c r="N187" s="400">
        <f t="shared" si="38"/>
        <v>0</v>
      </c>
    </row>
    <row r="188" spans="1:14" x14ac:dyDescent="0.35">
      <c r="A188" s="155" t="s">
        <v>438</v>
      </c>
      <c r="B188" s="155" t="s">
        <v>383</v>
      </c>
      <c r="C188" s="155" t="s">
        <v>420</v>
      </c>
      <c r="D188" s="155">
        <v>1242</v>
      </c>
      <c r="E188" s="155">
        <v>1932</v>
      </c>
      <c r="F188" s="155"/>
      <c r="H188" s="341">
        <f t="shared" si="34"/>
        <v>1</v>
      </c>
      <c r="I188" s="327">
        <f t="shared" si="35"/>
        <v>1242</v>
      </c>
      <c r="J188" s="327">
        <f t="shared" si="36"/>
        <v>1932</v>
      </c>
      <c r="L188" s="358">
        <f>ROUND(D188/(IF(ISNUMBER(SEARCH("เมืองทอง",C188)),อัปเดตราคาอลู!$F$8,IF(ISNUMBER(SEARCH("SlimLux",C188)),อัปเดตราคาอลู!$F$6,IF(ISNUMBER(SEARCH("Velora",C188)),อัปเดตราคาอลู!$F$7,IF(ISNUMBER(SEARCH("Fuji",C188)),อัปเดตราคาอลู!$F$5,อัปเดตราคาอลู!$F$4))))),3)</f>
        <v>6.6420000000000003</v>
      </c>
      <c r="M188" s="358">
        <f t="shared" si="37"/>
        <v>0</v>
      </c>
      <c r="N188" s="400">
        <f t="shared" si="38"/>
        <v>0</v>
      </c>
    </row>
    <row r="189" spans="1:14" x14ac:dyDescent="0.35">
      <c r="A189" s="155" t="s">
        <v>439</v>
      </c>
      <c r="B189" s="155" t="s">
        <v>383</v>
      </c>
      <c r="C189" s="155" t="s">
        <v>420</v>
      </c>
      <c r="D189" s="155">
        <v>1202</v>
      </c>
      <c r="E189" s="155">
        <v>1870</v>
      </c>
      <c r="F189" s="155"/>
      <c r="H189" s="341">
        <f t="shared" si="34"/>
        <v>1</v>
      </c>
      <c r="I189" s="327">
        <f t="shared" si="35"/>
        <v>1202</v>
      </c>
      <c r="J189" s="327">
        <f t="shared" si="36"/>
        <v>1870</v>
      </c>
      <c r="L189" s="358">
        <f>ROUND(D189/(IF(ISNUMBER(SEARCH("เมืองทอง",C189)),อัปเดตราคาอลู!$F$8,IF(ISNUMBER(SEARCH("SlimLux",C189)),อัปเดตราคาอลู!$F$6,IF(ISNUMBER(SEARCH("Velora",C189)),อัปเดตราคาอลู!$F$7,IF(ISNUMBER(SEARCH("Fuji",C189)),อัปเดตราคาอลู!$F$5,อัปเดตราคาอลู!$F$4))))),3)</f>
        <v>6.4279999999999999</v>
      </c>
      <c r="M189" s="358">
        <f t="shared" si="37"/>
        <v>0</v>
      </c>
      <c r="N189" s="400">
        <f t="shared" si="38"/>
        <v>0</v>
      </c>
    </row>
    <row r="190" spans="1:14" x14ac:dyDescent="0.35">
      <c r="A190" s="155" t="s">
        <v>440</v>
      </c>
      <c r="B190" s="155" t="s">
        <v>383</v>
      </c>
      <c r="C190" s="155" t="s">
        <v>420</v>
      </c>
      <c r="D190" s="155">
        <v>1539</v>
      </c>
      <c r="E190" s="155">
        <v>2394</v>
      </c>
      <c r="F190" s="155"/>
      <c r="H190" s="341">
        <f t="shared" si="34"/>
        <v>1</v>
      </c>
      <c r="I190" s="327">
        <f t="shared" si="35"/>
        <v>1539</v>
      </c>
      <c r="J190" s="327">
        <f t="shared" si="36"/>
        <v>2394</v>
      </c>
      <c r="L190" s="358">
        <f>ROUND(D190/(IF(ISNUMBER(SEARCH("เมืองทอง",C190)),อัปเดตราคาอลู!$F$8,IF(ISNUMBER(SEARCH("SlimLux",C190)),อัปเดตราคาอลู!$F$6,IF(ISNUMBER(SEARCH("Velora",C190)),อัปเดตราคาอลู!$F$7,IF(ISNUMBER(SEARCH("Fuji",C190)),อัปเดตราคาอลู!$F$5,อัปเดตราคาอลู!$F$4))))),3)</f>
        <v>8.23</v>
      </c>
      <c r="M190" s="358">
        <f t="shared" si="37"/>
        <v>0</v>
      </c>
      <c r="N190" s="400">
        <f t="shared" si="38"/>
        <v>0</v>
      </c>
    </row>
    <row r="191" spans="1:14" x14ac:dyDescent="0.35">
      <c r="A191" s="155" t="s">
        <v>441</v>
      </c>
      <c r="B191" s="155" t="s">
        <v>383</v>
      </c>
      <c r="C191" s="155" t="s">
        <v>420</v>
      </c>
      <c r="D191" s="155">
        <v>295</v>
      </c>
      <c r="E191" s="155">
        <v>459</v>
      </c>
      <c r="F191" s="155"/>
      <c r="H191" s="341">
        <f t="shared" si="34"/>
        <v>1</v>
      </c>
      <c r="I191" s="327">
        <f t="shared" si="35"/>
        <v>295</v>
      </c>
      <c r="J191" s="327">
        <f t="shared" si="36"/>
        <v>459</v>
      </c>
      <c r="L191" s="358">
        <f>ROUND(D191/(IF(ISNUMBER(SEARCH("เมืองทอง",C191)),อัปเดตราคาอลู!$F$8,IF(ISNUMBER(SEARCH("SlimLux",C191)),อัปเดตราคาอลู!$F$6,IF(ISNUMBER(SEARCH("Velora",C191)),อัปเดตราคาอลู!$F$7,IF(ISNUMBER(SEARCH("Fuji",C191)),อัปเดตราคาอลู!$F$5,อัปเดตราคาอลู!$F$4))))),3)</f>
        <v>1.5780000000000001</v>
      </c>
      <c r="M191" s="358">
        <f t="shared" si="37"/>
        <v>0</v>
      </c>
      <c r="N191" s="400">
        <f t="shared" si="38"/>
        <v>0</v>
      </c>
    </row>
    <row r="193" spans="1:1" ht="22" customHeight="1" x14ac:dyDescent="0.35">
      <c r="A193" s="403"/>
    </row>
  </sheetData>
  <mergeCells count="1">
    <mergeCell ref="A1:F1"/>
  </mergeCells>
  <hyperlinks>
    <hyperlink ref="G1" location="'สารบัญ'!A1" display="🏠 สารบัญ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J32"/>
  <sheetViews>
    <sheetView workbookViewId="0"/>
  </sheetViews>
  <sheetFormatPr defaultRowHeight="14.5" x14ac:dyDescent="0.35"/>
  <cols>
    <col min="1" max="1" width="46" customWidth="1"/>
    <col min="2" max="2" width="9" customWidth="1"/>
    <col min="3" max="3" width="15.90625" customWidth="1"/>
    <col min="4" max="4" width="21.7265625" customWidth="1"/>
    <col min="5" max="5" width="39.26953125" customWidth="1"/>
    <col min="6" max="6" width="21.08984375" customWidth="1"/>
    <col min="7" max="7" width="8.90625" customWidth="1"/>
    <col min="9" max="9" width="13" customWidth="1"/>
  </cols>
  <sheetData>
    <row r="1" spans="1:10" ht="17" x14ac:dyDescent="0.4">
      <c r="A1" s="420" t="s">
        <v>442</v>
      </c>
      <c r="B1" s="411"/>
      <c r="C1" s="411"/>
      <c r="D1" s="411"/>
      <c r="E1" s="411"/>
      <c r="F1" s="411"/>
      <c r="G1" s="411"/>
      <c r="H1" s="411"/>
      <c r="I1" s="396" t="s">
        <v>78</v>
      </c>
      <c r="J1" s="389"/>
    </row>
    <row r="2" spans="1:10" x14ac:dyDescent="0.35">
      <c r="A2" s="419" t="s">
        <v>443</v>
      </c>
      <c r="B2" s="411"/>
      <c r="C2" s="411"/>
      <c r="D2" s="411"/>
      <c r="E2" s="411"/>
      <c r="F2" s="411"/>
      <c r="G2" s="411"/>
      <c r="H2" s="411"/>
    </row>
    <row r="4" spans="1:10" x14ac:dyDescent="0.35">
      <c r="A4" s="346" t="s">
        <v>444</v>
      </c>
    </row>
    <row r="5" spans="1:10" x14ac:dyDescent="0.35">
      <c r="A5" s="363" t="s">
        <v>445</v>
      </c>
      <c r="B5" s="363" t="s">
        <v>84</v>
      </c>
      <c r="C5" s="363" t="s">
        <v>446</v>
      </c>
      <c r="D5" s="363" t="s">
        <v>88</v>
      </c>
      <c r="E5" s="363" t="s">
        <v>89</v>
      </c>
      <c r="F5" s="363" t="s">
        <v>447</v>
      </c>
    </row>
    <row r="6" spans="1:10" x14ac:dyDescent="0.35">
      <c r="A6" s="155" t="s">
        <v>448</v>
      </c>
      <c r="B6" s="364">
        <f>อัปเดตราคาอลู!B4</f>
        <v>187</v>
      </c>
      <c r="C6" s="364">
        <f>อัปเดตราคาอลู!B5</f>
        <v>187</v>
      </c>
      <c r="D6" s="364">
        <f>อัปเดตราคาอลู!B6</f>
        <v>170</v>
      </c>
      <c r="E6" s="364">
        <f>อัปเดตราคาอลู!B7</f>
        <v>240</v>
      </c>
      <c r="F6" s="364">
        <f>อัปเดตราคาอลู!B8</f>
        <v>188</v>
      </c>
    </row>
    <row r="9" spans="1:10" x14ac:dyDescent="0.35">
      <c r="A9" s="346" t="s">
        <v>449</v>
      </c>
    </row>
    <row r="10" spans="1:10" x14ac:dyDescent="0.35">
      <c r="A10" s="363" t="s">
        <v>415</v>
      </c>
      <c r="B10" s="363" t="s">
        <v>450</v>
      </c>
      <c r="C10" s="363" t="s">
        <v>451</v>
      </c>
      <c r="D10" s="363" t="s">
        <v>452</v>
      </c>
      <c r="E10" s="363" t="s">
        <v>453</v>
      </c>
      <c r="F10" s="363" t="s">
        <v>454</v>
      </c>
      <c r="G10" s="363" t="s">
        <v>455</v>
      </c>
    </row>
    <row r="11" spans="1:10" x14ac:dyDescent="0.35">
      <c r="A11" s="155" t="s">
        <v>456</v>
      </c>
      <c r="B11" s="365" t="s">
        <v>457</v>
      </c>
      <c r="C11" s="366">
        <v>7365</v>
      </c>
      <c r="D11" s="367">
        <v>1881</v>
      </c>
      <c r="E11" s="368">
        <f>ROUND(C11*mult_sms+D11,0)</f>
        <v>9246</v>
      </c>
      <c r="F11" s="365">
        <v>9246</v>
      </c>
      <c r="G11" s="369" t="s">
        <v>458</v>
      </c>
    </row>
    <row r="12" spans="1:10" x14ac:dyDescent="0.35">
      <c r="A12" s="155" t="s">
        <v>459</v>
      </c>
      <c r="B12" s="365" t="s">
        <v>457</v>
      </c>
      <c r="C12" s="366">
        <v>11220</v>
      </c>
      <c r="D12" s="367">
        <v>2145</v>
      </c>
      <c r="E12" s="368">
        <f>ROUND(C12*mult_euro+D12,0)</f>
        <v>13365</v>
      </c>
      <c r="F12" s="365">
        <v>13365</v>
      </c>
      <c r="G12" s="369" t="s">
        <v>458</v>
      </c>
    </row>
    <row r="13" spans="1:10" x14ac:dyDescent="0.35">
      <c r="A13" s="155" t="s">
        <v>460</v>
      </c>
      <c r="B13" s="365" t="s">
        <v>457</v>
      </c>
      <c r="C13" s="366">
        <v>5968</v>
      </c>
      <c r="D13" s="367">
        <v>6953</v>
      </c>
      <c r="E13" s="368">
        <f>ROUND(C13*mult_slim+D13,0)</f>
        <v>12921</v>
      </c>
      <c r="F13" s="365">
        <v>12921</v>
      </c>
      <c r="G13" s="369" t="s">
        <v>458</v>
      </c>
    </row>
    <row r="14" spans="1:10" x14ac:dyDescent="0.35">
      <c r="A14" s="155" t="s">
        <v>461</v>
      </c>
      <c r="B14" s="365" t="s">
        <v>457</v>
      </c>
      <c r="C14" s="366">
        <v>2207</v>
      </c>
      <c r="D14" s="367">
        <v>3263</v>
      </c>
      <c r="E14" s="368">
        <f>ROUND(C14*mult_velora+D14,0)</f>
        <v>5470</v>
      </c>
      <c r="F14" s="365">
        <v>5470</v>
      </c>
      <c r="G14" s="369" t="s">
        <v>458</v>
      </c>
    </row>
    <row r="15" spans="1:10" x14ac:dyDescent="0.35">
      <c r="A15" s="155" t="s">
        <v>462</v>
      </c>
      <c r="B15" s="365" t="s">
        <v>457</v>
      </c>
      <c r="C15" s="366">
        <v>11158</v>
      </c>
      <c r="D15" s="367">
        <v>1527</v>
      </c>
      <c r="E15" s="368">
        <f>ROUND(C15*mult_sms+D15,0)</f>
        <v>12685</v>
      </c>
      <c r="F15" s="365">
        <v>12685</v>
      </c>
      <c r="G15" s="369" t="s">
        <v>458</v>
      </c>
    </row>
    <row r="16" spans="1:10" x14ac:dyDescent="0.35">
      <c r="A16" s="155" t="s">
        <v>463</v>
      </c>
      <c r="B16" s="365" t="s">
        <v>457</v>
      </c>
      <c r="C16" s="366">
        <v>8560</v>
      </c>
      <c r="D16" s="367">
        <v>3255</v>
      </c>
      <c r="E16" s="368">
        <f t="shared" ref="E16:E21" si="0">ROUND(C16*mult_euro+D16,0)</f>
        <v>11815</v>
      </c>
      <c r="F16" s="365">
        <v>11815</v>
      </c>
      <c r="G16" s="369" t="s">
        <v>458</v>
      </c>
    </row>
    <row r="17" spans="1:7" x14ac:dyDescent="0.35">
      <c r="A17" s="155" t="s">
        <v>464</v>
      </c>
      <c r="B17" s="365" t="s">
        <v>465</v>
      </c>
      <c r="C17" s="366">
        <v>5430</v>
      </c>
      <c r="D17" s="367">
        <v>3044</v>
      </c>
      <c r="E17" s="368">
        <f t="shared" si="0"/>
        <v>8474</v>
      </c>
      <c r="F17" s="365">
        <v>8474</v>
      </c>
      <c r="G17" s="369" t="s">
        <v>458</v>
      </c>
    </row>
    <row r="18" spans="1:7" x14ac:dyDescent="0.35">
      <c r="A18" s="155" t="s">
        <v>466</v>
      </c>
      <c r="B18" s="365" t="s">
        <v>465</v>
      </c>
      <c r="C18" s="366">
        <v>4340</v>
      </c>
      <c r="D18" s="367">
        <v>1924</v>
      </c>
      <c r="E18" s="368">
        <f t="shared" si="0"/>
        <v>6264</v>
      </c>
      <c r="F18" s="365">
        <v>6264</v>
      </c>
      <c r="G18" s="369" t="s">
        <v>458</v>
      </c>
    </row>
    <row r="19" spans="1:7" x14ac:dyDescent="0.35">
      <c r="A19" s="155" t="s">
        <v>467</v>
      </c>
      <c r="B19" s="365" t="s">
        <v>465</v>
      </c>
      <c r="C19" s="366">
        <v>5005</v>
      </c>
      <c r="D19" s="367">
        <v>3419</v>
      </c>
      <c r="E19" s="368">
        <f t="shared" si="0"/>
        <v>8424</v>
      </c>
      <c r="F19" s="365">
        <v>8424</v>
      </c>
      <c r="G19" s="369" t="s">
        <v>458</v>
      </c>
    </row>
    <row r="20" spans="1:7" x14ac:dyDescent="0.35">
      <c r="A20" s="155" t="s">
        <v>468</v>
      </c>
      <c r="B20" s="365" t="s">
        <v>469</v>
      </c>
      <c r="C20" s="366">
        <v>10470</v>
      </c>
      <c r="D20" s="367">
        <v>6807</v>
      </c>
      <c r="E20" s="368">
        <f t="shared" si="0"/>
        <v>17277</v>
      </c>
      <c r="F20" s="365">
        <v>17277</v>
      </c>
      <c r="G20" s="369" t="s">
        <v>458</v>
      </c>
    </row>
    <row r="21" spans="1:7" x14ac:dyDescent="0.35">
      <c r="A21" s="155" t="s">
        <v>470</v>
      </c>
      <c r="B21" s="365" t="s">
        <v>469</v>
      </c>
      <c r="C21" s="366">
        <v>13294</v>
      </c>
      <c r="D21" s="367">
        <v>2917</v>
      </c>
      <c r="E21" s="368">
        <f t="shared" si="0"/>
        <v>16211</v>
      </c>
      <c r="F21" s="365">
        <v>16211</v>
      </c>
      <c r="G21" s="369" t="s">
        <v>458</v>
      </c>
    </row>
    <row r="22" spans="1:7" x14ac:dyDescent="0.35">
      <c r="A22" s="155" t="s">
        <v>471</v>
      </c>
      <c r="B22" s="365" t="s">
        <v>383</v>
      </c>
      <c r="C22" s="366">
        <v>3240</v>
      </c>
      <c r="D22" s="367">
        <v>764</v>
      </c>
      <c r="E22" s="368">
        <f>ROUND(C22*mult_mtong+D22,0)</f>
        <v>4004</v>
      </c>
      <c r="F22" s="365">
        <v>4004</v>
      </c>
      <c r="G22" s="369" t="s">
        <v>458</v>
      </c>
    </row>
    <row r="23" spans="1:7" x14ac:dyDescent="0.35">
      <c r="A23" s="155" t="s">
        <v>472</v>
      </c>
      <c r="B23" s="365" t="s">
        <v>383</v>
      </c>
      <c r="C23" s="366">
        <v>0</v>
      </c>
      <c r="D23" s="367">
        <v>5100</v>
      </c>
      <c r="E23" s="368">
        <f>ROUND(C23*mult_mtong+D23,0)</f>
        <v>5100</v>
      </c>
      <c r="F23" s="365">
        <v>5100</v>
      </c>
      <c r="G23" s="369" t="s">
        <v>458</v>
      </c>
    </row>
    <row r="24" spans="1:7" x14ac:dyDescent="0.35">
      <c r="A24" s="155" t="s">
        <v>473</v>
      </c>
      <c r="B24" s="365" t="s">
        <v>457</v>
      </c>
      <c r="C24" s="366">
        <v>0</v>
      </c>
      <c r="D24" s="367">
        <v>28077</v>
      </c>
      <c r="E24" s="368">
        <f>ROUND(C24*mult_mtong+D24,0)</f>
        <v>28077</v>
      </c>
      <c r="F24" s="365">
        <v>28077</v>
      </c>
      <c r="G24" s="369" t="s">
        <v>458</v>
      </c>
    </row>
    <row r="25" spans="1:7" x14ac:dyDescent="0.35">
      <c r="A25" s="155" t="s">
        <v>474</v>
      </c>
      <c r="B25" s="365" t="s">
        <v>457</v>
      </c>
      <c r="C25" s="366">
        <v>4770</v>
      </c>
      <c r="D25" s="367">
        <v>7803</v>
      </c>
      <c r="E25" s="368">
        <f>ROUND(2990*mult_mtong+1780*mult_sms+D25,0)</f>
        <v>12573</v>
      </c>
      <c r="F25" s="365">
        <v>12573</v>
      </c>
      <c r="G25" s="369" t="s">
        <v>458</v>
      </c>
    </row>
    <row r="27" spans="1:7" x14ac:dyDescent="0.35">
      <c r="A27" s="370" t="s">
        <v>475</v>
      </c>
    </row>
    <row r="28" spans="1:7" x14ac:dyDescent="0.35">
      <c r="A28" s="371" t="s">
        <v>476</v>
      </c>
    </row>
    <row r="29" spans="1:7" x14ac:dyDescent="0.35">
      <c r="A29" s="371" t="s">
        <v>477</v>
      </c>
    </row>
    <row r="30" spans="1:7" x14ac:dyDescent="0.35">
      <c r="A30" s="372" t="s">
        <v>478</v>
      </c>
    </row>
    <row r="32" spans="1:7" x14ac:dyDescent="0.35">
      <c r="A32" s="418" t="s">
        <v>479</v>
      </c>
      <c r="B32" s="411"/>
      <c r="C32" s="411"/>
      <c r="D32" s="411"/>
      <c r="E32" s="411"/>
      <c r="F32" s="411"/>
      <c r="G32" s="411"/>
    </row>
  </sheetData>
  <mergeCells count="3">
    <mergeCell ref="A32:G32"/>
    <mergeCell ref="A2:H2"/>
    <mergeCell ref="A1:H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H4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6" customWidth="1"/>
    <col min="2" max="2" width="31.7265625" customWidth="1"/>
    <col min="3" max="3" width="9.453125" customWidth="1"/>
    <col min="4" max="4" width="17.453125" customWidth="1"/>
    <col min="7" max="7" width="13" customWidth="1"/>
  </cols>
  <sheetData>
    <row r="1" spans="1:8" ht="15.5" x14ac:dyDescent="0.35">
      <c r="A1" s="402" t="s">
        <v>480</v>
      </c>
      <c r="G1" s="388" t="s">
        <v>78</v>
      </c>
      <c r="H1" s="389"/>
    </row>
    <row r="3" spans="1:8" x14ac:dyDescent="0.35">
      <c r="A3" s="335" t="s">
        <v>62</v>
      </c>
    </row>
    <row r="4" spans="1:8" x14ac:dyDescent="0.35">
      <c r="A4" s="154" t="s">
        <v>481</v>
      </c>
      <c r="B4" s="154" t="s">
        <v>482</v>
      </c>
      <c r="C4" s="154" t="s">
        <v>483</v>
      </c>
      <c r="D4" s="154" t="s">
        <v>484</v>
      </c>
    </row>
    <row r="5" spans="1:8" x14ac:dyDescent="0.35">
      <c r="A5" s="155" t="s">
        <v>485</v>
      </c>
      <c r="B5" s="155" t="s">
        <v>486</v>
      </c>
      <c r="C5" s="155" t="s">
        <v>487</v>
      </c>
      <c r="D5" s="336">
        <v>284</v>
      </c>
    </row>
    <row r="6" spans="1:8" x14ac:dyDescent="0.35">
      <c r="A6" s="155" t="s">
        <v>485</v>
      </c>
      <c r="B6" s="155" t="s">
        <v>488</v>
      </c>
      <c r="C6" s="155" t="s">
        <v>489</v>
      </c>
      <c r="D6" s="336">
        <v>50</v>
      </c>
    </row>
    <row r="7" spans="1:8" x14ac:dyDescent="0.35">
      <c r="A7" s="155" t="s">
        <v>485</v>
      </c>
      <c r="B7" s="155" t="s">
        <v>490</v>
      </c>
      <c r="C7" s="155" t="s">
        <v>489</v>
      </c>
      <c r="D7" s="336">
        <v>50</v>
      </c>
    </row>
    <row r="8" spans="1:8" x14ac:dyDescent="0.35">
      <c r="A8" s="155" t="s">
        <v>485</v>
      </c>
      <c r="B8" s="155" t="s">
        <v>491</v>
      </c>
      <c r="C8" s="155" t="s">
        <v>489</v>
      </c>
      <c r="D8" s="336">
        <v>50</v>
      </c>
    </row>
    <row r="9" spans="1:8" x14ac:dyDescent="0.35">
      <c r="A9" s="155" t="s">
        <v>485</v>
      </c>
      <c r="B9" s="155" t="s">
        <v>492</v>
      </c>
      <c r="C9" s="155" t="s">
        <v>493</v>
      </c>
      <c r="D9" s="336">
        <v>0.5</v>
      </c>
    </row>
    <row r="10" spans="1:8" x14ac:dyDescent="0.35">
      <c r="A10" s="155" t="s">
        <v>485</v>
      </c>
      <c r="B10" s="155" t="s">
        <v>494</v>
      </c>
      <c r="C10" s="155" t="s">
        <v>493</v>
      </c>
      <c r="D10" s="336">
        <v>0.5</v>
      </c>
    </row>
    <row r="11" spans="1:8" x14ac:dyDescent="0.35">
      <c r="A11" s="155" t="s">
        <v>485</v>
      </c>
      <c r="B11" s="155" t="s">
        <v>495</v>
      </c>
      <c r="C11" s="155" t="s">
        <v>496</v>
      </c>
      <c r="D11" s="336">
        <v>240</v>
      </c>
    </row>
    <row r="12" spans="1:8" x14ac:dyDescent="0.35">
      <c r="A12" s="155" t="s">
        <v>485</v>
      </c>
      <c r="B12" s="155" t="s">
        <v>497</v>
      </c>
      <c r="C12" s="155" t="s">
        <v>498</v>
      </c>
      <c r="D12" s="336">
        <v>70</v>
      </c>
    </row>
    <row r="13" spans="1:8" x14ac:dyDescent="0.35">
      <c r="A13" s="155" t="s">
        <v>485</v>
      </c>
      <c r="B13" s="155" t="s">
        <v>499</v>
      </c>
      <c r="C13" s="155" t="s">
        <v>489</v>
      </c>
      <c r="D13" s="336">
        <v>70</v>
      </c>
    </row>
    <row r="14" spans="1:8" x14ac:dyDescent="0.35">
      <c r="A14" s="155" t="s">
        <v>485</v>
      </c>
      <c r="B14" s="155" t="s">
        <v>500</v>
      </c>
      <c r="C14" s="155" t="s">
        <v>487</v>
      </c>
      <c r="D14" s="336">
        <v>130</v>
      </c>
    </row>
    <row r="15" spans="1:8" x14ac:dyDescent="0.35">
      <c r="A15" s="335" t="s">
        <v>65</v>
      </c>
    </row>
    <row r="16" spans="1:8" x14ac:dyDescent="0.35">
      <c r="A16" s="154" t="s">
        <v>481</v>
      </c>
      <c r="B16" s="154" t="s">
        <v>482</v>
      </c>
      <c r="C16" s="154" t="s">
        <v>483</v>
      </c>
      <c r="D16" s="154" t="s">
        <v>484</v>
      </c>
    </row>
    <row r="17" spans="1:4" x14ac:dyDescent="0.35">
      <c r="A17" s="155" t="s">
        <v>501</v>
      </c>
      <c r="B17" s="155" t="s">
        <v>502</v>
      </c>
      <c r="C17" s="155" t="s">
        <v>503</v>
      </c>
      <c r="D17" s="336">
        <v>117</v>
      </c>
    </row>
    <row r="18" spans="1:4" x14ac:dyDescent="0.35">
      <c r="A18" s="155" t="s">
        <v>501</v>
      </c>
      <c r="B18" s="155" t="s">
        <v>504</v>
      </c>
      <c r="C18" s="155" t="s">
        <v>505</v>
      </c>
      <c r="D18" s="336">
        <v>105</v>
      </c>
    </row>
    <row r="19" spans="1:4" x14ac:dyDescent="0.35">
      <c r="A19" s="155" t="s">
        <v>501</v>
      </c>
      <c r="B19" s="155" t="s">
        <v>506</v>
      </c>
      <c r="C19" s="155" t="s">
        <v>505</v>
      </c>
      <c r="D19" s="336">
        <v>45</v>
      </c>
    </row>
    <row r="20" spans="1:4" x14ac:dyDescent="0.35">
      <c r="A20" s="155" t="s">
        <v>501</v>
      </c>
      <c r="B20" s="155" t="s">
        <v>507</v>
      </c>
      <c r="C20" s="155" t="s">
        <v>508</v>
      </c>
      <c r="D20" s="336">
        <v>35</v>
      </c>
    </row>
    <row r="21" spans="1:4" x14ac:dyDescent="0.35">
      <c r="A21" s="155" t="s">
        <v>501</v>
      </c>
      <c r="B21" s="155" t="s">
        <v>509</v>
      </c>
      <c r="C21" s="155" t="s">
        <v>510</v>
      </c>
      <c r="D21" s="336">
        <v>25</v>
      </c>
    </row>
    <row r="22" spans="1:4" x14ac:dyDescent="0.35">
      <c r="A22" s="155" t="s">
        <v>501</v>
      </c>
      <c r="B22" s="155" t="s">
        <v>511</v>
      </c>
      <c r="C22" s="155" t="s">
        <v>510</v>
      </c>
      <c r="D22" s="336">
        <v>6.666666666666667</v>
      </c>
    </row>
    <row r="23" spans="1:4" x14ac:dyDescent="0.35">
      <c r="A23" s="155" t="s">
        <v>501</v>
      </c>
      <c r="B23" s="155" t="s">
        <v>512</v>
      </c>
      <c r="C23" s="155" t="s">
        <v>481</v>
      </c>
      <c r="D23" s="336">
        <v>400</v>
      </c>
    </row>
    <row r="24" spans="1:4" x14ac:dyDescent="0.35">
      <c r="A24" s="335" t="s">
        <v>63</v>
      </c>
    </row>
    <row r="25" spans="1:4" x14ac:dyDescent="0.35">
      <c r="A25" s="154" t="s">
        <v>481</v>
      </c>
      <c r="B25" s="154" t="s">
        <v>482</v>
      </c>
      <c r="C25" s="154" t="s">
        <v>483</v>
      </c>
      <c r="D25" s="154" t="s">
        <v>484</v>
      </c>
    </row>
    <row r="26" spans="1:4" x14ac:dyDescent="0.35">
      <c r="A26" s="155" t="s">
        <v>513</v>
      </c>
      <c r="B26" s="155" t="s">
        <v>514</v>
      </c>
      <c r="C26" s="155" t="s">
        <v>487</v>
      </c>
      <c r="D26" s="336">
        <v>500</v>
      </c>
    </row>
    <row r="27" spans="1:4" x14ac:dyDescent="0.35">
      <c r="A27" s="155" t="s">
        <v>513</v>
      </c>
      <c r="B27" s="155" t="s">
        <v>515</v>
      </c>
      <c r="C27" s="155" t="s">
        <v>489</v>
      </c>
      <c r="D27" s="336">
        <v>440</v>
      </c>
    </row>
    <row r="28" spans="1:4" x14ac:dyDescent="0.35">
      <c r="A28" s="155" t="s">
        <v>513</v>
      </c>
      <c r="B28" s="155" t="s">
        <v>516</v>
      </c>
      <c r="C28" s="155" t="s">
        <v>489</v>
      </c>
      <c r="D28" s="336">
        <v>62</v>
      </c>
    </row>
    <row r="29" spans="1:4" x14ac:dyDescent="0.35">
      <c r="A29" s="155" t="s">
        <v>513</v>
      </c>
      <c r="B29" s="155" t="s">
        <v>517</v>
      </c>
      <c r="C29" s="155" t="s">
        <v>489</v>
      </c>
      <c r="D29" s="336">
        <v>62</v>
      </c>
    </row>
    <row r="30" spans="1:4" x14ac:dyDescent="0.35">
      <c r="A30" s="155" t="s">
        <v>513</v>
      </c>
      <c r="B30" s="155" t="s">
        <v>518</v>
      </c>
      <c r="C30" s="155" t="s">
        <v>487</v>
      </c>
      <c r="D30" s="336">
        <v>130</v>
      </c>
    </row>
    <row r="31" spans="1:4" x14ac:dyDescent="0.35">
      <c r="A31" s="155" t="s">
        <v>513</v>
      </c>
      <c r="B31" s="155" t="s">
        <v>492</v>
      </c>
      <c r="C31" s="155" t="s">
        <v>493</v>
      </c>
      <c r="D31" s="336">
        <v>0.5</v>
      </c>
    </row>
    <row r="32" spans="1:4" x14ac:dyDescent="0.35">
      <c r="A32" s="155" t="s">
        <v>513</v>
      </c>
      <c r="B32" s="155" t="s">
        <v>494</v>
      </c>
      <c r="C32" s="155" t="s">
        <v>493</v>
      </c>
      <c r="D32" s="336">
        <v>0.5</v>
      </c>
    </row>
    <row r="33" spans="1:4" x14ac:dyDescent="0.35">
      <c r="A33" s="155" t="s">
        <v>513</v>
      </c>
      <c r="B33" s="155" t="s">
        <v>495</v>
      </c>
      <c r="C33" s="155" t="s">
        <v>496</v>
      </c>
      <c r="D33" s="336">
        <v>240</v>
      </c>
    </row>
    <row r="34" spans="1:4" x14ac:dyDescent="0.35">
      <c r="A34" s="155" t="s">
        <v>513</v>
      </c>
      <c r="B34" s="155" t="s">
        <v>497</v>
      </c>
      <c r="C34" s="155" t="s">
        <v>498</v>
      </c>
      <c r="D34" s="336">
        <v>70</v>
      </c>
    </row>
    <row r="35" spans="1:4" x14ac:dyDescent="0.35">
      <c r="A35" s="335" t="s">
        <v>64</v>
      </c>
    </row>
    <row r="36" spans="1:4" x14ac:dyDescent="0.35">
      <c r="A36" s="154" t="s">
        <v>481</v>
      </c>
      <c r="B36" s="154" t="s">
        <v>482</v>
      </c>
      <c r="C36" s="154" t="s">
        <v>483</v>
      </c>
      <c r="D36" s="154" t="s">
        <v>484</v>
      </c>
    </row>
    <row r="37" spans="1:4" x14ac:dyDescent="0.35">
      <c r="A37" s="155" t="s">
        <v>519</v>
      </c>
      <c r="B37" s="155" t="s">
        <v>520</v>
      </c>
      <c r="C37" s="155" t="s">
        <v>487</v>
      </c>
      <c r="D37" s="336">
        <v>2016</v>
      </c>
    </row>
    <row r="38" spans="1:4" x14ac:dyDescent="0.35">
      <c r="A38" s="155" t="s">
        <v>519</v>
      </c>
      <c r="B38" s="155" t="s">
        <v>521</v>
      </c>
      <c r="C38" s="155" t="s">
        <v>487</v>
      </c>
      <c r="D38" s="336">
        <v>2520</v>
      </c>
    </row>
    <row r="39" spans="1:4" x14ac:dyDescent="0.35">
      <c r="A39" s="155" t="s">
        <v>519</v>
      </c>
      <c r="B39" s="155" t="s">
        <v>522</v>
      </c>
      <c r="C39" s="155" t="s">
        <v>489</v>
      </c>
      <c r="D39" s="336">
        <v>1220</v>
      </c>
    </row>
    <row r="40" spans="1:4" x14ac:dyDescent="0.35">
      <c r="A40" s="155" t="s">
        <v>519</v>
      </c>
      <c r="B40" s="155" t="s">
        <v>523</v>
      </c>
      <c r="C40" s="155" t="s">
        <v>489</v>
      </c>
      <c r="D40" s="336">
        <v>70</v>
      </c>
    </row>
    <row r="41" spans="1:4" x14ac:dyDescent="0.35">
      <c r="A41" s="155" t="s">
        <v>519</v>
      </c>
      <c r="B41" s="155" t="s">
        <v>524</v>
      </c>
      <c r="C41" s="155" t="s">
        <v>481</v>
      </c>
      <c r="D41" s="336">
        <v>50</v>
      </c>
    </row>
    <row r="42" spans="1:4" x14ac:dyDescent="0.35">
      <c r="A42" s="155" t="s">
        <v>519</v>
      </c>
      <c r="B42" s="155" t="s">
        <v>525</v>
      </c>
      <c r="C42" s="155" t="s">
        <v>526</v>
      </c>
      <c r="D42" s="336">
        <v>90</v>
      </c>
    </row>
    <row r="43" spans="1:4" x14ac:dyDescent="0.35">
      <c r="A43" s="335" t="s">
        <v>66</v>
      </c>
    </row>
    <row r="44" spans="1:4" x14ac:dyDescent="0.35">
      <c r="A44" s="154" t="s">
        <v>481</v>
      </c>
      <c r="B44" s="154" t="s">
        <v>482</v>
      </c>
      <c r="C44" s="154" t="s">
        <v>483</v>
      </c>
      <c r="D44" s="154" t="s">
        <v>484</v>
      </c>
    </row>
    <row r="45" spans="1:4" x14ac:dyDescent="0.35">
      <c r="A45" s="155" t="s">
        <v>527</v>
      </c>
      <c r="B45" s="155" t="s">
        <v>528</v>
      </c>
      <c r="C45" s="155" t="s">
        <v>489</v>
      </c>
      <c r="D45" s="336">
        <v>190</v>
      </c>
    </row>
    <row r="46" spans="1:4" x14ac:dyDescent="0.35">
      <c r="A46" s="155" t="s">
        <v>527</v>
      </c>
      <c r="B46" s="155" t="s">
        <v>529</v>
      </c>
      <c r="C46" s="155" t="s">
        <v>489</v>
      </c>
      <c r="D46" s="336">
        <v>50</v>
      </c>
    </row>
    <row r="48" spans="1:4" ht="22" customHeight="1" x14ac:dyDescent="0.35">
      <c r="A48" s="403"/>
    </row>
  </sheetData>
  <hyperlinks>
    <hyperlink ref="G1" location="'สารบัญ'!A1" display="🏠 สารบัญ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31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6" customWidth="1"/>
    <col min="2" max="2" width="42.90625" customWidth="1"/>
    <col min="3" max="3" width="10" customWidth="1"/>
    <col min="4" max="4" width="11.08984375" customWidth="1"/>
    <col min="5" max="5" width="41.08984375" customWidth="1"/>
    <col min="7" max="7" width="13" customWidth="1"/>
  </cols>
  <sheetData>
    <row r="1" spans="1:8" ht="15.5" x14ac:dyDescent="0.35">
      <c r="A1" s="417" t="s">
        <v>530</v>
      </c>
      <c r="B1" s="411"/>
      <c r="C1" s="411"/>
      <c r="D1" s="411"/>
      <c r="E1" s="411"/>
      <c r="F1" s="319"/>
      <c r="G1" s="388" t="s">
        <v>78</v>
      </c>
      <c r="H1" s="389"/>
    </row>
    <row r="2" spans="1:8" x14ac:dyDescent="0.35">
      <c r="A2" s="125" t="s">
        <v>531</v>
      </c>
      <c r="B2" s="125" t="s">
        <v>532</v>
      </c>
      <c r="C2" s="125" t="s">
        <v>533</v>
      </c>
      <c r="D2" s="125" t="s">
        <v>534</v>
      </c>
      <c r="E2" s="125" t="s">
        <v>535</v>
      </c>
    </row>
    <row r="3" spans="1:8" x14ac:dyDescent="0.35">
      <c r="A3" s="134" t="s">
        <v>536</v>
      </c>
      <c r="B3" s="134" t="s">
        <v>537</v>
      </c>
      <c r="C3" s="135">
        <v>4500</v>
      </c>
      <c r="D3" s="135">
        <v>1700</v>
      </c>
      <c r="E3" s="134"/>
    </row>
    <row r="4" spans="1:8" x14ac:dyDescent="0.35">
      <c r="A4" s="126"/>
      <c r="B4" s="126" t="s">
        <v>538</v>
      </c>
      <c r="C4" s="136">
        <v>12500</v>
      </c>
      <c r="D4" s="136">
        <v>1700</v>
      </c>
      <c r="E4" s="126"/>
    </row>
    <row r="5" spans="1:8" x14ac:dyDescent="0.35">
      <c r="A5" s="134" t="s">
        <v>539</v>
      </c>
      <c r="B5" s="134" t="s">
        <v>540</v>
      </c>
      <c r="C5" s="135">
        <v>4500</v>
      </c>
      <c r="D5" s="135">
        <v>1700</v>
      </c>
      <c r="E5" s="134"/>
    </row>
    <row r="6" spans="1:8" x14ac:dyDescent="0.35">
      <c r="A6" s="126"/>
      <c r="B6" s="126" t="s">
        <v>541</v>
      </c>
      <c r="C6" s="136">
        <v>12500</v>
      </c>
      <c r="D6" s="136">
        <v>1700</v>
      </c>
      <c r="E6" s="126"/>
    </row>
    <row r="7" spans="1:8" x14ac:dyDescent="0.35">
      <c r="A7" s="126"/>
      <c r="B7" s="126" t="s">
        <v>542</v>
      </c>
      <c r="C7" s="136">
        <v>13325</v>
      </c>
      <c r="D7" s="136">
        <v>1700</v>
      </c>
      <c r="E7" s="126" t="s">
        <v>543</v>
      </c>
    </row>
    <row r="8" spans="1:8" x14ac:dyDescent="0.35">
      <c r="A8" s="126"/>
      <c r="B8" s="126" t="s">
        <v>544</v>
      </c>
      <c r="C8" s="136">
        <v>340</v>
      </c>
      <c r="D8" s="136"/>
      <c r="E8" s="126" t="s">
        <v>545</v>
      </c>
    </row>
    <row r="9" spans="1:8" x14ac:dyDescent="0.35">
      <c r="A9" s="126"/>
      <c r="B9" s="126" t="s">
        <v>546</v>
      </c>
      <c r="C9" s="136">
        <v>1100</v>
      </c>
      <c r="D9" s="136"/>
      <c r="E9" s="126" t="s">
        <v>547</v>
      </c>
    </row>
    <row r="10" spans="1:8" x14ac:dyDescent="0.35">
      <c r="A10" s="134" t="s">
        <v>548</v>
      </c>
      <c r="B10" s="134" t="s">
        <v>549</v>
      </c>
      <c r="C10" s="135">
        <v>1800</v>
      </c>
      <c r="D10" s="135"/>
      <c r="E10" s="134" t="s">
        <v>550</v>
      </c>
    </row>
    <row r="11" spans="1:8" x14ac:dyDescent="0.35">
      <c r="A11" s="134" t="s">
        <v>551</v>
      </c>
      <c r="B11" s="134" t="s">
        <v>552</v>
      </c>
      <c r="C11" s="135">
        <v>1800</v>
      </c>
      <c r="D11" s="135"/>
      <c r="E11" s="134" t="s">
        <v>553</v>
      </c>
    </row>
    <row r="12" spans="1:8" x14ac:dyDescent="0.35">
      <c r="A12" s="134" t="s">
        <v>466</v>
      </c>
      <c r="B12" s="134" t="s">
        <v>554</v>
      </c>
      <c r="C12" s="135">
        <v>3575</v>
      </c>
      <c r="D12" s="135">
        <v>1700</v>
      </c>
      <c r="E12" s="134" t="s">
        <v>555</v>
      </c>
    </row>
    <row r="13" spans="1:8" x14ac:dyDescent="0.35">
      <c r="A13" s="126"/>
      <c r="B13" s="126" t="s">
        <v>556</v>
      </c>
      <c r="C13" s="136">
        <v>3725</v>
      </c>
      <c r="D13" s="136">
        <v>1700</v>
      </c>
      <c r="E13" s="126" t="s">
        <v>555</v>
      </c>
    </row>
    <row r="14" spans="1:8" x14ac:dyDescent="0.35">
      <c r="A14" s="126"/>
      <c r="B14" s="126" t="s">
        <v>557</v>
      </c>
      <c r="C14" s="136">
        <v>1900</v>
      </c>
      <c r="D14" s="136">
        <v>1700</v>
      </c>
      <c r="E14" s="126"/>
    </row>
    <row r="15" spans="1:8" x14ac:dyDescent="0.35">
      <c r="A15" s="126"/>
      <c r="B15" s="126" t="s">
        <v>558</v>
      </c>
      <c r="C15" s="136">
        <v>2600</v>
      </c>
      <c r="D15" s="136">
        <v>1700</v>
      </c>
      <c r="E15" s="126"/>
    </row>
    <row r="16" spans="1:8" x14ac:dyDescent="0.35">
      <c r="A16" s="126"/>
      <c r="B16" s="126" t="s">
        <v>559</v>
      </c>
      <c r="C16" s="136">
        <v>600</v>
      </c>
      <c r="D16" s="136"/>
      <c r="E16" s="126" t="s">
        <v>560</v>
      </c>
    </row>
    <row r="17" spans="1:5" x14ac:dyDescent="0.35">
      <c r="A17" s="134" t="s">
        <v>561</v>
      </c>
      <c r="B17" s="134" t="s">
        <v>562</v>
      </c>
      <c r="C17" s="135">
        <v>13480</v>
      </c>
      <c r="D17" s="135">
        <v>1700</v>
      </c>
      <c r="E17" s="134" t="s">
        <v>465</v>
      </c>
    </row>
    <row r="18" spans="1:5" x14ac:dyDescent="0.35">
      <c r="A18" s="126"/>
      <c r="B18" s="126" t="s">
        <v>563</v>
      </c>
      <c r="C18" s="136">
        <v>75</v>
      </c>
      <c r="D18" s="136"/>
      <c r="E18" s="126" t="s">
        <v>564</v>
      </c>
    </row>
    <row r="19" spans="1:5" x14ac:dyDescent="0.35">
      <c r="A19" s="126"/>
      <c r="B19" s="126" t="s">
        <v>565</v>
      </c>
      <c r="C19" s="136">
        <v>6500</v>
      </c>
      <c r="D19" s="136"/>
      <c r="E19" s="126" t="s">
        <v>566</v>
      </c>
    </row>
    <row r="20" spans="1:5" x14ac:dyDescent="0.35">
      <c r="A20" s="126"/>
      <c r="B20" s="126" t="s">
        <v>567</v>
      </c>
      <c r="C20" s="136">
        <v>8000</v>
      </c>
      <c r="D20" s="136"/>
      <c r="E20" s="126" t="s">
        <v>550</v>
      </c>
    </row>
    <row r="21" spans="1:5" x14ac:dyDescent="0.35">
      <c r="A21" s="126"/>
      <c r="B21" s="126" t="s">
        <v>568</v>
      </c>
      <c r="C21" s="136">
        <v>1000</v>
      </c>
      <c r="D21" s="136"/>
      <c r="E21" s="126" t="s">
        <v>569</v>
      </c>
    </row>
    <row r="22" spans="1:5" x14ac:dyDescent="0.35">
      <c r="A22" s="126"/>
      <c r="B22" s="126" t="s">
        <v>570</v>
      </c>
      <c r="C22" s="136">
        <v>950</v>
      </c>
      <c r="D22" s="136"/>
      <c r="E22" s="126" t="s">
        <v>571</v>
      </c>
    </row>
    <row r="23" spans="1:5" x14ac:dyDescent="0.35">
      <c r="A23" s="126"/>
      <c r="B23" s="126" t="s">
        <v>572</v>
      </c>
      <c r="C23" s="136">
        <v>1000</v>
      </c>
      <c r="D23" s="136"/>
      <c r="E23" s="126" t="s">
        <v>547</v>
      </c>
    </row>
    <row r="24" spans="1:5" x14ac:dyDescent="0.35">
      <c r="A24" s="126"/>
      <c r="B24" s="126" t="s">
        <v>573</v>
      </c>
      <c r="C24" s="136">
        <v>9000</v>
      </c>
      <c r="D24" s="136"/>
      <c r="E24" s="126" t="s">
        <v>547</v>
      </c>
    </row>
    <row r="25" spans="1:5" x14ac:dyDescent="0.35">
      <c r="A25" s="134" t="s">
        <v>88</v>
      </c>
      <c r="B25" s="134" t="s">
        <v>574</v>
      </c>
      <c r="C25" s="135">
        <v>6900</v>
      </c>
      <c r="D25" s="135">
        <v>1700</v>
      </c>
      <c r="E25" s="134" t="s">
        <v>575</v>
      </c>
    </row>
    <row r="26" spans="1:5" x14ac:dyDescent="0.35">
      <c r="A26" s="126"/>
      <c r="B26" s="126" t="s">
        <v>576</v>
      </c>
      <c r="C26" s="136">
        <v>2250</v>
      </c>
      <c r="D26" s="136"/>
      <c r="E26" s="126" t="s">
        <v>577</v>
      </c>
    </row>
    <row r="27" spans="1:5" x14ac:dyDescent="0.35">
      <c r="A27" s="126"/>
      <c r="B27" s="126" t="s">
        <v>578</v>
      </c>
      <c r="C27" s="136">
        <v>1100</v>
      </c>
      <c r="D27" s="136"/>
      <c r="E27" s="126" t="s">
        <v>579</v>
      </c>
    </row>
    <row r="28" spans="1:5" x14ac:dyDescent="0.35">
      <c r="A28" s="126"/>
      <c r="B28" s="126" t="s">
        <v>580</v>
      </c>
      <c r="C28" s="136">
        <v>2750</v>
      </c>
      <c r="D28" s="136"/>
      <c r="E28" s="126" t="s">
        <v>581</v>
      </c>
    </row>
    <row r="29" spans="1:5" x14ac:dyDescent="0.35">
      <c r="A29" s="126"/>
      <c r="B29" s="126" t="s">
        <v>582</v>
      </c>
      <c r="C29" s="136">
        <v>100</v>
      </c>
      <c r="D29" s="136"/>
      <c r="E29" s="126" t="s">
        <v>581</v>
      </c>
    </row>
    <row r="31" spans="1:5" ht="22" customHeight="1" x14ac:dyDescent="0.35">
      <c r="A31" s="403"/>
    </row>
  </sheetData>
  <mergeCells count="1">
    <mergeCell ref="A1:E1"/>
  </mergeCells>
  <hyperlinks>
    <hyperlink ref="G1" location="'สารบัญ'!A1" display="🏠 สารบัญ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24"/>
  <sheetViews>
    <sheetView workbookViewId="0"/>
  </sheetViews>
  <sheetFormatPr defaultRowHeight="14.5" x14ac:dyDescent="0.35"/>
  <cols>
    <col min="1" max="1" width="46" customWidth="1"/>
    <col min="2" max="2" width="32" customWidth="1"/>
    <col min="3" max="3" width="18" customWidth="1"/>
    <col min="4" max="4" width="15.7265625" customWidth="1"/>
    <col min="5" max="5" width="27.7265625" customWidth="1"/>
    <col min="6" max="6" width="13.08984375" customWidth="1"/>
    <col min="7" max="7" width="46" customWidth="1"/>
    <col min="8" max="8" width="8" customWidth="1"/>
    <col min="9" max="9" width="26.26953125" customWidth="1"/>
  </cols>
  <sheetData>
    <row r="1" spans="1:9" ht="15.5" x14ac:dyDescent="0.35">
      <c r="A1" s="422" t="s">
        <v>583</v>
      </c>
      <c r="B1" s="411"/>
      <c r="C1" s="411"/>
      <c r="D1" s="411"/>
      <c r="E1" s="411"/>
      <c r="F1" s="388" t="s">
        <v>78</v>
      </c>
      <c r="G1" s="392" t="s">
        <v>584</v>
      </c>
    </row>
    <row r="2" spans="1:9" ht="17" x14ac:dyDescent="0.35">
      <c r="A2" s="421" t="s">
        <v>585</v>
      </c>
      <c r="B2" s="411"/>
      <c r="C2" s="411"/>
      <c r="D2" s="411"/>
      <c r="E2" s="411"/>
      <c r="G2" s="25" t="s">
        <v>586</v>
      </c>
      <c r="H2" s="170">
        <v>180</v>
      </c>
    </row>
    <row r="3" spans="1:9" ht="17" x14ac:dyDescent="0.35">
      <c r="B3" s="171" t="s">
        <v>482</v>
      </c>
      <c r="C3" s="171" t="s">
        <v>483</v>
      </c>
      <c r="D3" s="171" t="s">
        <v>484</v>
      </c>
      <c r="E3" s="171" t="s">
        <v>587</v>
      </c>
      <c r="F3" s="25" t="s">
        <v>588</v>
      </c>
      <c r="G3" s="25"/>
      <c r="H3" s="172"/>
      <c r="I3" s="173" t="s">
        <v>589</v>
      </c>
    </row>
    <row r="4" spans="1:9" ht="15.5" x14ac:dyDescent="0.35">
      <c r="B4" s="174" t="s">
        <v>590</v>
      </c>
      <c r="C4" s="175" t="s">
        <v>489</v>
      </c>
      <c r="D4" s="176">
        <f>ROUND(F4*mult_mtong,0)</f>
        <v>1220</v>
      </c>
      <c r="E4" s="177" t="s">
        <v>591</v>
      </c>
      <c r="F4" s="30">
        <v>1220</v>
      </c>
      <c r="I4" s="178">
        <f>ROUND(F4/180,3)</f>
        <v>6.7779999999999996</v>
      </c>
    </row>
    <row r="5" spans="1:9" ht="15.5" x14ac:dyDescent="0.35">
      <c r="B5" s="174" t="s">
        <v>592</v>
      </c>
      <c r="C5" s="175" t="s">
        <v>489</v>
      </c>
      <c r="D5" s="176">
        <f>ROUND(F5*mult_mtong,0)</f>
        <v>770</v>
      </c>
      <c r="E5" s="177" t="s">
        <v>593</v>
      </c>
      <c r="F5" s="30">
        <v>770</v>
      </c>
      <c r="I5" s="178">
        <f>ROUND(F5/180,3)</f>
        <v>4.2779999999999996</v>
      </c>
    </row>
    <row r="6" spans="1:9" ht="15.5" x14ac:dyDescent="0.35">
      <c r="B6" s="174" t="s">
        <v>594</v>
      </c>
      <c r="C6" s="175" t="s">
        <v>489</v>
      </c>
      <c r="D6" s="176">
        <f>ROUND(F6*mult_mtong,0)</f>
        <v>393</v>
      </c>
      <c r="E6" s="177" t="s">
        <v>595</v>
      </c>
      <c r="F6" s="30">
        <v>393</v>
      </c>
      <c r="I6" s="178">
        <f>ROUND(F6/180,3)</f>
        <v>2.1829999999999998</v>
      </c>
    </row>
    <row r="7" spans="1:9" ht="15.5" x14ac:dyDescent="0.35">
      <c r="B7" s="174" t="s">
        <v>387</v>
      </c>
      <c r="C7" s="175" t="s">
        <v>489</v>
      </c>
      <c r="D7" s="176">
        <f>ROUND(F7*mult_mtong,0)</f>
        <v>140</v>
      </c>
      <c r="E7" s="177" t="s">
        <v>596</v>
      </c>
      <c r="F7" s="30">
        <v>140</v>
      </c>
      <c r="I7" s="178">
        <f>ROUND(F7/180,3)</f>
        <v>0.77800000000000002</v>
      </c>
    </row>
    <row r="8" spans="1:9" ht="15.5" x14ac:dyDescent="0.35">
      <c r="B8" s="174" t="s">
        <v>597</v>
      </c>
      <c r="C8" s="175" t="s">
        <v>489</v>
      </c>
      <c r="D8" s="176">
        <f>ROUND(F8*mult_mtong,0)</f>
        <v>140</v>
      </c>
      <c r="E8" s="177" t="s">
        <v>598</v>
      </c>
      <c r="F8" s="30">
        <v>140</v>
      </c>
      <c r="I8" s="178">
        <f>ROUND(F8/180,3)</f>
        <v>0.77800000000000002</v>
      </c>
    </row>
    <row r="9" spans="1:9" ht="15.5" x14ac:dyDescent="0.35">
      <c r="B9" s="174" t="s">
        <v>599</v>
      </c>
      <c r="C9" s="175" t="s">
        <v>489</v>
      </c>
      <c r="D9" s="179">
        <v>110</v>
      </c>
      <c r="E9" s="177" t="s">
        <v>600</v>
      </c>
      <c r="F9" s="30">
        <v>110</v>
      </c>
    </row>
    <row r="10" spans="1:9" ht="15.5" x14ac:dyDescent="0.35">
      <c r="B10" s="174" t="s">
        <v>601</v>
      </c>
      <c r="C10" s="175" t="s">
        <v>487</v>
      </c>
      <c r="D10" s="179">
        <v>15</v>
      </c>
      <c r="E10" s="177" t="s">
        <v>602</v>
      </c>
      <c r="F10" s="30">
        <v>15</v>
      </c>
    </row>
    <row r="11" spans="1:9" x14ac:dyDescent="0.35">
      <c r="B11" t="s">
        <v>603</v>
      </c>
      <c r="C11" t="s">
        <v>489</v>
      </c>
      <c r="D11">
        <f>ROUND(2208*mult_mtong,0)</f>
        <v>2208</v>
      </c>
      <c r="E11" t="s">
        <v>604</v>
      </c>
      <c r="F11">
        <v>2208</v>
      </c>
    </row>
    <row r="12" spans="1:9" ht="17" x14ac:dyDescent="0.35">
      <c r="A12" s="421" t="s">
        <v>605</v>
      </c>
      <c r="B12" s="411"/>
      <c r="C12" s="411"/>
      <c r="D12" s="411"/>
      <c r="E12" s="411"/>
    </row>
    <row r="13" spans="1:9" ht="17" x14ac:dyDescent="0.35">
      <c r="B13" s="171" t="s">
        <v>482</v>
      </c>
      <c r="C13" s="171" t="s">
        <v>483</v>
      </c>
      <c r="D13" s="171" t="s">
        <v>484</v>
      </c>
      <c r="E13" s="171" t="s">
        <v>587</v>
      </c>
    </row>
    <row r="14" spans="1:9" ht="15.5" x14ac:dyDescent="0.35">
      <c r="B14" s="174" t="s">
        <v>606</v>
      </c>
      <c r="C14" s="175" t="s">
        <v>607</v>
      </c>
      <c r="D14" s="176">
        <v>1540</v>
      </c>
      <c r="E14" s="177" t="s">
        <v>608</v>
      </c>
    </row>
    <row r="15" spans="1:9" ht="15.5" x14ac:dyDescent="0.35">
      <c r="B15" s="174" t="s">
        <v>609</v>
      </c>
      <c r="C15" s="175" t="s">
        <v>610</v>
      </c>
      <c r="D15" s="176">
        <v>245</v>
      </c>
      <c r="E15" s="177" t="s">
        <v>611</v>
      </c>
    </row>
    <row r="16" spans="1:9" ht="15.5" x14ac:dyDescent="0.35">
      <c r="B16" s="174" t="s">
        <v>612</v>
      </c>
      <c r="C16" s="175" t="s">
        <v>613</v>
      </c>
      <c r="D16" s="176">
        <v>4700</v>
      </c>
      <c r="E16" s="177" t="s">
        <v>614</v>
      </c>
    </row>
    <row r="17" spans="1:5" ht="15.5" x14ac:dyDescent="0.35">
      <c r="B17" s="174" t="s">
        <v>615</v>
      </c>
      <c r="C17" s="175" t="s">
        <v>510</v>
      </c>
      <c r="D17" s="176">
        <v>1200</v>
      </c>
      <c r="E17" s="177" t="s">
        <v>616</v>
      </c>
    </row>
    <row r="18" spans="1:5" ht="15.5" x14ac:dyDescent="0.35">
      <c r="B18" s="174" t="s">
        <v>617</v>
      </c>
      <c r="C18" s="175" t="s">
        <v>618</v>
      </c>
      <c r="D18" s="176">
        <v>420</v>
      </c>
      <c r="E18" s="177" t="s">
        <v>619</v>
      </c>
    </row>
    <row r="19" spans="1:5" ht="15.5" x14ac:dyDescent="0.35">
      <c r="B19" s="174" t="s">
        <v>620</v>
      </c>
      <c r="C19" s="175" t="s">
        <v>621</v>
      </c>
      <c r="D19" s="176">
        <v>2800</v>
      </c>
      <c r="E19" s="177" t="s">
        <v>622</v>
      </c>
    </row>
    <row r="20" spans="1:5" ht="15.5" x14ac:dyDescent="0.35">
      <c r="B20" s="174" t="s">
        <v>623</v>
      </c>
      <c r="C20" s="175" t="s">
        <v>621</v>
      </c>
      <c r="D20" s="176">
        <v>2100</v>
      </c>
      <c r="E20" s="177" t="s">
        <v>622</v>
      </c>
    </row>
    <row r="21" spans="1:5" ht="15.5" x14ac:dyDescent="0.35">
      <c r="B21" s="174" t="s">
        <v>624</v>
      </c>
      <c r="C21" s="175" t="s">
        <v>621</v>
      </c>
      <c r="D21" s="176">
        <v>2200</v>
      </c>
      <c r="E21" s="177" t="s">
        <v>608</v>
      </c>
    </row>
    <row r="22" spans="1:5" ht="15.5" x14ac:dyDescent="0.35">
      <c r="B22" s="174" t="s">
        <v>625</v>
      </c>
      <c r="C22" s="175" t="s">
        <v>621</v>
      </c>
      <c r="D22" s="176">
        <v>1065</v>
      </c>
      <c r="E22" s="177" t="s">
        <v>626</v>
      </c>
    </row>
    <row r="23" spans="1:5" ht="15.5" x14ac:dyDescent="0.35">
      <c r="B23" s="174" t="s">
        <v>627</v>
      </c>
      <c r="C23" s="175" t="s">
        <v>621</v>
      </c>
      <c r="D23" s="176">
        <v>1270</v>
      </c>
      <c r="E23" s="177" t="s">
        <v>626</v>
      </c>
    </row>
    <row r="24" spans="1:5" ht="15.5" x14ac:dyDescent="0.35">
      <c r="A24" s="404"/>
    </row>
  </sheetData>
  <mergeCells count="3">
    <mergeCell ref="A2:E2"/>
    <mergeCell ref="A1:E1"/>
    <mergeCell ref="A12:E12"/>
  </mergeCells>
  <hyperlinks>
    <hyperlink ref="F1" location="'สารบัญ'!A1" display="🏠 สารบัญ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K45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27.453125" customWidth="1"/>
    <col min="3" max="3" width="22.26953125" customWidth="1"/>
    <col min="4" max="4" width="32.26953125" customWidth="1"/>
    <col min="5" max="5" width="22.453125" customWidth="1"/>
    <col min="7" max="7" width="16.90625" customWidth="1"/>
    <col min="8" max="8" width="21.7265625" customWidth="1"/>
    <col min="9" max="9" width="16.26953125" customWidth="1"/>
    <col min="10" max="10" width="27.90625" customWidth="1"/>
    <col min="11" max="11" width="32.7265625" customWidth="1"/>
  </cols>
  <sheetData>
    <row r="1" spans="1:11" ht="24" customHeight="1" x14ac:dyDescent="0.35">
      <c r="A1" s="423" t="s">
        <v>628</v>
      </c>
      <c r="B1" s="411"/>
      <c r="C1" s="411"/>
      <c r="D1" s="411"/>
      <c r="E1" s="411"/>
      <c r="F1" s="319"/>
      <c r="G1" s="388" t="s">
        <v>78</v>
      </c>
      <c r="H1" s="389"/>
    </row>
    <row r="3" spans="1:11" ht="15" customHeight="1" x14ac:dyDescent="0.35">
      <c r="A3" s="30" t="s">
        <v>629</v>
      </c>
      <c r="B3" s="27" t="s">
        <v>456</v>
      </c>
    </row>
    <row r="4" spans="1:11" ht="15" customHeight="1" x14ac:dyDescent="0.35">
      <c r="A4" s="30" t="s">
        <v>630</v>
      </c>
      <c r="B4" s="27">
        <v>5</v>
      </c>
    </row>
    <row r="5" spans="1:11" ht="15" customHeight="1" x14ac:dyDescent="0.35">
      <c r="A5" s="25" t="s">
        <v>631</v>
      </c>
      <c r="B5" s="121">
        <f>MAX(0,VLOOKUP(B3,$A$12:$E$27,2,0)+VLOOKUP(B3,$A$12:$E$27,3,0)*B4)</f>
        <v>429</v>
      </c>
    </row>
    <row r="6" spans="1:11" ht="15" customHeight="1" x14ac:dyDescent="0.35">
      <c r="A6" s="25" t="s">
        <v>632</v>
      </c>
      <c r="B6" s="121">
        <f>MAX(0,VLOOKUP(B3,$A$12:$E$27,4,0)+VLOOKUP(B3,$A$12:$E$27,5,0)*B4)</f>
        <v>429</v>
      </c>
    </row>
    <row r="7" spans="1:11" ht="15" customHeight="1" x14ac:dyDescent="0.35">
      <c r="A7" s="25" t="s">
        <v>633</v>
      </c>
      <c r="B7" s="122">
        <f>B5+B6</f>
        <v>858</v>
      </c>
    </row>
    <row r="10" spans="1:11" ht="15" customHeight="1" x14ac:dyDescent="0.35">
      <c r="A10" s="64" t="s">
        <v>634</v>
      </c>
    </row>
    <row r="11" spans="1:11" ht="15" customHeight="1" x14ac:dyDescent="0.35">
      <c r="A11" s="76" t="s">
        <v>635</v>
      </c>
      <c r="B11" s="76" t="s">
        <v>636</v>
      </c>
      <c r="C11" s="76" t="s">
        <v>637</v>
      </c>
      <c r="D11" s="76" t="s">
        <v>638</v>
      </c>
      <c r="E11" s="76" t="s">
        <v>639</v>
      </c>
      <c r="G11" s="25" t="s">
        <v>640</v>
      </c>
      <c r="H11" s="25" t="s">
        <v>641</v>
      </c>
      <c r="I11" s="25" t="s">
        <v>642</v>
      </c>
      <c r="J11" s="25" t="s">
        <v>643</v>
      </c>
      <c r="K11" s="25" t="s">
        <v>644</v>
      </c>
    </row>
    <row r="12" spans="1:11" ht="15" customHeight="1" x14ac:dyDescent="0.35">
      <c r="A12" s="57" t="s">
        <v>456</v>
      </c>
      <c r="B12" s="57">
        <f t="shared" ref="B12:B19" si="0">G12*I12</f>
        <v>352</v>
      </c>
      <c r="C12" s="57">
        <f t="shared" ref="C12:C28" si="1">J12*I12</f>
        <v>15.399999999999999</v>
      </c>
      <c r="D12" s="57">
        <f t="shared" ref="D12:D19" si="2">H12*I12</f>
        <v>352</v>
      </c>
      <c r="E12" s="57">
        <f t="shared" ref="E12:E28" si="3">K12*I12</f>
        <v>15.399999999999999</v>
      </c>
      <c r="G12" s="193">
        <v>4</v>
      </c>
      <c r="H12" s="193">
        <v>4</v>
      </c>
      <c r="I12" s="193">
        <v>88</v>
      </c>
      <c r="J12" s="193">
        <v>0.17499999999999999</v>
      </c>
      <c r="K12" s="193">
        <v>0.17499999999999999</v>
      </c>
    </row>
    <row r="13" spans="1:11" ht="15" customHeight="1" x14ac:dyDescent="0.35">
      <c r="A13" s="57" t="s">
        <v>459</v>
      </c>
      <c r="B13" s="57">
        <f t="shared" si="0"/>
        <v>528</v>
      </c>
      <c r="C13" s="57">
        <f t="shared" si="1"/>
        <v>15.399999999999999</v>
      </c>
      <c r="D13" s="57">
        <f t="shared" si="2"/>
        <v>440</v>
      </c>
      <c r="E13" s="57">
        <f t="shared" si="3"/>
        <v>15.399999999999999</v>
      </c>
      <c r="G13" s="193">
        <v>6</v>
      </c>
      <c r="H13" s="193">
        <v>5</v>
      </c>
      <c r="I13" s="193">
        <v>88</v>
      </c>
      <c r="J13" s="193">
        <v>0.17499999999999999</v>
      </c>
      <c r="K13" s="193">
        <v>0.17499999999999999</v>
      </c>
    </row>
    <row r="14" spans="1:11" ht="15" customHeight="1" x14ac:dyDescent="0.35">
      <c r="A14" s="57" t="s">
        <v>88</v>
      </c>
      <c r="B14" s="57">
        <f t="shared" si="0"/>
        <v>704</v>
      </c>
      <c r="C14" s="57">
        <f t="shared" si="1"/>
        <v>15.399999999999999</v>
      </c>
      <c r="D14" s="57">
        <f t="shared" si="2"/>
        <v>704</v>
      </c>
      <c r="E14" s="57">
        <f t="shared" si="3"/>
        <v>15.399999999999999</v>
      </c>
      <c r="G14" s="193">
        <v>8</v>
      </c>
      <c r="H14" s="193">
        <v>8</v>
      </c>
      <c r="I14" s="193">
        <v>88</v>
      </c>
      <c r="J14" s="193">
        <v>0.17499999999999999</v>
      </c>
      <c r="K14" s="193">
        <v>0.17499999999999999</v>
      </c>
    </row>
    <row r="15" spans="1:11" ht="15" customHeight="1" x14ac:dyDescent="0.35">
      <c r="A15" s="57" t="s">
        <v>89</v>
      </c>
      <c r="B15" s="57">
        <f t="shared" si="0"/>
        <v>968</v>
      </c>
      <c r="C15" s="57">
        <f t="shared" si="1"/>
        <v>15.399999999999999</v>
      </c>
      <c r="D15" s="57">
        <f t="shared" si="2"/>
        <v>440</v>
      </c>
      <c r="E15" s="57">
        <f t="shared" si="3"/>
        <v>15.399999999999999</v>
      </c>
      <c r="G15" s="193">
        <v>11</v>
      </c>
      <c r="H15" s="193">
        <v>5</v>
      </c>
      <c r="I15" s="193">
        <v>88</v>
      </c>
      <c r="J15" s="193">
        <v>0.17499999999999999</v>
      </c>
      <c r="K15" s="193">
        <v>0.17499999999999999</v>
      </c>
    </row>
    <row r="16" spans="1:11" ht="15" customHeight="1" x14ac:dyDescent="0.35">
      <c r="A16" s="57" t="s">
        <v>463</v>
      </c>
      <c r="B16" s="57">
        <f t="shared" si="0"/>
        <v>528</v>
      </c>
      <c r="C16" s="57">
        <f t="shared" si="1"/>
        <v>15.399999999999999</v>
      </c>
      <c r="D16" s="57">
        <f t="shared" si="2"/>
        <v>440</v>
      </c>
      <c r="E16" s="57">
        <f t="shared" si="3"/>
        <v>15.399999999999999</v>
      </c>
      <c r="G16" s="193">
        <v>6</v>
      </c>
      <c r="H16" s="193">
        <v>5</v>
      </c>
      <c r="I16" s="193">
        <v>88</v>
      </c>
      <c r="J16" s="193">
        <v>0.17499999999999999</v>
      </c>
      <c r="K16" s="193">
        <v>0.17499999999999999</v>
      </c>
    </row>
    <row r="17" spans="1:11" ht="15" customHeight="1" x14ac:dyDescent="0.35">
      <c r="A17" s="57" t="s">
        <v>645</v>
      </c>
      <c r="B17" s="57">
        <f t="shared" si="0"/>
        <v>528</v>
      </c>
      <c r="C17" s="57">
        <f t="shared" si="1"/>
        <v>15.399999999999999</v>
      </c>
      <c r="D17" s="57">
        <f t="shared" si="2"/>
        <v>264</v>
      </c>
      <c r="E17" s="57">
        <f t="shared" si="3"/>
        <v>15.399999999999999</v>
      </c>
      <c r="G17" s="193">
        <v>6</v>
      </c>
      <c r="H17" s="193">
        <v>3</v>
      </c>
      <c r="I17" s="193">
        <v>88</v>
      </c>
      <c r="J17" s="193">
        <v>0.17499999999999999</v>
      </c>
      <c r="K17" s="193">
        <v>0.17499999999999999</v>
      </c>
    </row>
    <row r="18" spans="1:11" ht="15" customHeight="1" x14ac:dyDescent="0.35">
      <c r="A18" s="57" t="s">
        <v>646</v>
      </c>
      <c r="B18" s="57">
        <f t="shared" si="0"/>
        <v>440</v>
      </c>
      <c r="C18" s="57">
        <f t="shared" si="1"/>
        <v>0</v>
      </c>
      <c r="D18" s="57">
        <f t="shared" si="2"/>
        <v>176</v>
      </c>
      <c r="E18" s="57">
        <f t="shared" si="3"/>
        <v>0</v>
      </c>
      <c r="G18" s="193">
        <v>5</v>
      </c>
      <c r="H18" s="193">
        <v>2</v>
      </c>
      <c r="I18" s="193">
        <v>88</v>
      </c>
      <c r="J18" s="193">
        <v>0</v>
      </c>
      <c r="K18" s="193">
        <v>0</v>
      </c>
    </row>
    <row r="19" spans="1:11" ht="15" customHeight="1" x14ac:dyDescent="0.35">
      <c r="A19" s="57" t="s">
        <v>647</v>
      </c>
      <c r="B19" s="57">
        <f t="shared" si="0"/>
        <v>352</v>
      </c>
      <c r="C19" s="57">
        <f t="shared" si="1"/>
        <v>15.399999999999999</v>
      </c>
      <c r="D19" s="57">
        <f t="shared" si="2"/>
        <v>352</v>
      </c>
      <c r="E19" s="57">
        <f t="shared" si="3"/>
        <v>15.399999999999999</v>
      </c>
      <c r="G19" s="193">
        <v>4</v>
      </c>
      <c r="H19" s="193">
        <v>4</v>
      </c>
      <c r="I19" s="193">
        <v>88</v>
      </c>
      <c r="J19" s="193">
        <v>0.17499999999999999</v>
      </c>
      <c r="K19" s="193">
        <v>0.17499999999999999</v>
      </c>
    </row>
    <row r="20" spans="1:11" ht="15" customHeight="1" x14ac:dyDescent="0.35">
      <c r="A20" s="355" t="s">
        <v>648</v>
      </c>
      <c r="B20" s="386">
        <f>ROUND(G20*I20,0)</f>
        <v>528</v>
      </c>
      <c r="C20" s="373">
        <f t="shared" si="1"/>
        <v>15.399999999999999</v>
      </c>
      <c r="D20" s="386">
        <f>ROUND(H20*I20,0)</f>
        <v>528</v>
      </c>
      <c r="E20" s="373">
        <f t="shared" si="3"/>
        <v>15.399999999999999</v>
      </c>
      <c r="F20" s="356"/>
      <c r="G20" s="385">
        <v>6</v>
      </c>
      <c r="H20" s="385">
        <v>6</v>
      </c>
      <c r="I20" s="356">
        <v>88</v>
      </c>
      <c r="J20" s="193">
        <v>0.17499999999999999</v>
      </c>
      <c r="K20" s="193">
        <v>0.17499999999999999</v>
      </c>
    </row>
    <row r="21" spans="1:11" x14ac:dyDescent="0.35">
      <c r="A21" t="s">
        <v>471</v>
      </c>
      <c r="B21">
        <f>G21*I21</f>
        <v>176</v>
      </c>
      <c r="C21">
        <f t="shared" si="1"/>
        <v>15.399999999999999</v>
      </c>
      <c r="D21">
        <f>H21*I21</f>
        <v>88</v>
      </c>
      <c r="E21">
        <f t="shared" si="3"/>
        <v>15.399999999999999</v>
      </c>
      <c r="G21" s="193">
        <v>2</v>
      </c>
      <c r="H21" s="193">
        <v>1</v>
      </c>
      <c r="I21" s="193">
        <v>88</v>
      </c>
      <c r="J21" s="193">
        <v>0.17499999999999999</v>
      </c>
      <c r="K21" s="193">
        <v>0.17499999999999999</v>
      </c>
    </row>
    <row r="22" spans="1:11" x14ac:dyDescent="0.35">
      <c r="A22" t="s">
        <v>472</v>
      </c>
      <c r="B22">
        <f>G22*I22</f>
        <v>616</v>
      </c>
      <c r="C22">
        <f t="shared" si="1"/>
        <v>15.399999999999999</v>
      </c>
      <c r="D22">
        <f>H22*I22</f>
        <v>264</v>
      </c>
      <c r="E22">
        <f t="shared" si="3"/>
        <v>15.399999999999999</v>
      </c>
      <c r="G22" s="193">
        <v>7</v>
      </c>
      <c r="H22" s="193">
        <v>3</v>
      </c>
      <c r="I22" s="193">
        <v>88</v>
      </c>
      <c r="J22" s="193">
        <v>0.17499999999999999</v>
      </c>
      <c r="K22" s="193">
        <v>0.17499999999999999</v>
      </c>
    </row>
    <row r="23" spans="1:11" x14ac:dyDescent="0.35">
      <c r="A23" t="s">
        <v>464</v>
      </c>
      <c r="B23">
        <f>G23*I23</f>
        <v>704</v>
      </c>
      <c r="C23">
        <f t="shared" si="1"/>
        <v>15.399999999999999</v>
      </c>
      <c r="D23">
        <f>H23*I23</f>
        <v>528</v>
      </c>
      <c r="E23">
        <f t="shared" si="3"/>
        <v>15.399999999999999</v>
      </c>
      <c r="G23" s="193">
        <v>8</v>
      </c>
      <c r="H23" s="193">
        <v>6</v>
      </c>
      <c r="I23" s="193">
        <v>88</v>
      </c>
      <c r="J23" s="193">
        <v>0.17499999999999999</v>
      </c>
      <c r="K23" s="193">
        <v>0.17499999999999999</v>
      </c>
    </row>
    <row r="24" spans="1:11" x14ac:dyDescent="0.35">
      <c r="A24" t="s">
        <v>649</v>
      </c>
      <c r="B24">
        <f>G24*I24</f>
        <v>352</v>
      </c>
      <c r="C24">
        <f t="shared" si="1"/>
        <v>0</v>
      </c>
      <c r="D24">
        <f>H24*I24</f>
        <v>176</v>
      </c>
      <c r="E24">
        <f t="shared" si="3"/>
        <v>0</v>
      </c>
      <c r="G24" s="193">
        <v>4</v>
      </c>
      <c r="H24" s="193">
        <v>2</v>
      </c>
      <c r="I24" s="193">
        <v>88</v>
      </c>
      <c r="J24" s="193">
        <v>0</v>
      </c>
      <c r="K24" s="193">
        <v>0</v>
      </c>
    </row>
    <row r="25" spans="1:11" x14ac:dyDescent="0.35">
      <c r="A25" t="s">
        <v>650</v>
      </c>
      <c r="B25">
        <f>G25*I25</f>
        <v>88</v>
      </c>
      <c r="C25">
        <f t="shared" si="1"/>
        <v>15.399999999999999</v>
      </c>
      <c r="D25">
        <f>H25*I25</f>
        <v>22</v>
      </c>
      <c r="E25">
        <f t="shared" si="3"/>
        <v>15.399999999999999</v>
      </c>
      <c r="G25" s="193">
        <v>1</v>
      </c>
      <c r="H25" s="193">
        <v>0.25</v>
      </c>
      <c r="I25" s="193">
        <v>88</v>
      </c>
      <c r="J25" s="193">
        <v>0.17499999999999999</v>
      </c>
      <c r="K25" s="193">
        <v>0.17499999999999999</v>
      </c>
    </row>
    <row r="26" spans="1:11" x14ac:dyDescent="0.35">
      <c r="A26" s="356" t="s">
        <v>651</v>
      </c>
      <c r="B26" s="387">
        <f>ROUND(G26*I26,0)</f>
        <v>704</v>
      </c>
      <c r="C26" s="374">
        <f t="shared" si="1"/>
        <v>15.399999999999999</v>
      </c>
      <c r="D26" s="387">
        <f>ROUND(H26*I26,0)</f>
        <v>528</v>
      </c>
      <c r="E26" s="374">
        <f t="shared" si="3"/>
        <v>15.399999999999999</v>
      </c>
      <c r="F26" s="356"/>
      <c r="G26" s="385">
        <v>8</v>
      </c>
      <c r="H26" s="385">
        <v>6</v>
      </c>
      <c r="I26" s="356">
        <v>88</v>
      </c>
      <c r="J26" s="193">
        <v>0.17499999999999999</v>
      </c>
      <c r="K26" s="193">
        <v>0.17499999999999999</v>
      </c>
    </row>
    <row r="27" spans="1:11" x14ac:dyDescent="0.35">
      <c r="A27" s="356" t="s">
        <v>539</v>
      </c>
      <c r="B27" s="387">
        <f>ROUND(G27*I27,0)</f>
        <v>704</v>
      </c>
      <c r="C27" s="374">
        <f t="shared" si="1"/>
        <v>15.399999999999999</v>
      </c>
      <c r="D27" s="387">
        <f>ROUND(H27*I27,0)</f>
        <v>616</v>
      </c>
      <c r="E27" s="374">
        <f t="shared" si="3"/>
        <v>15.399999999999999</v>
      </c>
      <c r="F27" s="356"/>
      <c r="G27" s="385">
        <v>8</v>
      </c>
      <c r="H27" s="385">
        <v>7</v>
      </c>
      <c r="I27" s="356">
        <v>88</v>
      </c>
      <c r="J27" s="193">
        <v>0.17499999999999999</v>
      </c>
      <c r="K27" s="193">
        <v>0.17499999999999999</v>
      </c>
    </row>
    <row r="28" spans="1:11" x14ac:dyDescent="0.35">
      <c r="A28" t="s">
        <v>474</v>
      </c>
      <c r="B28">
        <f>G28*I28</f>
        <v>528</v>
      </c>
      <c r="C28">
        <f t="shared" si="1"/>
        <v>15.399999999999999</v>
      </c>
      <c r="D28">
        <f>H28*I28</f>
        <v>704</v>
      </c>
      <c r="E28">
        <f t="shared" si="3"/>
        <v>15.399999999999999</v>
      </c>
      <c r="G28">
        <v>6</v>
      </c>
      <c r="H28">
        <v>8</v>
      </c>
      <c r="I28">
        <v>88</v>
      </c>
      <c r="J28">
        <v>0.17499999999999999</v>
      </c>
      <c r="K28">
        <v>0.17499999999999999</v>
      </c>
    </row>
    <row r="30" spans="1:11" x14ac:dyDescent="0.35">
      <c r="A30" s="330" t="s">
        <v>652</v>
      </c>
    </row>
    <row r="31" spans="1:11" x14ac:dyDescent="0.35">
      <c r="A31" s="337" t="s">
        <v>481</v>
      </c>
      <c r="B31" s="337" t="s">
        <v>653</v>
      </c>
      <c r="C31" s="337" t="s">
        <v>654</v>
      </c>
      <c r="D31" s="337" t="s">
        <v>483</v>
      </c>
    </row>
    <row r="32" spans="1:11" x14ac:dyDescent="0.35">
      <c r="A32" s="155" t="s">
        <v>655</v>
      </c>
      <c r="B32" s="338" t="s">
        <v>656</v>
      </c>
      <c r="C32" s="332">
        <v>280</v>
      </c>
      <c r="D32" s="155" t="s">
        <v>657</v>
      </c>
    </row>
    <row r="33" spans="1:5" x14ac:dyDescent="0.35">
      <c r="A33" s="155" t="s">
        <v>527</v>
      </c>
      <c r="B33" s="338" t="s">
        <v>656</v>
      </c>
      <c r="C33" s="332">
        <v>352</v>
      </c>
      <c r="D33" s="155" t="s">
        <v>657</v>
      </c>
    </row>
    <row r="34" spans="1:5" x14ac:dyDescent="0.35">
      <c r="A34" s="155" t="s">
        <v>658</v>
      </c>
      <c r="B34" s="332">
        <v>700</v>
      </c>
      <c r="C34" s="332">
        <v>400</v>
      </c>
      <c r="D34" s="155" t="s">
        <v>659</v>
      </c>
    </row>
    <row r="35" spans="1:5" x14ac:dyDescent="0.35">
      <c r="A35" s="155" t="s">
        <v>660</v>
      </c>
      <c r="B35" s="332">
        <v>700</v>
      </c>
      <c r="C35" s="332">
        <v>440</v>
      </c>
      <c r="D35" s="155" t="s">
        <v>659</v>
      </c>
    </row>
    <row r="36" spans="1:5" x14ac:dyDescent="0.35">
      <c r="A36" s="155" t="s">
        <v>661</v>
      </c>
      <c r="B36" s="332">
        <v>90</v>
      </c>
      <c r="C36" s="155"/>
      <c r="D36" s="155" t="s">
        <v>662</v>
      </c>
    </row>
    <row r="37" spans="1:5" x14ac:dyDescent="0.35">
      <c r="A37" s="155" t="s">
        <v>663</v>
      </c>
      <c r="B37" s="332">
        <v>90</v>
      </c>
      <c r="C37" s="155"/>
      <c r="D37" s="155" t="s">
        <v>664</v>
      </c>
    </row>
    <row r="40" spans="1:5" x14ac:dyDescent="0.35">
      <c r="A40" s="403"/>
      <c r="B40" s="361"/>
      <c r="C40" s="361"/>
      <c r="D40" s="361"/>
      <c r="E40" s="362"/>
    </row>
    <row r="45" spans="1:5" ht="22" customHeight="1" x14ac:dyDescent="0.35">
      <c r="A45" s="411"/>
      <c r="B45" s="411"/>
      <c r="C45" s="411"/>
      <c r="D45" s="411"/>
      <c r="E45" s="411"/>
    </row>
  </sheetData>
  <mergeCells count="2">
    <mergeCell ref="A45:E45"/>
    <mergeCell ref="A1:E1"/>
  </mergeCells>
  <dataValidations count="1">
    <dataValidation type="list" sqref="B3" xr:uid="{00000000-0002-0000-0700-000000000000}">
      <formula1>$A$12:$A$20</formula1>
      <formula2>0</formula2>
    </dataValidation>
  </dataValidations>
  <hyperlinks>
    <hyperlink ref="G1" location="'สารบัญ'!A1" display="🏠 สารบัญ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O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46" customWidth="1"/>
    <col min="4" max="4" width="31.453125" customWidth="1"/>
    <col min="5" max="5" width="46" customWidth="1"/>
    <col min="6" max="6" width="30.08984375" customWidth="1"/>
    <col min="7" max="7" width="40.08984375" hidden="1" customWidth="1"/>
    <col min="8" max="8" width="13" customWidth="1"/>
    <col min="9" max="9" width="46" customWidth="1"/>
    <col min="10" max="10" width="10.90625" customWidth="1"/>
    <col min="11" max="11" width="30.08984375" customWidth="1"/>
    <col min="12" max="12" width="24.90625" hidden="1" customWidth="1"/>
    <col min="13" max="13" width="29.453125" hidden="1" customWidth="1"/>
    <col min="14" max="14" width="29.7265625" hidden="1" customWidth="1"/>
    <col min="15" max="15" width="34.26953125" hidden="1" customWidth="1"/>
  </cols>
  <sheetData>
    <row r="1" spans="1:15" ht="30" customHeight="1" x14ac:dyDescent="0.35">
      <c r="A1" s="405" t="s">
        <v>665</v>
      </c>
      <c r="B1" s="323" t="s">
        <v>666</v>
      </c>
      <c r="C1" s="323" t="s">
        <v>667</v>
      </c>
      <c r="D1" s="323" t="s">
        <v>668</v>
      </c>
      <c r="E1" s="323" t="s">
        <v>587</v>
      </c>
      <c r="F1" s="323" t="s">
        <v>669</v>
      </c>
      <c r="G1" s="323" t="s">
        <v>670</v>
      </c>
      <c r="H1" s="388" t="s">
        <v>78</v>
      </c>
      <c r="I1" s="393" t="s">
        <v>671</v>
      </c>
      <c r="J1" s="324" t="s">
        <v>672</v>
      </c>
      <c r="K1" s="350" t="s">
        <v>673</v>
      </c>
      <c r="L1" s="323" t="s">
        <v>674</v>
      </c>
      <c r="M1" s="323" t="s">
        <v>675</v>
      </c>
      <c r="N1" s="323" t="s">
        <v>676</v>
      </c>
      <c r="O1" s="323" t="s">
        <v>677</v>
      </c>
    </row>
    <row r="2" spans="1:15" x14ac:dyDescent="0.35">
      <c r="A2" s="325" t="s">
        <v>678</v>
      </c>
      <c r="B2" s="347">
        <v>1179</v>
      </c>
      <c r="C2" s="325" t="s">
        <v>679</v>
      </c>
      <c r="D2" s="325" t="s">
        <v>680</v>
      </c>
      <c r="E2" s="325" t="s">
        <v>681</v>
      </c>
      <c r="F2" s="348">
        <v>160</v>
      </c>
      <c r="G2" t="s">
        <v>678</v>
      </c>
      <c r="I2" s="326" t="s">
        <v>682</v>
      </c>
      <c r="J2" s="351">
        <f>ROUND(K2/36.6,0)</f>
        <v>23</v>
      </c>
      <c r="K2" s="352">
        <v>842</v>
      </c>
      <c r="L2">
        <v>0</v>
      </c>
      <c r="M2">
        <v>0</v>
      </c>
      <c r="N2">
        <v>120</v>
      </c>
      <c r="O2">
        <v>40</v>
      </c>
    </row>
    <row r="3" spans="1:15" x14ac:dyDescent="0.35">
      <c r="A3" s="325" t="s">
        <v>683</v>
      </c>
      <c r="B3" s="347">
        <v>1300</v>
      </c>
      <c r="C3" s="325" t="s">
        <v>679</v>
      </c>
      <c r="D3" s="325" t="s">
        <v>680</v>
      </c>
      <c r="E3" s="325"/>
      <c r="F3" s="348">
        <v>160</v>
      </c>
      <c r="G3" t="s">
        <v>683</v>
      </c>
      <c r="I3" s="326" t="s">
        <v>684</v>
      </c>
      <c r="J3" s="351">
        <f>ROUND(K3/36.6,0)</f>
        <v>38</v>
      </c>
      <c r="K3" s="352">
        <v>1391</v>
      </c>
      <c r="L3">
        <v>0</v>
      </c>
      <c r="M3">
        <v>0</v>
      </c>
      <c r="N3">
        <v>120</v>
      </c>
      <c r="O3">
        <v>40</v>
      </c>
    </row>
    <row r="4" spans="1:15" x14ac:dyDescent="0.35">
      <c r="A4" s="325" t="s">
        <v>685</v>
      </c>
      <c r="B4" s="347">
        <v>1500</v>
      </c>
      <c r="C4" s="325" t="s">
        <v>679</v>
      </c>
      <c r="D4" s="325" t="s">
        <v>680</v>
      </c>
      <c r="E4" s="325"/>
      <c r="F4" s="348">
        <v>160</v>
      </c>
      <c r="G4" t="s">
        <v>685</v>
      </c>
      <c r="I4" s="326" t="s">
        <v>686</v>
      </c>
      <c r="J4" s="351">
        <f>ROUND(K4/36.6,0)</f>
        <v>352</v>
      </c>
      <c r="K4" s="352">
        <v>12883</v>
      </c>
      <c r="L4">
        <v>0</v>
      </c>
      <c r="M4">
        <v>0</v>
      </c>
      <c r="N4">
        <v>120</v>
      </c>
      <c r="O4">
        <v>40</v>
      </c>
    </row>
    <row r="5" spans="1:15" x14ac:dyDescent="0.35">
      <c r="A5" s="325" t="s">
        <v>687</v>
      </c>
      <c r="B5" s="347">
        <v>1600</v>
      </c>
      <c r="C5" s="325" t="s">
        <v>679</v>
      </c>
      <c r="D5" s="325" t="s">
        <v>680</v>
      </c>
      <c r="E5" s="325"/>
      <c r="F5" s="348">
        <v>160</v>
      </c>
      <c r="G5" t="s">
        <v>687</v>
      </c>
      <c r="I5" s="326" t="s">
        <v>688</v>
      </c>
      <c r="J5" s="351">
        <f>ROUND(K5/36.6,0)</f>
        <v>82</v>
      </c>
      <c r="K5" s="352">
        <v>3001</v>
      </c>
      <c r="L5">
        <v>0</v>
      </c>
      <c r="M5">
        <v>0</v>
      </c>
      <c r="N5">
        <v>120</v>
      </c>
      <c r="O5">
        <v>40</v>
      </c>
    </row>
    <row r="6" spans="1:15" x14ac:dyDescent="0.35">
      <c r="A6" s="325" t="s">
        <v>689</v>
      </c>
      <c r="B6" s="347">
        <v>1700</v>
      </c>
      <c r="C6" s="325" t="s">
        <v>679</v>
      </c>
      <c r="D6" s="325" t="s">
        <v>680</v>
      </c>
      <c r="E6" s="325"/>
      <c r="F6" s="348">
        <v>160</v>
      </c>
      <c r="G6" t="s">
        <v>689</v>
      </c>
      <c r="L6">
        <v>0</v>
      </c>
      <c r="M6">
        <v>0</v>
      </c>
      <c r="N6">
        <v>120</v>
      </c>
      <c r="O6">
        <v>40</v>
      </c>
    </row>
    <row r="7" spans="1:15" x14ac:dyDescent="0.35">
      <c r="A7" s="325" t="s">
        <v>690</v>
      </c>
      <c r="B7" s="347">
        <v>2750</v>
      </c>
      <c r="C7" s="325" t="s">
        <v>679</v>
      </c>
      <c r="D7" s="325" t="s">
        <v>680</v>
      </c>
      <c r="E7" s="325"/>
      <c r="F7" s="348">
        <v>180</v>
      </c>
      <c r="G7" t="s">
        <v>690</v>
      </c>
      <c r="L7">
        <v>0</v>
      </c>
      <c r="M7">
        <v>0</v>
      </c>
      <c r="N7">
        <v>150</v>
      </c>
      <c r="O7">
        <v>45</v>
      </c>
    </row>
    <row r="8" spans="1:15" x14ac:dyDescent="0.35">
      <c r="A8" s="325" t="s">
        <v>691</v>
      </c>
      <c r="B8" s="347">
        <v>3150</v>
      </c>
      <c r="C8" s="325" t="s">
        <v>679</v>
      </c>
      <c r="D8" s="325" t="s">
        <v>680</v>
      </c>
      <c r="E8" s="325" t="s">
        <v>692</v>
      </c>
      <c r="F8" s="348">
        <v>180</v>
      </c>
      <c r="G8" t="s">
        <v>691</v>
      </c>
      <c r="L8">
        <v>0</v>
      </c>
      <c r="M8">
        <v>0</v>
      </c>
      <c r="N8">
        <v>150</v>
      </c>
      <c r="O8">
        <v>45</v>
      </c>
    </row>
    <row r="9" spans="1:15" x14ac:dyDescent="0.35">
      <c r="A9" s="325" t="s">
        <v>693</v>
      </c>
      <c r="B9" s="347">
        <v>3250</v>
      </c>
      <c r="C9" s="325" t="s">
        <v>679</v>
      </c>
      <c r="D9" s="325" t="s">
        <v>680</v>
      </c>
      <c r="E9" s="325" t="s">
        <v>694</v>
      </c>
      <c r="F9" s="348">
        <v>180</v>
      </c>
      <c r="G9" t="s">
        <v>693</v>
      </c>
      <c r="L9">
        <v>0</v>
      </c>
      <c r="M9">
        <v>0</v>
      </c>
      <c r="N9">
        <v>150</v>
      </c>
      <c r="O9">
        <v>45</v>
      </c>
    </row>
    <row r="10" spans="1:15" x14ac:dyDescent="0.35">
      <c r="A10" s="325" t="s">
        <v>695</v>
      </c>
      <c r="B10" s="347">
        <v>4050</v>
      </c>
      <c r="C10" s="325" t="s">
        <v>679</v>
      </c>
      <c r="D10" s="325" t="s">
        <v>680</v>
      </c>
      <c r="E10" s="325"/>
      <c r="F10" s="348">
        <v>180</v>
      </c>
      <c r="G10" t="s">
        <v>695</v>
      </c>
      <c r="L10">
        <v>0</v>
      </c>
      <c r="M10">
        <v>0</v>
      </c>
      <c r="N10">
        <v>150</v>
      </c>
      <c r="O10">
        <v>45</v>
      </c>
    </row>
    <row r="11" spans="1:15" x14ac:dyDescent="0.35">
      <c r="A11" s="325" t="s">
        <v>696</v>
      </c>
      <c r="B11" s="347">
        <v>4450</v>
      </c>
      <c r="C11" s="325" t="s">
        <v>679</v>
      </c>
      <c r="D11" s="325" t="s">
        <v>680</v>
      </c>
      <c r="E11" s="325" t="s">
        <v>692</v>
      </c>
      <c r="F11" s="348">
        <v>180</v>
      </c>
      <c r="G11" t="s">
        <v>696</v>
      </c>
      <c r="L11">
        <v>0</v>
      </c>
      <c r="M11">
        <v>0</v>
      </c>
      <c r="N11">
        <v>150</v>
      </c>
      <c r="O11">
        <v>45</v>
      </c>
    </row>
    <row r="12" spans="1:15" x14ac:dyDescent="0.35">
      <c r="A12" s="325" t="s">
        <v>697</v>
      </c>
      <c r="B12" s="347">
        <v>4550</v>
      </c>
      <c r="C12" s="325" t="s">
        <v>679</v>
      </c>
      <c r="D12" s="325" t="s">
        <v>680</v>
      </c>
      <c r="E12" s="325" t="s">
        <v>694</v>
      </c>
      <c r="F12" s="348">
        <v>180</v>
      </c>
      <c r="G12" t="s">
        <v>697</v>
      </c>
      <c r="L12">
        <v>0</v>
      </c>
      <c r="M12">
        <v>0</v>
      </c>
      <c r="N12">
        <v>150</v>
      </c>
      <c r="O12">
        <v>45</v>
      </c>
    </row>
    <row r="13" spans="1:15" hidden="1" x14ac:dyDescent="0.35">
      <c r="A13" s="327" t="s">
        <v>650</v>
      </c>
      <c r="B13" s="327">
        <v>0</v>
      </c>
      <c r="C13" s="327" t="s">
        <v>698</v>
      </c>
      <c r="D13" s="327" t="s">
        <v>699</v>
      </c>
      <c r="E13" s="327" t="s">
        <v>700</v>
      </c>
      <c r="F13" s="327">
        <v>0</v>
      </c>
      <c r="G13" t="s">
        <v>650</v>
      </c>
      <c r="L13" s="328">
        <v>120</v>
      </c>
      <c r="M13" s="329">
        <v>30</v>
      </c>
      <c r="N13" s="328">
        <v>70</v>
      </c>
      <c r="O13" s="329">
        <v>18</v>
      </c>
    </row>
    <row r="14" spans="1:15" hidden="1" x14ac:dyDescent="0.35">
      <c r="A14" s="327" t="s">
        <v>701</v>
      </c>
      <c r="B14" s="327">
        <v>0</v>
      </c>
      <c r="C14" s="327" t="s">
        <v>698</v>
      </c>
      <c r="D14" s="327" t="s">
        <v>702</v>
      </c>
      <c r="E14" s="327" t="s">
        <v>703</v>
      </c>
      <c r="F14" s="327">
        <v>0</v>
      </c>
      <c r="G14" t="s">
        <v>701</v>
      </c>
      <c r="L14" s="328">
        <v>140</v>
      </c>
      <c r="M14" s="329">
        <v>0</v>
      </c>
      <c r="N14" s="328">
        <v>44</v>
      </c>
      <c r="O14" s="329">
        <v>0</v>
      </c>
    </row>
    <row r="15" spans="1:15" hidden="1" x14ac:dyDescent="0.35">
      <c r="A15" s="327" t="s">
        <v>704</v>
      </c>
      <c r="B15" s="327">
        <v>0</v>
      </c>
      <c r="C15" s="327" t="s">
        <v>698</v>
      </c>
      <c r="D15" s="327" t="s">
        <v>702</v>
      </c>
      <c r="E15" s="327" t="s">
        <v>705</v>
      </c>
      <c r="F15" s="327">
        <v>0</v>
      </c>
      <c r="G15" t="s">
        <v>704</v>
      </c>
      <c r="L15" s="328">
        <v>88</v>
      </c>
      <c r="M15" s="329">
        <v>0</v>
      </c>
      <c r="N15" s="328">
        <v>44</v>
      </c>
      <c r="O15" s="329">
        <v>0</v>
      </c>
    </row>
    <row r="17" spans="1:6" x14ac:dyDescent="0.35">
      <c r="A17" s="330" t="s">
        <v>706</v>
      </c>
    </row>
    <row r="18" spans="1:6" x14ac:dyDescent="0.35">
      <c r="A18" s="331" t="s">
        <v>707</v>
      </c>
      <c r="B18" s="331" t="s">
        <v>708</v>
      </c>
      <c r="C18" s="331" t="s">
        <v>709</v>
      </c>
      <c r="D18" s="331" t="s">
        <v>710</v>
      </c>
      <c r="E18" s="331" t="s">
        <v>711</v>
      </c>
      <c r="F18" s="331" t="s">
        <v>654</v>
      </c>
    </row>
    <row r="19" spans="1:6" x14ac:dyDescent="0.35">
      <c r="A19" s="327" t="s">
        <v>712</v>
      </c>
      <c r="B19" s="347">
        <v>625</v>
      </c>
      <c r="C19" s="327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19" s="347">
        <v>5</v>
      </c>
      <c r="E19" s="327" t="str">
        <f>L13&amp;IF(M13&gt;0," +"&amp;M13&amp;"/ตร.ม.","  (เหมา)")</f>
        <v>120 +30/ตร.ม.</v>
      </c>
      <c r="F19" s="327" t="str">
        <f>N13&amp;IF(O13&gt;0," +"&amp;O13&amp;"/ตร.ม.","  (เหมา)")</f>
        <v>70 +18/ตร.ม.</v>
      </c>
    </row>
    <row r="20" spans="1:6" x14ac:dyDescent="0.35">
      <c r="A20" s="327" t="s">
        <v>713</v>
      </c>
      <c r="B20" s="353" t="s">
        <v>714</v>
      </c>
      <c r="C20" s="327" t="str">
        <f>"ไฟเบอร์ "&amp;J2&amp;"  ·  ไนล่อน "&amp;J3&amp;"  ·  สแตนเลส "&amp;J4&amp;"  ·  กันแมว "&amp;J5</f>
        <v>ไฟเบอร์ 23  ·  ไนล่อน 38  ·  สแตนเลส 352  ·  กันแมว 82</v>
      </c>
      <c r="D20" s="327">
        <f>$D$19</f>
        <v>5</v>
      </c>
      <c r="E20" s="327" t="str">
        <f>L14&amp;IF(M14&gt;0," +"&amp;M14&amp;"/ตร.ม.","  (เหมา)")</f>
        <v>140  (เหมา)</v>
      </c>
      <c r="F20" s="327" t="str">
        <f>N14&amp;IF(O14&gt;0," +"&amp;O14&amp;"/ตร.ม.","  (เหมา)")</f>
        <v>44  (เหมา)</v>
      </c>
    </row>
    <row r="21" spans="1:6" x14ac:dyDescent="0.35">
      <c r="A21" s="327" t="s">
        <v>715</v>
      </c>
      <c r="B21" s="347">
        <v>1030</v>
      </c>
      <c r="C21" s="327" t="s">
        <v>716</v>
      </c>
      <c r="D21" s="327">
        <f>$D$19</f>
        <v>5</v>
      </c>
      <c r="E21" s="327" t="str">
        <f>L15&amp;IF(M15&gt;0," +"&amp;M15&amp;"/ตร.ม.","  (เหมา)")</f>
        <v>88  (เหมา)</v>
      </c>
      <c r="F21" s="327" t="str">
        <f>N15&amp;IF(O15&gt;0," +"&amp;O15&amp;"/ตร.ม.","  (เหมา)")</f>
        <v>44  (เหมา)</v>
      </c>
    </row>
    <row r="23" spans="1:6" x14ac:dyDescent="0.35">
      <c r="A23" s="349" t="s">
        <v>717</v>
      </c>
    </row>
    <row r="24" spans="1:6" x14ac:dyDescent="0.35">
      <c r="A24" s="30" t="s">
        <v>718</v>
      </c>
    </row>
    <row r="25" spans="1:6" x14ac:dyDescent="0.35">
      <c r="A25" s="30" t="s">
        <v>719</v>
      </c>
    </row>
    <row r="26" spans="1:6" x14ac:dyDescent="0.35">
      <c r="A26" s="30" t="s">
        <v>720</v>
      </c>
    </row>
    <row r="27" spans="1:6" x14ac:dyDescent="0.35">
      <c r="A27" s="30" t="s">
        <v>721</v>
      </c>
    </row>
    <row r="28" spans="1:6" x14ac:dyDescent="0.35">
      <c r="A28" s="30" t="s">
        <v>722</v>
      </c>
    </row>
    <row r="29" spans="1:6" x14ac:dyDescent="0.35">
      <c r="A29" s="30" t="s">
        <v>723</v>
      </c>
    </row>
    <row r="31" spans="1:6" ht="22" customHeight="1" x14ac:dyDescent="0.35">
      <c r="A31" s="403"/>
    </row>
  </sheetData>
  <hyperlinks>
    <hyperlink ref="H1" location="'สารบัญ'!A1" display="🏠 สารบัญ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H9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46" customWidth="1"/>
    <col min="3" max="3" width="25.7265625" customWidth="1"/>
    <col min="4" max="4" width="19.26953125" customWidth="1"/>
    <col min="5" max="5" width="22.26953125" customWidth="1"/>
    <col min="6" max="6" width="13" customWidth="1"/>
    <col min="7" max="7" width="39.7265625" customWidth="1"/>
  </cols>
  <sheetData>
    <row r="1" spans="1:8" x14ac:dyDescent="0.35">
      <c r="A1" s="424" t="s">
        <v>724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125" t="s">
        <v>725</v>
      </c>
      <c r="B2" s="125" t="s">
        <v>726</v>
      </c>
      <c r="C2" s="125" t="s">
        <v>727</v>
      </c>
      <c r="D2" s="125" t="s">
        <v>728</v>
      </c>
      <c r="E2" s="125" t="s">
        <v>729</v>
      </c>
      <c r="F2" s="125" t="s">
        <v>730</v>
      </c>
      <c r="G2" s="125" t="s">
        <v>587</v>
      </c>
    </row>
    <row r="3" spans="1:8" x14ac:dyDescent="0.35">
      <c r="A3" s="128">
        <v>1</v>
      </c>
      <c r="B3" s="126" t="s">
        <v>731</v>
      </c>
      <c r="C3" s="127" t="s">
        <v>732</v>
      </c>
      <c r="D3" s="146">
        <v>646</v>
      </c>
      <c r="E3" s="146">
        <v>592</v>
      </c>
      <c r="F3" s="131" t="s">
        <v>733</v>
      </c>
      <c r="G3" s="126" t="s">
        <v>734</v>
      </c>
    </row>
    <row r="4" spans="1:8" x14ac:dyDescent="0.35">
      <c r="A4" s="128">
        <v>2</v>
      </c>
      <c r="B4" s="126" t="s">
        <v>735</v>
      </c>
      <c r="C4" s="127" t="s">
        <v>732</v>
      </c>
      <c r="D4" s="146">
        <v>754</v>
      </c>
      <c r="E4" s="146">
        <v>700</v>
      </c>
      <c r="F4" s="131" t="s">
        <v>733</v>
      </c>
      <c r="G4" s="126" t="s">
        <v>736</v>
      </c>
    </row>
    <row r="5" spans="1:8" x14ac:dyDescent="0.35">
      <c r="A5" s="128">
        <v>3</v>
      </c>
      <c r="B5" s="126" t="s">
        <v>737</v>
      </c>
      <c r="C5" s="127" t="s">
        <v>732</v>
      </c>
      <c r="D5" s="146">
        <v>1023</v>
      </c>
      <c r="E5" s="146">
        <v>807</v>
      </c>
      <c r="F5" s="131" t="s">
        <v>738</v>
      </c>
      <c r="G5" s="126" t="s">
        <v>739</v>
      </c>
    </row>
    <row r="6" spans="1:8" x14ac:dyDescent="0.35">
      <c r="A6" s="128">
        <v>4</v>
      </c>
      <c r="B6" s="126" t="s">
        <v>740</v>
      </c>
      <c r="C6" s="127" t="s">
        <v>732</v>
      </c>
      <c r="D6" s="146">
        <v>571</v>
      </c>
      <c r="E6" s="146">
        <v>570</v>
      </c>
      <c r="F6" s="131" t="s">
        <v>741</v>
      </c>
      <c r="G6" s="126" t="s">
        <v>742</v>
      </c>
    </row>
    <row r="7" spans="1:8" x14ac:dyDescent="0.35">
      <c r="A7" s="128">
        <v>5</v>
      </c>
      <c r="B7" s="126" t="s">
        <v>743</v>
      </c>
      <c r="C7" s="127" t="s">
        <v>732</v>
      </c>
      <c r="D7" s="146">
        <v>820</v>
      </c>
      <c r="E7" s="146">
        <v>716</v>
      </c>
      <c r="F7" s="131" t="s">
        <v>744</v>
      </c>
      <c r="G7" s="126" t="s">
        <v>745</v>
      </c>
    </row>
    <row r="8" spans="1:8" x14ac:dyDescent="0.35">
      <c r="A8" s="128">
        <v>6</v>
      </c>
      <c r="B8" s="126" t="s">
        <v>746</v>
      </c>
      <c r="C8" s="127" t="s">
        <v>732</v>
      </c>
      <c r="D8" s="146">
        <v>1023</v>
      </c>
      <c r="E8" s="146">
        <v>848</v>
      </c>
      <c r="F8" s="131" t="s">
        <v>747</v>
      </c>
      <c r="G8" s="126" t="s">
        <v>748</v>
      </c>
    </row>
    <row r="9" spans="1:8" x14ac:dyDescent="0.35">
      <c r="A9" s="128">
        <v>7</v>
      </c>
      <c r="B9" s="126" t="s">
        <v>749</v>
      </c>
      <c r="C9" s="127" t="s">
        <v>732</v>
      </c>
      <c r="D9" s="146">
        <v>1159</v>
      </c>
      <c r="E9" s="146">
        <v>942</v>
      </c>
      <c r="F9" s="131" t="s">
        <v>750</v>
      </c>
      <c r="G9" s="126" t="s">
        <v>751</v>
      </c>
    </row>
    <row r="10" spans="1:8" x14ac:dyDescent="0.35">
      <c r="A10" s="128">
        <v>8</v>
      </c>
      <c r="B10" s="126" t="s">
        <v>752</v>
      </c>
      <c r="C10" s="127" t="s">
        <v>732</v>
      </c>
      <c r="D10" s="146">
        <v>400</v>
      </c>
      <c r="E10" s="146">
        <v>301</v>
      </c>
      <c r="F10" s="131" t="s">
        <v>753</v>
      </c>
      <c r="G10" s="126" t="s">
        <v>754</v>
      </c>
    </row>
    <row r="11" spans="1:8" x14ac:dyDescent="0.35">
      <c r="A11" s="128">
        <v>9</v>
      </c>
      <c r="B11" s="126" t="s">
        <v>755</v>
      </c>
      <c r="C11" s="127" t="s">
        <v>732</v>
      </c>
      <c r="D11" s="146">
        <v>600</v>
      </c>
      <c r="E11" s="146">
        <v>398</v>
      </c>
      <c r="F11" s="131" t="s">
        <v>756</v>
      </c>
      <c r="G11" s="126" t="s">
        <v>757</v>
      </c>
    </row>
    <row r="12" spans="1:8" x14ac:dyDescent="0.35">
      <c r="A12" s="128">
        <v>10</v>
      </c>
      <c r="B12" s="126" t="s">
        <v>758</v>
      </c>
      <c r="C12" s="127" t="s">
        <v>732</v>
      </c>
      <c r="D12" s="146">
        <v>700</v>
      </c>
      <c r="E12" s="146">
        <v>646</v>
      </c>
      <c r="F12" s="131" t="s">
        <v>733</v>
      </c>
      <c r="G12" s="126" t="s">
        <v>759</v>
      </c>
    </row>
    <row r="13" spans="1:8" x14ac:dyDescent="0.35">
      <c r="A13" s="128">
        <v>11</v>
      </c>
      <c r="B13" s="126" t="s">
        <v>760</v>
      </c>
      <c r="C13" s="127" t="s">
        <v>732</v>
      </c>
      <c r="D13" s="146">
        <v>700</v>
      </c>
      <c r="E13" s="146">
        <v>872</v>
      </c>
      <c r="F13" s="131" t="s">
        <v>761</v>
      </c>
      <c r="G13" s="126" t="s">
        <v>762</v>
      </c>
    </row>
    <row r="14" spans="1:8" x14ac:dyDescent="0.35">
      <c r="A14" s="128">
        <v>12</v>
      </c>
      <c r="B14" s="126" t="s">
        <v>763</v>
      </c>
      <c r="C14" s="127" t="s">
        <v>732</v>
      </c>
      <c r="D14" s="146">
        <v>1065</v>
      </c>
      <c r="E14" s="146">
        <v>883</v>
      </c>
      <c r="F14" s="131" t="s">
        <v>764</v>
      </c>
      <c r="G14" s="126" t="s">
        <v>765</v>
      </c>
    </row>
    <row r="15" spans="1:8" x14ac:dyDescent="0.35">
      <c r="A15" s="128">
        <v>13</v>
      </c>
      <c r="B15" s="126" t="s">
        <v>766</v>
      </c>
      <c r="C15" s="127" t="s">
        <v>732</v>
      </c>
      <c r="D15" s="146">
        <v>1270</v>
      </c>
      <c r="E15" s="146">
        <v>861</v>
      </c>
      <c r="F15" s="131" t="s">
        <v>767</v>
      </c>
      <c r="G15" s="126" t="s">
        <v>768</v>
      </c>
    </row>
    <row r="16" spans="1:8" x14ac:dyDescent="0.35">
      <c r="A16" s="128">
        <v>14</v>
      </c>
      <c r="B16" s="126" t="s">
        <v>769</v>
      </c>
      <c r="C16" s="127" t="s">
        <v>732</v>
      </c>
      <c r="D16" s="146">
        <v>1400</v>
      </c>
      <c r="E16" s="146">
        <v>893</v>
      </c>
      <c r="F16" s="131" t="s">
        <v>770</v>
      </c>
      <c r="G16" s="126" t="s">
        <v>771</v>
      </c>
    </row>
    <row r="17" spans="1:7" x14ac:dyDescent="0.35">
      <c r="A17" s="128">
        <v>15</v>
      </c>
      <c r="B17" s="126" t="s">
        <v>772</v>
      </c>
      <c r="C17" s="127" t="s">
        <v>732</v>
      </c>
      <c r="D17" s="146">
        <v>2636</v>
      </c>
      <c r="E17" s="146">
        <v>1329</v>
      </c>
      <c r="F17" s="131" t="s">
        <v>773</v>
      </c>
      <c r="G17" s="126" t="s">
        <v>774</v>
      </c>
    </row>
    <row r="18" spans="1:7" x14ac:dyDescent="0.35">
      <c r="A18" s="128">
        <v>16</v>
      </c>
      <c r="B18" s="126" t="s">
        <v>775</v>
      </c>
      <c r="C18" s="127" t="s">
        <v>732</v>
      </c>
      <c r="D18" s="146">
        <v>2679</v>
      </c>
      <c r="E18" s="146">
        <v>1766</v>
      </c>
      <c r="F18" s="131" t="s">
        <v>776</v>
      </c>
      <c r="G18" s="126" t="s">
        <v>777</v>
      </c>
    </row>
    <row r="19" spans="1:7" x14ac:dyDescent="0.35">
      <c r="A19" s="128">
        <v>17</v>
      </c>
      <c r="B19" s="126" t="s">
        <v>778</v>
      </c>
      <c r="C19" s="129" t="s">
        <v>779</v>
      </c>
      <c r="D19" s="163">
        <v>264</v>
      </c>
      <c r="E19" s="163">
        <v>264</v>
      </c>
      <c r="F19" s="131" t="s">
        <v>780</v>
      </c>
      <c r="G19" s="126" t="s">
        <v>781</v>
      </c>
    </row>
    <row r="20" spans="1:7" x14ac:dyDescent="0.35">
      <c r="A20" s="128">
        <v>18</v>
      </c>
      <c r="B20" s="126" t="s">
        <v>782</v>
      </c>
      <c r="C20" s="129" t="s">
        <v>779</v>
      </c>
      <c r="D20" s="163">
        <v>517</v>
      </c>
      <c r="E20" s="163">
        <v>517</v>
      </c>
      <c r="F20" s="131" t="s">
        <v>780</v>
      </c>
      <c r="G20" s="126" t="s">
        <v>781</v>
      </c>
    </row>
    <row r="21" spans="1:7" x14ac:dyDescent="0.35">
      <c r="A21" s="128">
        <v>19</v>
      </c>
      <c r="B21" s="126" t="s">
        <v>783</v>
      </c>
      <c r="C21" s="128" t="s">
        <v>784</v>
      </c>
      <c r="D21" s="131">
        <v>915</v>
      </c>
      <c r="E21" s="131">
        <v>915</v>
      </c>
      <c r="F21" s="131" t="s">
        <v>780</v>
      </c>
      <c r="G21" s="126" t="s">
        <v>784</v>
      </c>
    </row>
    <row r="22" spans="1:7" x14ac:dyDescent="0.35">
      <c r="A22" s="128">
        <v>20</v>
      </c>
      <c r="B22" s="126" t="s">
        <v>785</v>
      </c>
      <c r="C22" s="129" t="s">
        <v>779</v>
      </c>
      <c r="D22" s="163">
        <v>439</v>
      </c>
      <c r="E22" s="163">
        <v>403</v>
      </c>
      <c r="F22" s="131" t="s">
        <v>780</v>
      </c>
      <c r="G22" s="126" t="s">
        <v>781</v>
      </c>
    </row>
    <row r="23" spans="1:7" x14ac:dyDescent="0.35">
      <c r="A23" s="128">
        <v>21</v>
      </c>
      <c r="B23" s="126" t="s">
        <v>786</v>
      </c>
      <c r="C23" s="129" t="s">
        <v>787</v>
      </c>
      <c r="D23" s="163"/>
      <c r="E23" s="163">
        <v>242</v>
      </c>
      <c r="F23" s="131"/>
      <c r="G23" s="126" t="s">
        <v>788</v>
      </c>
    </row>
    <row r="24" spans="1:7" x14ac:dyDescent="0.35">
      <c r="A24" s="128">
        <v>22</v>
      </c>
      <c r="B24" s="126" t="s">
        <v>789</v>
      </c>
      <c r="C24" s="129" t="s">
        <v>787</v>
      </c>
      <c r="D24" s="163"/>
      <c r="E24" s="163">
        <v>409</v>
      </c>
      <c r="F24" s="131"/>
      <c r="G24" s="126"/>
    </row>
    <row r="25" spans="1:7" x14ac:dyDescent="0.35">
      <c r="A25" s="128">
        <v>23</v>
      </c>
      <c r="B25" s="126" t="s">
        <v>790</v>
      </c>
      <c r="C25" s="129" t="s">
        <v>787</v>
      </c>
      <c r="D25" s="163"/>
      <c r="E25" s="163">
        <v>517</v>
      </c>
      <c r="F25" s="131"/>
      <c r="G25" s="126"/>
    </row>
    <row r="26" spans="1:7" x14ac:dyDescent="0.35">
      <c r="A26" s="128">
        <v>24</v>
      </c>
      <c r="B26" s="126" t="s">
        <v>791</v>
      </c>
      <c r="C26" s="129" t="s">
        <v>787</v>
      </c>
      <c r="D26" s="163"/>
      <c r="E26" s="163">
        <v>403</v>
      </c>
      <c r="F26" s="131"/>
      <c r="G26" s="126"/>
    </row>
    <row r="27" spans="1:7" x14ac:dyDescent="0.35">
      <c r="A27" s="128">
        <v>25</v>
      </c>
      <c r="B27" s="126" t="s">
        <v>792</v>
      </c>
      <c r="C27" s="129" t="s">
        <v>787</v>
      </c>
      <c r="D27" s="163"/>
      <c r="E27" s="163">
        <v>622</v>
      </c>
      <c r="F27" s="131"/>
      <c r="G27" s="126"/>
    </row>
    <row r="28" spans="1:7" x14ac:dyDescent="0.35">
      <c r="A28" s="128">
        <v>26</v>
      </c>
      <c r="B28" s="126" t="s">
        <v>793</v>
      </c>
      <c r="C28" s="129" t="s">
        <v>787</v>
      </c>
      <c r="D28" s="163"/>
      <c r="E28" s="163">
        <v>695</v>
      </c>
      <c r="F28" s="131"/>
      <c r="G28" s="126"/>
    </row>
    <row r="29" spans="1:7" x14ac:dyDescent="0.35">
      <c r="A29" s="128">
        <v>27</v>
      </c>
      <c r="B29" s="126" t="s">
        <v>794</v>
      </c>
      <c r="C29" s="129" t="s">
        <v>787</v>
      </c>
      <c r="D29" s="163"/>
      <c r="E29" s="163">
        <v>787</v>
      </c>
      <c r="F29" s="131"/>
      <c r="G29" s="126"/>
    </row>
    <row r="30" spans="1:7" x14ac:dyDescent="0.35">
      <c r="A30" s="128">
        <v>28</v>
      </c>
      <c r="B30" s="126" t="s">
        <v>795</v>
      </c>
      <c r="C30" s="164" t="s">
        <v>796</v>
      </c>
      <c r="D30" s="165">
        <v>3314</v>
      </c>
      <c r="E30" s="165">
        <v>969</v>
      </c>
      <c r="F30" s="131" t="s">
        <v>797</v>
      </c>
      <c r="G30" s="126" t="s">
        <v>796</v>
      </c>
    </row>
    <row r="31" spans="1:7" x14ac:dyDescent="0.35">
      <c r="A31" s="128">
        <v>29</v>
      </c>
      <c r="B31" s="126" t="s">
        <v>798</v>
      </c>
      <c r="C31" s="164" t="s">
        <v>796</v>
      </c>
      <c r="D31" s="165">
        <v>4412</v>
      </c>
      <c r="E31" s="165">
        <v>1432</v>
      </c>
      <c r="F31" s="131" t="s">
        <v>799</v>
      </c>
      <c r="G31" s="126" t="s">
        <v>796</v>
      </c>
    </row>
    <row r="32" spans="1:7" x14ac:dyDescent="0.35">
      <c r="A32" s="128">
        <v>30</v>
      </c>
      <c r="B32" s="126" t="s">
        <v>800</v>
      </c>
      <c r="C32" s="166" t="s">
        <v>732</v>
      </c>
      <c r="D32" s="167">
        <v>915</v>
      </c>
      <c r="E32" s="167">
        <v>1023</v>
      </c>
      <c r="F32" s="131"/>
      <c r="G32" s="126" t="s">
        <v>801</v>
      </c>
    </row>
    <row r="33" spans="1:7" x14ac:dyDescent="0.35">
      <c r="A33" s="128">
        <v>31</v>
      </c>
      <c r="B33" s="126" t="s">
        <v>802</v>
      </c>
      <c r="C33" s="166" t="s">
        <v>803</v>
      </c>
      <c r="D33" s="167">
        <v>3917</v>
      </c>
      <c r="E33" s="167"/>
      <c r="F33" s="131"/>
      <c r="G33" s="126" t="s">
        <v>804</v>
      </c>
    </row>
    <row r="34" spans="1:7" x14ac:dyDescent="0.35">
      <c r="A34" s="128">
        <v>32</v>
      </c>
      <c r="B34" s="126" t="s">
        <v>805</v>
      </c>
      <c r="C34" s="166" t="s">
        <v>732</v>
      </c>
      <c r="D34" s="167">
        <v>1216</v>
      </c>
      <c r="E34" s="167">
        <v>1184</v>
      </c>
      <c r="F34" s="131"/>
      <c r="G34" s="126" t="s">
        <v>806</v>
      </c>
    </row>
    <row r="35" spans="1:7" x14ac:dyDescent="0.35">
      <c r="A35" s="128">
        <v>33</v>
      </c>
      <c r="B35" s="126" t="s">
        <v>807</v>
      </c>
      <c r="C35" s="166" t="s">
        <v>732</v>
      </c>
      <c r="D35" s="167">
        <v>1388</v>
      </c>
      <c r="E35" s="167">
        <v>1292</v>
      </c>
      <c r="F35" s="131"/>
      <c r="G35" s="126" t="s">
        <v>806</v>
      </c>
    </row>
    <row r="36" spans="1:7" x14ac:dyDescent="0.35">
      <c r="A36" s="128">
        <v>34</v>
      </c>
      <c r="B36" s="126" t="s">
        <v>808</v>
      </c>
      <c r="C36" s="166" t="s">
        <v>732</v>
      </c>
      <c r="D36" s="167">
        <v>1517</v>
      </c>
      <c r="E36" s="167">
        <v>1399</v>
      </c>
      <c r="F36" s="131"/>
      <c r="G36" s="126" t="s">
        <v>806</v>
      </c>
    </row>
    <row r="37" spans="1:7" x14ac:dyDescent="0.35">
      <c r="A37" s="128">
        <v>35</v>
      </c>
      <c r="B37" s="126" t="s">
        <v>809</v>
      </c>
      <c r="C37" s="129" t="s">
        <v>732</v>
      </c>
      <c r="D37" s="163">
        <v>3121</v>
      </c>
      <c r="E37" s="163">
        <v>3122</v>
      </c>
      <c r="F37" s="163">
        <v>-42</v>
      </c>
      <c r="G37" s="354" t="s">
        <v>806</v>
      </c>
    </row>
    <row r="38" spans="1:7" x14ac:dyDescent="0.35">
      <c r="A38" s="128">
        <v>36</v>
      </c>
      <c r="B38" s="126" t="s">
        <v>810</v>
      </c>
      <c r="C38" s="129" t="s">
        <v>732</v>
      </c>
      <c r="D38" s="163">
        <v>1432</v>
      </c>
      <c r="E38" s="163">
        <v>1432</v>
      </c>
      <c r="F38" s="163">
        <v>178</v>
      </c>
      <c r="G38" s="354" t="s">
        <v>806</v>
      </c>
    </row>
    <row r="39" spans="1:7" x14ac:dyDescent="0.35">
      <c r="A39" s="128">
        <v>37</v>
      </c>
      <c r="B39" s="126" t="s">
        <v>811</v>
      </c>
      <c r="C39" s="129" t="s">
        <v>732</v>
      </c>
      <c r="D39" s="163">
        <v>2200</v>
      </c>
      <c r="E39" s="163">
        <v>2336</v>
      </c>
      <c r="F39" s="163">
        <v>227</v>
      </c>
      <c r="G39" s="354" t="s">
        <v>806</v>
      </c>
    </row>
    <row r="40" spans="1:7" x14ac:dyDescent="0.35">
      <c r="A40" s="128">
        <v>38</v>
      </c>
      <c r="B40" s="126" t="s">
        <v>812</v>
      </c>
      <c r="C40" s="129" t="s">
        <v>732</v>
      </c>
      <c r="D40" s="163">
        <v>3497</v>
      </c>
      <c r="E40" s="163">
        <v>3466</v>
      </c>
      <c r="F40" s="163">
        <v>-774</v>
      </c>
      <c r="G40" s="354" t="s">
        <v>806</v>
      </c>
    </row>
    <row r="41" spans="1:7" x14ac:dyDescent="0.35">
      <c r="A41" s="128">
        <v>39</v>
      </c>
      <c r="B41" s="126" t="s">
        <v>813</v>
      </c>
      <c r="C41" s="129" t="s">
        <v>732</v>
      </c>
      <c r="D41" s="163">
        <v>1076</v>
      </c>
      <c r="E41" s="163">
        <v>805</v>
      </c>
      <c r="F41" s="163">
        <v>-271</v>
      </c>
      <c r="G41" s="354" t="s">
        <v>814</v>
      </c>
    </row>
    <row r="42" spans="1:7" x14ac:dyDescent="0.35">
      <c r="A42" s="128">
        <v>40</v>
      </c>
      <c r="B42" s="126" t="s">
        <v>815</v>
      </c>
      <c r="C42" s="129" t="s">
        <v>732</v>
      </c>
      <c r="D42" s="163">
        <v>1937</v>
      </c>
      <c r="E42" s="163">
        <v>1113</v>
      </c>
      <c r="F42" s="163">
        <v>-824</v>
      </c>
      <c r="G42" s="354" t="s">
        <v>816</v>
      </c>
    </row>
    <row r="43" spans="1:7" x14ac:dyDescent="0.35">
      <c r="A43" s="128">
        <v>41</v>
      </c>
      <c r="B43" s="126" t="s">
        <v>817</v>
      </c>
      <c r="C43" s="129" t="s">
        <v>732</v>
      </c>
      <c r="D43" s="163">
        <v>824</v>
      </c>
      <c r="E43" s="163">
        <v>646</v>
      </c>
      <c r="F43" s="163">
        <v>-178</v>
      </c>
      <c r="G43" s="354" t="s">
        <v>806</v>
      </c>
    </row>
    <row r="44" spans="1:7" x14ac:dyDescent="0.35">
      <c r="A44" s="128">
        <v>42</v>
      </c>
      <c r="B44" s="126" t="s">
        <v>818</v>
      </c>
      <c r="C44" s="129" t="s">
        <v>732</v>
      </c>
      <c r="D44" s="163">
        <v>1006</v>
      </c>
      <c r="E44" s="163">
        <v>678</v>
      </c>
      <c r="F44" s="163">
        <v>-328</v>
      </c>
      <c r="G44" s="354" t="s">
        <v>806</v>
      </c>
    </row>
    <row r="45" spans="1:7" x14ac:dyDescent="0.35">
      <c r="A45" s="128">
        <v>43</v>
      </c>
      <c r="B45" s="126" t="s">
        <v>819</v>
      </c>
      <c r="C45" s="129" t="s">
        <v>732</v>
      </c>
      <c r="D45" s="163">
        <v>1033</v>
      </c>
      <c r="E45" s="163">
        <v>732</v>
      </c>
      <c r="F45" s="163">
        <v>-301</v>
      </c>
      <c r="G45" s="354" t="s">
        <v>806</v>
      </c>
    </row>
    <row r="46" spans="1:7" x14ac:dyDescent="0.35">
      <c r="A46" s="128">
        <v>44</v>
      </c>
      <c r="B46" s="126" t="s">
        <v>820</v>
      </c>
      <c r="C46" s="129" t="s">
        <v>732</v>
      </c>
      <c r="D46" s="163">
        <v>2637</v>
      </c>
      <c r="E46" s="163">
        <v>1423</v>
      </c>
      <c r="F46" s="163">
        <v>-1214</v>
      </c>
      <c r="G46" s="354" t="s">
        <v>806</v>
      </c>
    </row>
    <row r="47" spans="1:7" x14ac:dyDescent="0.35">
      <c r="A47" s="128">
        <v>45</v>
      </c>
      <c r="B47" s="126" t="s">
        <v>821</v>
      </c>
      <c r="C47" s="129" t="s">
        <v>732</v>
      </c>
      <c r="D47" s="163">
        <v>1184</v>
      </c>
      <c r="E47" s="163">
        <v>732</v>
      </c>
      <c r="F47" s="163">
        <v>-452</v>
      </c>
      <c r="G47" s="354" t="s">
        <v>806</v>
      </c>
    </row>
    <row r="48" spans="1:7" x14ac:dyDescent="0.35">
      <c r="A48" s="128">
        <v>46</v>
      </c>
      <c r="B48" s="126" t="s">
        <v>822</v>
      </c>
      <c r="C48" s="129" t="s">
        <v>732</v>
      </c>
      <c r="D48" s="163">
        <v>1291</v>
      </c>
      <c r="E48" s="163">
        <v>786</v>
      </c>
      <c r="F48" s="163">
        <v>-505</v>
      </c>
      <c r="G48" s="354" t="s">
        <v>806</v>
      </c>
    </row>
    <row r="49" spans="1:7" x14ac:dyDescent="0.35">
      <c r="A49" s="128">
        <v>47</v>
      </c>
      <c r="B49" s="126" t="s">
        <v>823</v>
      </c>
      <c r="C49" s="129" t="s">
        <v>732</v>
      </c>
      <c r="D49" s="163">
        <v>4670</v>
      </c>
      <c r="E49" s="163">
        <v>1480</v>
      </c>
      <c r="F49" s="163">
        <v>-3190</v>
      </c>
      <c r="G49" s="354" t="s">
        <v>824</v>
      </c>
    </row>
    <row r="50" spans="1:7" x14ac:dyDescent="0.35">
      <c r="A50" s="128">
        <v>48</v>
      </c>
      <c r="B50" s="126" t="s">
        <v>825</v>
      </c>
      <c r="C50" s="129" t="s">
        <v>779</v>
      </c>
      <c r="D50" s="163">
        <v>1937</v>
      </c>
      <c r="E50" s="163">
        <v>2422</v>
      </c>
      <c r="F50" s="131"/>
      <c r="G50" s="126" t="s">
        <v>826</v>
      </c>
    </row>
    <row r="51" spans="1:7" x14ac:dyDescent="0.35">
      <c r="A51" s="128">
        <v>49</v>
      </c>
      <c r="B51" s="126" t="s">
        <v>827</v>
      </c>
      <c r="C51" s="129" t="s">
        <v>779</v>
      </c>
      <c r="D51" s="163">
        <v>2196</v>
      </c>
      <c r="E51" s="163">
        <v>2745</v>
      </c>
      <c r="F51" s="131"/>
      <c r="G51" s="126" t="s">
        <v>826</v>
      </c>
    </row>
    <row r="52" spans="1:7" x14ac:dyDescent="0.35">
      <c r="A52" s="128">
        <v>50</v>
      </c>
      <c r="B52" s="126" t="s">
        <v>828</v>
      </c>
      <c r="C52" s="129" t="s">
        <v>779</v>
      </c>
      <c r="D52" s="163">
        <v>2368</v>
      </c>
      <c r="E52" s="163">
        <v>2960</v>
      </c>
      <c r="F52" s="131"/>
      <c r="G52" s="126" t="s">
        <v>826</v>
      </c>
    </row>
    <row r="53" spans="1:7" x14ac:dyDescent="0.35">
      <c r="A53" s="128">
        <v>51</v>
      </c>
      <c r="B53" s="126" t="s">
        <v>829</v>
      </c>
      <c r="C53" s="129" t="s">
        <v>732</v>
      </c>
      <c r="D53" s="163">
        <v>1100</v>
      </c>
      <c r="E53" s="163">
        <v>700</v>
      </c>
      <c r="F53" s="163">
        <v>-400</v>
      </c>
      <c r="G53" s="354" t="s">
        <v>806</v>
      </c>
    </row>
    <row r="54" spans="1:7" x14ac:dyDescent="0.35">
      <c r="A54" s="128">
        <v>52</v>
      </c>
      <c r="B54" s="126" t="s">
        <v>830</v>
      </c>
      <c r="C54" s="129" t="s">
        <v>779</v>
      </c>
      <c r="D54" s="163">
        <v>1700</v>
      </c>
      <c r="E54" s="163">
        <v>6674</v>
      </c>
      <c r="F54" s="131"/>
      <c r="G54" s="126" t="s">
        <v>826</v>
      </c>
    </row>
    <row r="55" spans="1:7" x14ac:dyDescent="0.35">
      <c r="A55" s="128">
        <v>53</v>
      </c>
      <c r="B55" s="126" t="s">
        <v>831</v>
      </c>
      <c r="C55" s="129" t="s">
        <v>732</v>
      </c>
      <c r="D55" s="163">
        <v>900</v>
      </c>
      <c r="E55" s="163">
        <v>807</v>
      </c>
      <c r="F55" s="163">
        <v>-93</v>
      </c>
      <c r="G55" s="354" t="s">
        <v>806</v>
      </c>
    </row>
    <row r="56" spans="1:7" x14ac:dyDescent="0.35">
      <c r="A56" s="128">
        <v>54</v>
      </c>
      <c r="B56" s="126" t="s">
        <v>832</v>
      </c>
      <c r="C56" s="129" t="s">
        <v>779</v>
      </c>
      <c r="D56" s="163">
        <v>1300</v>
      </c>
      <c r="E56" s="163">
        <v>1300</v>
      </c>
      <c r="F56" s="131"/>
      <c r="G56" s="126" t="s">
        <v>804</v>
      </c>
    </row>
    <row r="57" spans="1:7" x14ac:dyDescent="0.35">
      <c r="A57" s="128">
        <v>55</v>
      </c>
      <c r="B57" s="126" t="s">
        <v>833</v>
      </c>
      <c r="C57" s="129" t="s">
        <v>779</v>
      </c>
      <c r="D57" s="163">
        <v>1350</v>
      </c>
      <c r="E57" s="163">
        <v>1350</v>
      </c>
      <c r="F57" s="131"/>
      <c r="G57" s="126" t="s">
        <v>804</v>
      </c>
    </row>
    <row r="58" spans="1:7" x14ac:dyDescent="0.35">
      <c r="A58" s="128">
        <v>56</v>
      </c>
      <c r="B58" s="126" t="s">
        <v>834</v>
      </c>
      <c r="C58" s="129" t="s">
        <v>779</v>
      </c>
      <c r="D58" s="163">
        <v>1600</v>
      </c>
      <c r="E58" s="163">
        <v>1600</v>
      </c>
      <c r="F58" s="131"/>
      <c r="G58" s="126" t="s">
        <v>804</v>
      </c>
    </row>
    <row r="59" spans="1:7" x14ac:dyDescent="0.35">
      <c r="A59" s="128">
        <v>57</v>
      </c>
      <c r="B59" s="126" t="s">
        <v>835</v>
      </c>
      <c r="C59" s="166" t="s">
        <v>732</v>
      </c>
      <c r="D59" s="167">
        <v>2195</v>
      </c>
      <c r="E59" s="167">
        <v>2260</v>
      </c>
      <c r="F59" s="131"/>
      <c r="G59" s="126" t="s">
        <v>806</v>
      </c>
    </row>
    <row r="60" spans="1:7" x14ac:dyDescent="0.35">
      <c r="A60" s="128">
        <v>58</v>
      </c>
      <c r="B60" s="126" t="s">
        <v>836</v>
      </c>
      <c r="C60" s="166" t="s">
        <v>803</v>
      </c>
      <c r="D60" s="167">
        <v>1700</v>
      </c>
      <c r="E60" s="167"/>
      <c r="F60" s="131"/>
      <c r="G60" s="126" t="s">
        <v>804</v>
      </c>
    </row>
    <row r="61" spans="1:7" x14ac:dyDescent="0.35">
      <c r="A61" s="128">
        <v>59</v>
      </c>
      <c r="B61" s="126" t="s">
        <v>837</v>
      </c>
      <c r="C61" s="129" t="s">
        <v>779</v>
      </c>
      <c r="D61" s="163">
        <v>2000</v>
      </c>
      <c r="E61" s="163">
        <v>2540</v>
      </c>
      <c r="F61" s="131"/>
      <c r="G61" s="126" t="s">
        <v>804</v>
      </c>
    </row>
    <row r="62" spans="1:7" x14ac:dyDescent="0.35">
      <c r="A62" s="128">
        <v>60</v>
      </c>
      <c r="B62" s="126" t="s">
        <v>838</v>
      </c>
      <c r="C62" s="129" t="s">
        <v>779</v>
      </c>
      <c r="D62" s="163">
        <v>1700</v>
      </c>
      <c r="E62" s="163">
        <v>1938</v>
      </c>
      <c r="F62" s="131"/>
      <c r="G62" s="126" t="s">
        <v>804</v>
      </c>
    </row>
    <row r="63" spans="1:7" x14ac:dyDescent="0.35">
      <c r="A63" s="128">
        <v>61</v>
      </c>
      <c r="B63" s="126" t="s">
        <v>839</v>
      </c>
      <c r="C63" s="129" t="s">
        <v>779</v>
      </c>
      <c r="D63" s="163">
        <v>2000</v>
      </c>
      <c r="E63" s="163">
        <v>2217</v>
      </c>
      <c r="F63" s="131"/>
      <c r="G63" s="126" t="s">
        <v>804</v>
      </c>
    </row>
    <row r="64" spans="1:7" x14ac:dyDescent="0.35">
      <c r="A64" s="128">
        <v>62</v>
      </c>
      <c r="B64" s="126" t="s">
        <v>840</v>
      </c>
      <c r="C64" s="129" t="s">
        <v>779</v>
      </c>
      <c r="D64" s="163">
        <v>1700</v>
      </c>
      <c r="E64" s="163">
        <v>2540</v>
      </c>
      <c r="F64" s="131"/>
      <c r="G64" s="126" t="s">
        <v>804</v>
      </c>
    </row>
    <row r="65" spans="1:7" x14ac:dyDescent="0.35">
      <c r="A65" s="128">
        <v>63</v>
      </c>
      <c r="B65" s="126" t="s">
        <v>841</v>
      </c>
      <c r="C65" s="166" t="s">
        <v>803</v>
      </c>
      <c r="D65" s="167">
        <v>2000</v>
      </c>
      <c r="E65" s="167"/>
      <c r="F65" s="131"/>
      <c r="G65" s="126" t="s">
        <v>804</v>
      </c>
    </row>
    <row r="66" spans="1:7" x14ac:dyDescent="0.35">
      <c r="A66" s="128">
        <v>64</v>
      </c>
      <c r="B66" s="126" t="s">
        <v>842</v>
      </c>
      <c r="C66" s="129" t="s">
        <v>779</v>
      </c>
      <c r="D66" s="163">
        <v>1600</v>
      </c>
      <c r="E66" s="163">
        <v>2702</v>
      </c>
      <c r="F66" s="131"/>
      <c r="G66" s="126" t="s">
        <v>804</v>
      </c>
    </row>
    <row r="67" spans="1:7" x14ac:dyDescent="0.35">
      <c r="A67" s="128">
        <v>65</v>
      </c>
      <c r="B67" s="126" t="s">
        <v>843</v>
      </c>
      <c r="C67" s="129" t="s">
        <v>779</v>
      </c>
      <c r="D67" s="163">
        <v>1900</v>
      </c>
      <c r="E67" s="163">
        <v>3531</v>
      </c>
      <c r="F67" s="131"/>
      <c r="G67" s="126" t="s">
        <v>804</v>
      </c>
    </row>
    <row r="68" spans="1:7" x14ac:dyDescent="0.35">
      <c r="A68" s="128">
        <v>66</v>
      </c>
      <c r="B68" s="126" t="s">
        <v>844</v>
      </c>
      <c r="C68" s="129" t="s">
        <v>779</v>
      </c>
      <c r="D68" s="163">
        <v>1600</v>
      </c>
      <c r="E68" s="163">
        <v>2562</v>
      </c>
      <c r="F68" s="131"/>
      <c r="G68" s="126" t="s">
        <v>804</v>
      </c>
    </row>
    <row r="69" spans="1:7" x14ac:dyDescent="0.35">
      <c r="A69" s="128">
        <v>67</v>
      </c>
      <c r="B69" s="126" t="s">
        <v>845</v>
      </c>
      <c r="C69" s="166" t="s">
        <v>803</v>
      </c>
      <c r="D69" s="167">
        <v>1900</v>
      </c>
      <c r="E69" s="167"/>
      <c r="F69" s="131"/>
      <c r="G69" s="126" t="s">
        <v>804</v>
      </c>
    </row>
    <row r="70" spans="1:7" x14ac:dyDescent="0.35">
      <c r="A70" s="128">
        <v>68</v>
      </c>
      <c r="B70" s="126" t="s">
        <v>846</v>
      </c>
      <c r="C70" s="129" t="s">
        <v>779</v>
      </c>
      <c r="D70" s="163">
        <v>1700</v>
      </c>
      <c r="E70" s="163">
        <v>2282</v>
      </c>
      <c r="F70" s="131"/>
      <c r="G70" s="126" t="s">
        <v>804</v>
      </c>
    </row>
    <row r="71" spans="1:7" x14ac:dyDescent="0.35">
      <c r="A71" s="128">
        <v>69</v>
      </c>
      <c r="B71" s="126" t="s">
        <v>847</v>
      </c>
      <c r="C71" s="166" t="s">
        <v>803</v>
      </c>
      <c r="D71" s="167">
        <v>2000</v>
      </c>
      <c r="E71" s="167"/>
      <c r="F71" s="131"/>
      <c r="G71" s="126" t="s">
        <v>804</v>
      </c>
    </row>
    <row r="72" spans="1:7" x14ac:dyDescent="0.35">
      <c r="A72" s="128">
        <v>70</v>
      </c>
      <c r="B72" s="126" t="s">
        <v>848</v>
      </c>
      <c r="C72" s="129" t="s">
        <v>779</v>
      </c>
      <c r="D72" s="163">
        <v>3000</v>
      </c>
      <c r="E72" s="163">
        <v>2454</v>
      </c>
      <c r="F72" s="131"/>
      <c r="G72" s="126" t="s">
        <v>804</v>
      </c>
    </row>
    <row r="73" spans="1:7" x14ac:dyDescent="0.35">
      <c r="A73" s="128">
        <v>71</v>
      </c>
      <c r="B73" s="126" t="s">
        <v>849</v>
      </c>
      <c r="C73" s="166" t="s">
        <v>732</v>
      </c>
      <c r="D73" s="167">
        <v>6750</v>
      </c>
      <c r="E73" s="167">
        <v>5328</v>
      </c>
      <c r="F73" s="131"/>
      <c r="G73" s="126" t="s">
        <v>850</v>
      </c>
    </row>
    <row r="74" spans="1:7" x14ac:dyDescent="0.35">
      <c r="A74" s="128">
        <v>72</v>
      </c>
      <c r="B74" s="126" t="s">
        <v>851</v>
      </c>
      <c r="C74" s="129" t="s">
        <v>779</v>
      </c>
      <c r="D74" s="163">
        <v>8750</v>
      </c>
      <c r="E74" s="163">
        <v>7158</v>
      </c>
      <c r="F74" s="131"/>
      <c r="G74" s="126" t="s">
        <v>804</v>
      </c>
    </row>
    <row r="75" spans="1:7" x14ac:dyDescent="0.35">
      <c r="A75" s="128">
        <v>73</v>
      </c>
      <c r="B75" s="126" t="s">
        <v>852</v>
      </c>
      <c r="C75" s="168" t="s">
        <v>853</v>
      </c>
      <c r="D75" s="169"/>
      <c r="E75" s="169">
        <v>205</v>
      </c>
      <c r="F75" s="131"/>
      <c r="G75" s="126" t="s">
        <v>854</v>
      </c>
    </row>
    <row r="76" spans="1:7" x14ac:dyDescent="0.35">
      <c r="A76" s="128">
        <v>74</v>
      </c>
      <c r="B76" s="126" t="s">
        <v>855</v>
      </c>
      <c r="C76" s="168" t="s">
        <v>853</v>
      </c>
      <c r="D76" s="169"/>
      <c r="E76" s="169">
        <v>226</v>
      </c>
      <c r="F76" s="131"/>
      <c r="G76" s="126" t="s">
        <v>854</v>
      </c>
    </row>
    <row r="77" spans="1:7" x14ac:dyDescent="0.35">
      <c r="A77" s="128">
        <v>75</v>
      </c>
      <c r="B77" s="126" t="s">
        <v>856</v>
      </c>
      <c r="C77" s="168" t="s">
        <v>853</v>
      </c>
      <c r="D77" s="169"/>
      <c r="E77" s="169">
        <v>538</v>
      </c>
      <c r="F77" s="131"/>
      <c r="G77" s="126" t="s">
        <v>854</v>
      </c>
    </row>
    <row r="78" spans="1:7" x14ac:dyDescent="0.35">
      <c r="A78" s="128">
        <v>76</v>
      </c>
      <c r="B78" s="126" t="s">
        <v>857</v>
      </c>
      <c r="C78" s="168" t="s">
        <v>853</v>
      </c>
      <c r="D78" s="169"/>
      <c r="E78" s="169">
        <v>538</v>
      </c>
      <c r="F78" s="131"/>
      <c r="G78" s="126" t="s">
        <v>854</v>
      </c>
    </row>
    <row r="79" spans="1:7" x14ac:dyDescent="0.35">
      <c r="A79" s="128">
        <v>77</v>
      </c>
      <c r="B79" s="126" t="s">
        <v>858</v>
      </c>
      <c r="C79" s="168" t="s">
        <v>853</v>
      </c>
      <c r="D79" s="169"/>
      <c r="E79" s="169">
        <v>248</v>
      </c>
      <c r="F79" s="131"/>
      <c r="G79" s="126" t="s">
        <v>854</v>
      </c>
    </row>
    <row r="80" spans="1:7" x14ac:dyDescent="0.35">
      <c r="A80" s="128">
        <v>78</v>
      </c>
      <c r="B80" s="126" t="s">
        <v>859</v>
      </c>
      <c r="C80" s="168" t="s">
        <v>853</v>
      </c>
      <c r="D80" s="169"/>
      <c r="E80" s="169">
        <v>258</v>
      </c>
      <c r="F80" s="131"/>
      <c r="G80" s="126" t="s">
        <v>854</v>
      </c>
    </row>
    <row r="81" spans="1:7" x14ac:dyDescent="0.35">
      <c r="A81" s="128">
        <v>79</v>
      </c>
      <c r="B81" s="126" t="s">
        <v>860</v>
      </c>
      <c r="C81" s="168" t="s">
        <v>853</v>
      </c>
      <c r="D81" s="169"/>
      <c r="E81" s="169">
        <v>452</v>
      </c>
      <c r="F81" s="131"/>
      <c r="G81" s="126" t="s">
        <v>854</v>
      </c>
    </row>
    <row r="82" spans="1:7" x14ac:dyDescent="0.35">
      <c r="A82" s="128">
        <v>80</v>
      </c>
      <c r="B82" s="126" t="s">
        <v>861</v>
      </c>
      <c r="C82" s="168" t="s">
        <v>853</v>
      </c>
      <c r="D82" s="169"/>
      <c r="E82" s="169">
        <v>1206</v>
      </c>
      <c r="F82" s="131"/>
      <c r="G82" s="126" t="s">
        <v>854</v>
      </c>
    </row>
    <row r="83" spans="1:7" x14ac:dyDescent="0.35">
      <c r="A83" s="128">
        <v>81</v>
      </c>
      <c r="B83" s="126" t="s">
        <v>862</v>
      </c>
      <c r="C83" s="168" t="s">
        <v>853</v>
      </c>
      <c r="D83" s="169"/>
      <c r="E83" s="169">
        <v>1432</v>
      </c>
      <c r="F83" s="131"/>
      <c r="G83" s="126" t="s">
        <v>854</v>
      </c>
    </row>
    <row r="84" spans="1:7" x14ac:dyDescent="0.35">
      <c r="A84" s="128">
        <v>82</v>
      </c>
      <c r="B84" s="126" t="s">
        <v>863</v>
      </c>
      <c r="C84" s="168" t="s">
        <v>853</v>
      </c>
      <c r="D84" s="169"/>
      <c r="E84" s="169">
        <v>1668</v>
      </c>
      <c r="F84" s="131"/>
      <c r="G84" s="126" t="s">
        <v>854</v>
      </c>
    </row>
    <row r="85" spans="1:7" x14ac:dyDescent="0.35">
      <c r="A85" s="128">
        <v>83</v>
      </c>
      <c r="B85" s="126" t="s">
        <v>864</v>
      </c>
      <c r="C85" s="168" t="s">
        <v>853</v>
      </c>
      <c r="D85" s="169"/>
      <c r="E85" s="169">
        <v>1211</v>
      </c>
      <c r="F85" s="131"/>
      <c r="G85" s="126" t="s">
        <v>854</v>
      </c>
    </row>
    <row r="86" spans="1:7" x14ac:dyDescent="0.35">
      <c r="A86" s="128">
        <v>84</v>
      </c>
      <c r="B86" s="126" t="s">
        <v>865</v>
      </c>
      <c r="C86" s="168" t="s">
        <v>853</v>
      </c>
      <c r="D86" s="169"/>
      <c r="E86" s="169">
        <v>3079</v>
      </c>
      <c r="F86" s="131"/>
      <c r="G86" s="126" t="s">
        <v>854</v>
      </c>
    </row>
    <row r="87" spans="1:7" x14ac:dyDescent="0.35">
      <c r="A87" s="128">
        <v>85</v>
      </c>
      <c r="B87" s="126" t="s">
        <v>866</v>
      </c>
      <c r="C87" s="168" t="s">
        <v>853</v>
      </c>
      <c r="D87" s="169"/>
      <c r="E87" s="169">
        <v>1830</v>
      </c>
      <c r="F87" s="131"/>
      <c r="G87" s="126" t="s">
        <v>854</v>
      </c>
    </row>
    <row r="88" spans="1:7" x14ac:dyDescent="0.35">
      <c r="A88" s="128">
        <v>86</v>
      </c>
      <c r="B88" s="126" t="s">
        <v>867</v>
      </c>
      <c r="C88" s="168" t="s">
        <v>853</v>
      </c>
      <c r="D88" s="169"/>
      <c r="E88" s="169">
        <v>710</v>
      </c>
      <c r="F88" s="131"/>
      <c r="G88" s="126" t="s">
        <v>854</v>
      </c>
    </row>
    <row r="89" spans="1:7" x14ac:dyDescent="0.35">
      <c r="A89" s="128">
        <v>87</v>
      </c>
      <c r="B89" s="126" t="s">
        <v>868</v>
      </c>
      <c r="C89" s="168" t="s">
        <v>853</v>
      </c>
      <c r="D89" s="169"/>
      <c r="E89" s="169">
        <v>904</v>
      </c>
      <c r="F89" s="131"/>
      <c r="G89" s="126" t="s">
        <v>854</v>
      </c>
    </row>
    <row r="90" spans="1:7" x14ac:dyDescent="0.35">
      <c r="A90" s="128">
        <v>88</v>
      </c>
      <c r="B90" s="126" t="s">
        <v>869</v>
      </c>
      <c r="C90" s="168" t="s">
        <v>853</v>
      </c>
      <c r="D90" s="169"/>
      <c r="E90" s="169">
        <v>2174</v>
      </c>
      <c r="F90" s="131"/>
      <c r="G90" s="126" t="s">
        <v>854</v>
      </c>
    </row>
  </sheetData>
  <mergeCells count="1">
    <mergeCell ref="A1:F1"/>
  </mergeCells>
  <hyperlinks>
    <hyperlink ref="G1" location="'สารบัญ'!A1" display="🏠 สารบัญ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N25"/>
  <sheetViews>
    <sheetView workbookViewId="0"/>
  </sheetViews>
  <sheetFormatPr defaultRowHeight="14.5" x14ac:dyDescent="0.35"/>
  <cols>
    <col min="1" max="1" width="31.7265625" customWidth="1"/>
    <col min="2" max="2" width="14.26953125" customWidth="1"/>
    <col min="3" max="3" width="24.7265625" customWidth="1"/>
    <col min="4" max="4" width="9" customWidth="1"/>
    <col min="5" max="6" width="8" customWidth="1"/>
    <col min="7" max="7" width="13.08984375" customWidth="1"/>
    <col min="8" max="8" width="7.453125" customWidth="1"/>
    <col min="9" max="9" width="9.453125" customWidth="1"/>
    <col min="10" max="11" width="8.453125" customWidth="1"/>
    <col min="14" max="14" width="14.26953125" customWidth="1"/>
  </cols>
  <sheetData>
    <row r="1" spans="1:14" x14ac:dyDescent="0.35">
      <c r="A1" s="217" t="s">
        <v>870</v>
      </c>
      <c r="B1" s="217" t="s">
        <v>871</v>
      </c>
      <c r="C1" s="217" t="s">
        <v>872</v>
      </c>
      <c r="D1" s="217" t="s">
        <v>873</v>
      </c>
      <c r="E1" s="217" t="s">
        <v>874</v>
      </c>
      <c r="F1" s="217" t="s">
        <v>875</v>
      </c>
      <c r="G1" s="388" t="s">
        <v>78</v>
      </c>
      <c r="H1" s="395" t="s">
        <v>876</v>
      </c>
      <c r="I1" s="217" t="s">
        <v>877</v>
      </c>
      <c r="J1" s="217" t="s">
        <v>878</v>
      </c>
      <c r="K1" s="217" t="s">
        <v>879</v>
      </c>
      <c r="L1" s="319"/>
      <c r="N1" s="218" t="s">
        <v>871</v>
      </c>
    </row>
    <row r="2" spans="1:14" x14ac:dyDescent="0.35">
      <c r="A2" s="219" t="s">
        <v>880</v>
      </c>
      <c r="B2" s="219" t="s">
        <v>881</v>
      </c>
      <c r="C2" s="219" t="s">
        <v>882</v>
      </c>
      <c r="D2" s="220">
        <v>8.5000000000000006E-2</v>
      </c>
      <c r="E2" s="220">
        <v>6</v>
      </c>
      <c r="F2" s="220">
        <v>420</v>
      </c>
      <c r="G2" s="220" t="s">
        <v>489</v>
      </c>
      <c r="H2" s="220">
        <v>70</v>
      </c>
      <c r="I2" s="220">
        <v>6</v>
      </c>
      <c r="J2" s="220">
        <v>1</v>
      </c>
      <c r="K2" s="220">
        <v>0</v>
      </c>
      <c r="N2" s="221" t="s">
        <v>881</v>
      </c>
    </row>
    <row r="3" spans="1:14" x14ac:dyDescent="0.35">
      <c r="A3" s="219" t="s">
        <v>883</v>
      </c>
      <c r="B3" s="219" t="s">
        <v>881</v>
      </c>
      <c r="C3" s="219" t="s">
        <v>884</v>
      </c>
      <c r="D3" s="220">
        <v>8.5000000000000006E-2</v>
      </c>
      <c r="E3" s="220">
        <v>6</v>
      </c>
      <c r="F3" s="220">
        <v>580</v>
      </c>
      <c r="G3" s="220" t="s">
        <v>489</v>
      </c>
      <c r="H3" s="220">
        <v>70</v>
      </c>
      <c r="I3" s="220">
        <v>6</v>
      </c>
      <c r="J3" s="220">
        <v>1</v>
      </c>
      <c r="K3" s="220">
        <v>0</v>
      </c>
      <c r="N3" s="221" t="s">
        <v>885</v>
      </c>
    </row>
    <row r="4" spans="1:14" x14ac:dyDescent="0.35">
      <c r="A4" s="219" t="s">
        <v>886</v>
      </c>
      <c r="B4" s="219" t="s">
        <v>885</v>
      </c>
      <c r="C4" s="219" t="s">
        <v>887</v>
      </c>
      <c r="D4" s="220">
        <v>8.5000000000000006E-2</v>
      </c>
      <c r="E4" s="220">
        <v>6</v>
      </c>
      <c r="F4" s="220">
        <v>1300</v>
      </c>
      <c r="G4" s="220" t="s">
        <v>621</v>
      </c>
      <c r="H4" s="220">
        <v>0</v>
      </c>
      <c r="I4" s="220">
        <v>1</v>
      </c>
      <c r="J4" s="220">
        <v>0</v>
      </c>
      <c r="K4" s="220">
        <v>1</v>
      </c>
      <c r="N4" s="221" t="s">
        <v>888</v>
      </c>
    </row>
    <row r="5" spans="1:14" x14ac:dyDescent="0.35">
      <c r="A5" s="219" t="s">
        <v>889</v>
      </c>
      <c r="B5" s="219" t="s">
        <v>885</v>
      </c>
      <c r="C5" s="219" t="s">
        <v>890</v>
      </c>
      <c r="D5" s="220">
        <v>8.5000000000000006E-2</v>
      </c>
      <c r="E5" s="220">
        <v>6</v>
      </c>
      <c r="F5" s="220">
        <v>1400</v>
      </c>
      <c r="G5" s="220" t="s">
        <v>621</v>
      </c>
      <c r="H5" s="220">
        <v>0</v>
      </c>
      <c r="I5" s="220">
        <v>1</v>
      </c>
      <c r="J5" s="220">
        <v>0</v>
      </c>
      <c r="K5" s="220">
        <v>1</v>
      </c>
      <c r="N5" s="221" t="s">
        <v>891</v>
      </c>
    </row>
    <row r="6" spans="1:14" x14ac:dyDescent="0.35">
      <c r="A6" s="219" t="s">
        <v>892</v>
      </c>
      <c r="B6" s="219" t="s">
        <v>888</v>
      </c>
      <c r="C6" s="219" t="s">
        <v>893</v>
      </c>
      <c r="D6" s="220">
        <v>0.20399999999999999</v>
      </c>
      <c r="E6" s="220">
        <v>3</v>
      </c>
      <c r="F6" s="220">
        <v>140</v>
      </c>
      <c r="G6" s="220" t="s">
        <v>489</v>
      </c>
      <c r="H6" s="220">
        <v>130</v>
      </c>
      <c r="I6" s="220">
        <v>3</v>
      </c>
      <c r="J6" s="220">
        <v>0</v>
      </c>
      <c r="K6" s="220">
        <v>0</v>
      </c>
    </row>
    <row r="7" spans="1:14" x14ac:dyDescent="0.35">
      <c r="A7" s="219" t="s">
        <v>894</v>
      </c>
      <c r="B7" s="219" t="s">
        <v>888</v>
      </c>
      <c r="C7" s="219" t="s">
        <v>895</v>
      </c>
      <c r="D7" s="220">
        <v>0.153</v>
      </c>
      <c r="E7" s="220">
        <v>3</v>
      </c>
      <c r="F7" s="220">
        <v>140</v>
      </c>
      <c r="G7" s="220" t="s">
        <v>489</v>
      </c>
      <c r="H7" s="220">
        <v>130</v>
      </c>
      <c r="I7" s="220">
        <v>3</v>
      </c>
      <c r="J7" s="220">
        <v>0</v>
      </c>
      <c r="K7" s="220">
        <v>0</v>
      </c>
    </row>
    <row r="8" spans="1:14" x14ac:dyDescent="0.35">
      <c r="A8" s="219" t="s">
        <v>896</v>
      </c>
      <c r="B8" s="219" t="s">
        <v>888</v>
      </c>
      <c r="C8" s="219" t="s">
        <v>897</v>
      </c>
      <c r="D8" s="220">
        <v>0.16</v>
      </c>
      <c r="E8" s="220">
        <v>3</v>
      </c>
      <c r="F8" s="220">
        <v>140</v>
      </c>
      <c r="G8" s="220" t="s">
        <v>489</v>
      </c>
      <c r="H8" s="220">
        <v>130</v>
      </c>
      <c r="I8" s="220">
        <v>3</v>
      </c>
      <c r="J8" s="220">
        <v>0</v>
      </c>
      <c r="K8" s="220">
        <v>0</v>
      </c>
    </row>
    <row r="9" spans="1:14" x14ac:dyDescent="0.35">
      <c r="A9" s="219" t="s">
        <v>898</v>
      </c>
      <c r="B9" s="219" t="s">
        <v>888</v>
      </c>
      <c r="C9" s="219" t="s">
        <v>899</v>
      </c>
      <c r="D9" s="220">
        <v>0.158</v>
      </c>
      <c r="E9" s="220">
        <v>3</v>
      </c>
      <c r="F9" s="220">
        <v>140</v>
      </c>
      <c r="G9" s="220" t="s">
        <v>489</v>
      </c>
      <c r="H9" s="220">
        <v>130</v>
      </c>
      <c r="I9" s="220">
        <v>3</v>
      </c>
      <c r="J9" s="220">
        <v>0</v>
      </c>
      <c r="K9" s="220">
        <v>0</v>
      </c>
    </row>
    <row r="10" spans="1:14" x14ac:dyDescent="0.35">
      <c r="A10" s="219" t="s">
        <v>900</v>
      </c>
      <c r="B10" s="219" t="s">
        <v>888</v>
      </c>
      <c r="C10" s="219" t="s">
        <v>901</v>
      </c>
      <c r="D10" s="220">
        <v>0.15240000000000001</v>
      </c>
      <c r="E10" s="220">
        <v>2.9</v>
      </c>
      <c r="F10" s="220">
        <v>310</v>
      </c>
      <c r="G10" s="220" t="s">
        <v>489</v>
      </c>
      <c r="H10" s="220">
        <v>275</v>
      </c>
      <c r="I10" s="220">
        <v>2.9</v>
      </c>
      <c r="J10" s="220">
        <v>0</v>
      </c>
      <c r="K10" s="220">
        <v>0</v>
      </c>
    </row>
    <row r="11" spans="1:14" x14ac:dyDescent="0.35">
      <c r="A11" s="219" t="s">
        <v>902</v>
      </c>
      <c r="B11" s="219" t="s">
        <v>888</v>
      </c>
      <c r="C11" s="219" t="s">
        <v>903</v>
      </c>
      <c r="D11" s="220">
        <v>0.185</v>
      </c>
      <c r="E11" s="220">
        <v>2.9</v>
      </c>
      <c r="F11" s="220">
        <v>310</v>
      </c>
      <c r="G11" s="220" t="s">
        <v>489</v>
      </c>
      <c r="H11" s="220">
        <v>275</v>
      </c>
      <c r="I11" s="220">
        <v>2.9</v>
      </c>
      <c r="J11" s="220">
        <v>0</v>
      </c>
      <c r="K11" s="220">
        <v>0</v>
      </c>
    </row>
    <row r="12" spans="1:14" x14ac:dyDescent="0.35">
      <c r="A12" s="219" t="s">
        <v>904</v>
      </c>
      <c r="B12" s="219" t="s">
        <v>891</v>
      </c>
      <c r="C12" s="219" t="s">
        <v>905</v>
      </c>
      <c r="D12" s="220">
        <v>0.14000000000000001</v>
      </c>
      <c r="E12" s="220">
        <v>2.8</v>
      </c>
      <c r="F12" s="220">
        <v>500</v>
      </c>
      <c r="G12" s="220" t="s">
        <v>487</v>
      </c>
      <c r="H12" s="220">
        <v>300</v>
      </c>
      <c r="I12" s="220">
        <v>2.8</v>
      </c>
      <c r="J12" s="220">
        <v>0</v>
      </c>
      <c r="K12" s="220">
        <v>0</v>
      </c>
    </row>
    <row r="13" spans="1:14" x14ac:dyDescent="0.35">
      <c r="A13" s="219" t="s">
        <v>906</v>
      </c>
      <c r="B13" s="219" t="s">
        <v>891</v>
      </c>
      <c r="C13" s="219" t="s">
        <v>907</v>
      </c>
      <c r="D13" s="220">
        <v>0.16500000000000001</v>
      </c>
      <c r="E13" s="220">
        <v>2.8</v>
      </c>
      <c r="F13" s="220">
        <v>600</v>
      </c>
      <c r="G13" s="220" t="s">
        <v>487</v>
      </c>
      <c r="H13" s="220">
        <v>300</v>
      </c>
      <c r="I13" s="220">
        <v>2.8</v>
      </c>
      <c r="J13" s="220">
        <v>0</v>
      </c>
      <c r="K13" s="220">
        <v>0</v>
      </c>
    </row>
    <row r="14" spans="1:14" x14ac:dyDescent="0.35">
      <c r="A14" s="219" t="s">
        <v>908</v>
      </c>
      <c r="B14" s="219" t="s">
        <v>891</v>
      </c>
      <c r="C14" s="219" t="s">
        <v>909</v>
      </c>
      <c r="D14" s="220">
        <v>0.219</v>
      </c>
      <c r="E14" s="220">
        <v>2.8</v>
      </c>
      <c r="F14" s="220">
        <v>950</v>
      </c>
      <c r="G14" s="220" t="s">
        <v>487</v>
      </c>
      <c r="H14" s="220">
        <v>300</v>
      </c>
      <c r="I14" s="220">
        <v>2.8</v>
      </c>
      <c r="J14" s="220">
        <v>0</v>
      </c>
      <c r="K14" s="220">
        <v>0</v>
      </c>
    </row>
    <row r="15" spans="1:14" x14ac:dyDescent="0.35">
      <c r="A15" s="219" t="s">
        <v>910</v>
      </c>
      <c r="B15" s="219" t="s">
        <v>891</v>
      </c>
      <c r="C15" s="219" t="s">
        <v>911</v>
      </c>
      <c r="D15" s="220">
        <v>0.13</v>
      </c>
      <c r="E15" s="220">
        <v>2.8</v>
      </c>
      <c r="F15" s="220">
        <v>730</v>
      </c>
      <c r="G15" s="220" t="s">
        <v>487</v>
      </c>
      <c r="H15" s="220">
        <v>300</v>
      </c>
      <c r="I15" s="220">
        <v>2.8</v>
      </c>
      <c r="J15" s="220">
        <v>0</v>
      </c>
      <c r="K15" s="220">
        <v>0</v>
      </c>
    </row>
    <row r="16" spans="1:14" x14ac:dyDescent="0.35">
      <c r="A16" s="219" t="s">
        <v>912</v>
      </c>
      <c r="B16" s="219" t="s">
        <v>891</v>
      </c>
      <c r="C16" s="219" t="s">
        <v>913</v>
      </c>
      <c r="D16" s="220">
        <v>0.16200000000000001</v>
      </c>
      <c r="E16" s="220">
        <v>2.8</v>
      </c>
      <c r="F16" s="220">
        <v>900</v>
      </c>
      <c r="G16" s="220" t="s">
        <v>487</v>
      </c>
      <c r="H16" s="220">
        <v>300</v>
      </c>
      <c r="I16" s="220">
        <v>2.8</v>
      </c>
      <c r="J16" s="220">
        <v>0</v>
      </c>
      <c r="K16" s="220">
        <v>0</v>
      </c>
    </row>
    <row r="17" spans="1:11" x14ac:dyDescent="0.35">
      <c r="A17" s="219" t="s">
        <v>914</v>
      </c>
      <c r="B17" s="219" t="s">
        <v>891</v>
      </c>
      <c r="C17" s="219" t="s">
        <v>915</v>
      </c>
      <c r="D17" s="220">
        <v>0.14000000000000001</v>
      </c>
      <c r="E17" s="220">
        <v>2.8</v>
      </c>
      <c r="F17" s="220">
        <v>850</v>
      </c>
      <c r="G17" s="220" t="s">
        <v>487</v>
      </c>
      <c r="H17" s="220">
        <v>300</v>
      </c>
      <c r="I17" s="220">
        <v>2.8</v>
      </c>
      <c r="J17" s="220">
        <v>0</v>
      </c>
      <c r="K17" s="220">
        <v>0</v>
      </c>
    </row>
    <row r="18" spans="1:11" x14ac:dyDescent="0.35">
      <c r="A18" s="219" t="s">
        <v>916</v>
      </c>
      <c r="B18" s="219" t="s">
        <v>891</v>
      </c>
      <c r="C18" s="219" t="s">
        <v>917</v>
      </c>
      <c r="D18" s="220">
        <v>0.15</v>
      </c>
      <c r="E18" s="220">
        <v>2.8</v>
      </c>
      <c r="F18" s="220">
        <v>950</v>
      </c>
      <c r="G18" s="220" t="s">
        <v>487</v>
      </c>
      <c r="H18" s="220">
        <v>300</v>
      </c>
      <c r="I18" s="220">
        <v>2.8</v>
      </c>
      <c r="J18" s="220">
        <v>0</v>
      </c>
      <c r="K18" s="220">
        <v>0</v>
      </c>
    </row>
    <row r="19" spans="1:11" x14ac:dyDescent="0.35">
      <c r="A19" s="219" t="s">
        <v>918</v>
      </c>
      <c r="B19" s="219" t="s">
        <v>891</v>
      </c>
      <c r="C19" s="219" t="s">
        <v>919</v>
      </c>
      <c r="D19" s="220">
        <v>0.219</v>
      </c>
      <c r="E19" s="220">
        <v>2.8</v>
      </c>
      <c r="F19" s="220">
        <v>1300</v>
      </c>
      <c r="G19" s="220" t="s">
        <v>487</v>
      </c>
      <c r="H19" s="220">
        <v>300</v>
      </c>
      <c r="I19" s="220">
        <v>2.8</v>
      </c>
      <c r="J19" s="220">
        <v>0</v>
      </c>
      <c r="K19" s="220">
        <v>0</v>
      </c>
    </row>
    <row r="20" spans="1:11" x14ac:dyDescent="0.35">
      <c r="A20" s="219" t="s">
        <v>920</v>
      </c>
      <c r="B20" s="219" t="s">
        <v>891</v>
      </c>
      <c r="C20" s="219" t="s">
        <v>921</v>
      </c>
      <c r="D20" s="220">
        <v>0.12</v>
      </c>
      <c r="E20" s="220">
        <v>2.8</v>
      </c>
      <c r="F20" s="220">
        <v>390</v>
      </c>
      <c r="G20" s="220" t="s">
        <v>487</v>
      </c>
      <c r="H20" s="220">
        <v>300</v>
      </c>
      <c r="I20" s="220">
        <v>2.8</v>
      </c>
      <c r="J20" s="220">
        <v>0</v>
      </c>
      <c r="K20" s="220">
        <v>0</v>
      </c>
    </row>
    <row r="21" spans="1:11" x14ac:dyDescent="0.35">
      <c r="A21" s="219" t="s">
        <v>922</v>
      </c>
      <c r="B21" s="219" t="s">
        <v>891</v>
      </c>
      <c r="C21" s="219" t="s">
        <v>923</v>
      </c>
      <c r="D21" s="220">
        <v>0.14899999999999999</v>
      </c>
      <c r="E21" s="220">
        <v>2.8</v>
      </c>
      <c r="F21" s="220">
        <v>680</v>
      </c>
      <c r="G21" s="220" t="s">
        <v>487</v>
      </c>
      <c r="H21" s="220">
        <v>300</v>
      </c>
      <c r="I21" s="220">
        <v>2.8</v>
      </c>
      <c r="J21" s="220">
        <v>0</v>
      </c>
      <c r="K21" s="220">
        <v>0</v>
      </c>
    </row>
    <row r="22" spans="1:11" x14ac:dyDescent="0.35">
      <c r="A22" s="219" t="s">
        <v>924</v>
      </c>
      <c r="B22" s="219" t="s">
        <v>891</v>
      </c>
      <c r="C22" s="219" t="s">
        <v>925</v>
      </c>
      <c r="D22" s="220">
        <v>0.16800000000000001</v>
      </c>
      <c r="E22" s="220">
        <v>2.8</v>
      </c>
      <c r="F22" s="220">
        <v>780</v>
      </c>
      <c r="G22" s="220" t="s">
        <v>487</v>
      </c>
      <c r="H22" s="220">
        <v>300</v>
      </c>
      <c r="I22" s="220">
        <v>2.8</v>
      </c>
      <c r="J22" s="220">
        <v>0</v>
      </c>
      <c r="K22" s="220">
        <v>0</v>
      </c>
    </row>
    <row r="23" spans="1:11" x14ac:dyDescent="0.35">
      <c r="A23" s="219" t="s">
        <v>926</v>
      </c>
      <c r="B23" s="219" t="s">
        <v>891</v>
      </c>
      <c r="C23" s="219" t="s">
        <v>927</v>
      </c>
      <c r="D23" s="220">
        <v>0.21199999999999999</v>
      </c>
      <c r="E23" s="220">
        <v>2.8</v>
      </c>
      <c r="F23" s="220">
        <v>980</v>
      </c>
      <c r="G23" s="220" t="s">
        <v>487</v>
      </c>
      <c r="H23" s="220">
        <v>300</v>
      </c>
      <c r="I23" s="220">
        <v>2.8</v>
      </c>
      <c r="J23" s="220">
        <v>0</v>
      </c>
      <c r="K23" s="220">
        <v>0</v>
      </c>
    </row>
    <row r="24" spans="1:11" x14ac:dyDescent="0.35">
      <c r="A24" s="219" t="s">
        <v>928</v>
      </c>
      <c r="B24" s="219" t="s">
        <v>891</v>
      </c>
      <c r="C24" s="219" t="s">
        <v>929</v>
      </c>
      <c r="D24" s="220">
        <v>0.15</v>
      </c>
      <c r="E24" s="220">
        <v>2.8</v>
      </c>
      <c r="F24" s="220">
        <v>2500</v>
      </c>
      <c r="G24" s="220" t="s">
        <v>487</v>
      </c>
      <c r="H24" s="220">
        <v>300</v>
      </c>
      <c r="I24" s="220">
        <v>2.8</v>
      </c>
      <c r="J24" s="220">
        <v>0</v>
      </c>
      <c r="K24" s="220">
        <v>0</v>
      </c>
    </row>
    <row r="25" spans="1:11" x14ac:dyDescent="0.35">
      <c r="A25" s="219" t="s">
        <v>930</v>
      </c>
      <c r="B25" s="219" t="s">
        <v>891</v>
      </c>
      <c r="C25" s="219" t="s">
        <v>931</v>
      </c>
      <c r="D25" s="220">
        <v>0.11600000000000001</v>
      </c>
      <c r="E25" s="220">
        <v>2.8</v>
      </c>
      <c r="F25" s="220">
        <v>2100</v>
      </c>
      <c r="G25" s="220" t="s">
        <v>487</v>
      </c>
      <c r="H25" s="220">
        <v>300</v>
      </c>
      <c r="I25" s="220">
        <v>2.8</v>
      </c>
      <c r="J25" s="220">
        <v>0</v>
      </c>
      <c r="K25" s="220">
        <v>0</v>
      </c>
    </row>
  </sheetData>
  <hyperlinks>
    <hyperlink ref="G1" location="'สารบัญ'!A1" display="🏠 สารบัญ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I247"/>
  <sheetViews>
    <sheetView workbookViewId="0"/>
  </sheetViews>
  <sheetFormatPr defaultRowHeight="14.5" x14ac:dyDescent="0.35"/>
  <cols>
    <col min="1" max="2" width="46" customWidth="1"/>
    <col min="3" max="3" width="14.08984375" customWidth="1"/>
    <col min="4" max="4" width="30" customWidth="1"/>
    <col min="5" max="5" width="46" customWidth="1"/>
    <col min="6" max="6" width="10.90625" customWidth="1"/>
    <col min="7" max="7" width="13.08984375" customWidth="1"/>
    <col min="8" max="8" width="26" customWidth="1"/>
    <col min="9" max="9" width="36.08984375" customWidth="1"/>
  </cols>
  <sheetData>
    <row r="1" spans="1:9" ht="16" x14ac:dyDescent="0.35">
      <c r="A1" s="194" t="s">
        <v>932</v>
      </c>
      <c r="B1" s="319"/>
      <c r="G1" s="388" t="s">
        <v>78</v>
      </c>
      <c r="H1" s="389"/>
    </row>
    <row r="2" spans="1:9" x14ac:dyDescent="0.35">
      <c r="B2" s="217" t="s">
        <v>79</v>
      </c>
      <c r="C2" s="217" t="s">
        <v>109</v>
      </c>
      <c r="D2" s="217" t="s">
        <v>933</v>
      </c>
      <c r="E2" s="217" t="s">
        <v>934</v>
      </c>
      <c r="F2" s="217" t="s">
        <v>935</v>
      </c>
      <c r="G2" s="217" t="s">
        <v>936</v>
      </c>
      <c r="H2" s="217" t="s">
        <v>937</v>
      </c>
      <c r="I2" s="217" t="s">
        <v>587</v>
      </c>
    </row>
    <row r="3" spans="1:9" x14ac:dyDescent="0.35">
      <c r="B3" s="296" t="s">
        <v>938</v>
      </c>
    </row>
    <row r="4" spans="1:9" x14ac:dyDescent="0.35">
      <c r="B4" s="219" t="s">
        <v>447</v>
      </c>
      <c r="C4" s="219" t="s">
        <v>331</v>
      </c>
      <c r="D4" s="219" t="s">
        <v>939</v>
      </c>
      <c r="E4" s="219" t="s">
        <v>332</v>
      </c>
      <c r="F4" s="220">
        <v>6</v>
      </c>
      <c r="G4" s="297">
        <v>0.19600000000000001</v>
      </c>
      <c r="H4" s="297">
        <v>1.18</v>
      </c>
      <c r="I4" s="219"/>
    </row>
    <row r="5" spans="1:9" x14ac:dyDescent="0.35">
      <c r="B5" s="219" t="s">
        <v>447</v>
      </c>
      <c r="C5" s="219" t="s">
        <v>334</v>
      </c>
      <c r="D5" s="219" t="s">
        <v>940</v>
      </c>
      <c r="E5" s="219" t="s">
        <v>332</v>
      </c>
      <c r="F5" s="220">
        <v>6</v>
      </c>
      <c r="G5" s="297">
        <v>0.23200000000000001</v>
      </c>
      <c r="H5" s="297">
        <v>1.39</v>
      </c>
      <c r="I5" s="219"/>
    </row>
    <row r="6" spans="1:9" x14ac:dyDescent="0.35">
      <c r="B6" s="219" t="s">
        <v>447</v>
      </c>
      <c r="C6" s="219" t="s">
        <v>335</v>
      </c>
      <c r="D6" s="219" t="s">
        <v>939</v>
      </c>
      <c r="E6" s="219" t="s">
        <v>336</v>
      </c>
      <c r="F6" s="220">
        <v>6</v>
      </c>
      <c r="G6" s="297">
        <v>0.26200000000000001</v>
      </c>
      <c r="H6" s="297">
        <v>1.57</v>
      </c>
      <c r="I6" s="219"/>
    </row>
    <row r="7" spans="1:9" x14ac:dyDescent="0.35">
      <c r="B7" s="219" t="s">
        <v>447</v>
      </c>
      <c r="C7" s="219" t="s">
        <v>337</v>
      </c>
      <c r="D7" s="219" t="s">
        <v>941</v>
      </c>
      <c r="E7" s="219" t="s">
        <v>336</v>
      </c>
      <c r="F7" s="220">
        <v>6</v>
      </c>
      <c r="G7" s="297">
        <v>0.28799999999999998</v>
      </c>
      <c r="H7" s="297">
        <v>1.73</v>
      </c>
      <c r="I7" s="219"/>
    </row>
    <row r="8" spans="1:9" x14ac:dyDescent="0.35">
      <c r="B8" s="219" t="s">
        <v>447</v>
      </c>
      <c r="C8" s="219" t="s">
        <v>338</v>
      </c>
      <c r="D8" s="219" t="s">
        <v>940</v>
      </c>
      <c r="E8" s="219" t="s">
        <v>336</v>
      </c>
      <c r="F8" s="220">
        <v>6</v>
      </c>
      <c r="G8" s="297">
        <v>0.314</v>
      </c>
      <c r="H8" s="297">
        <v>1.88</v>
      </c>
      <c r="I8" s="219"/>
    </row>
    <row r="9" spans="1:9" x14ac:dyDescent="0.35">
      <c r="B9" s="219" t="s">
        <v>447</v>
      </c>
      <c r="C9" s="219" t="s">
        <v>339</v>
      </c>
      <c r="D9" s="219" t="s">
        <v>941</v>
      </c>
      <c r="E9" s="219" t="s">
        <v>340</v>
      </c>
      <c r="F9" s="220">
        <v>6</v>
      </c>
      <c r="G9" s="297">
        <v>0.36299999999999999</v>
      </c>
      <c r="H9" s="297">
        <v>2.1800000000000002</v>
      </c>
      <c r="I9" s="219"/>
    </row>
    <row r="10" spans="1:9" x14ac:dyDescent="0.35">
      <c r="B10" s="219" t="s">
        <v>447</v>
      </c>
      <c r="C10" s="219" t="s">
        <v>341</v>
      </c>
      <c r="D10" s="219" t="s">
        <v>941</v>
      </c>
      <c r="E10" s="219" t="s">
        <v>342</v>
      </c>
      <c r="F10" s="220">
        <v>6</v>
      </c>
      <c r="G10" s="297">
        <v>0.438</v>
      </c>
      <c r="H10" s="297">
        <v>2.63</v>
      </c>
      <c r="I10" s="219"/>
    </row>
    <row r="11" spans="1:9" x14ac:dyDescent="0.35">
      <c r="B11" s="219" t="s">
        <v>447</v>
      </c>
      <c r="C11" s="219" t="s">
        <v>343</v>
      </c>
      <c r="D11" s="219" t="s">
        <v>942</v>
      </c>
      <c r="E11" s="219" t="s">
        <v>342</v>
      </c>
      <c r="F11" s="220">
        <v>6</v>
      </c>
      <c r="G11" s="297">
        <v>0.59499999999999997</v>
      </c>
      <c r="H11" s="297">
        <v>3.57</v>
      </c>
      <c r="I11" s="219"/>
    </row>
    <row r="12" spans="1:9" x14ac:dyDescent="0.35">
      <c r="B12" s="219" t="s">
        <v>447</v>
      </c>
      <c r="C12" s="219" t="s">
        <v>344</v>
      </c>
      <c r="D12" s="219" t="s">
        <v>943</v>
      </c>
      <c r="E12" s="219" t="s">
        <v>345</v>
      </c>
      <c r="F12" s="220">
        <v>6</v>
      </c>
      <c r="G12" s="297">
        <v>0.379</v>
      </c>
      <c r="H12" s="297">
        <v>2.27</v>
      </c>
      <c r="I12" s="219"/>
    </row>
    <row r="13" spans="1:9" x14ac:dyDescent="0.35">
      <c r="B13" s="219" t="s">
        <v>447</v>
      </c>
      <c r="C13" s="219" t="s">
        <v>346</v>
      </c>
      <c r="D13" s="219" t="s">
        <v>944</v>
      </c>
      <c r="E13" s="219" t="s">
        <v>345</v>
      </c>
      <c r="F13" s="220">
        <v>6</v>
      </c>
      <c r="G13" s="297">
        <v>0.42499999999999999</v>
      </c>
      <c r="H13" s="297">
        <v>2.5499999999999998</v>
      </c>
      <c r="I13" s="219"/>
    </row>
    <row r="14" spans="1:9" x14ac:dyDescent="0.35">
      <c r="B14" s="219" t="s">
        <v>447</v>
      </c>
      <c r="C14" s="219" t="s">
        <v>347</v>
      </c>
      <c r="D14" s="219" t="s">
        <v>941</v>
      </c>
      <c r="E14" s="219" t="s">
        <v>345</v>
      </c>
      <c r="F14" s="220">
        <v>6</v>
      </c>
      <c r="G14" s="297">
        <v>0.51700000000000002</v>
      </c>
      <c r="H14" s="297">
        <v>3.1</v>
      </c>
      <c r="I14" s="219"/>
    </row>
    <row r="15" spans="1:9" x14ac:dyDescent="0.35">
      <c r="B15" s="219" t="s">
        <v>447</v>
      </c>
      <c r="C15" s="219" t="s">
        <v>348</v>
      </c>
      <c r="D15" s="219" t="s">
        <v>945</v>
      </c>
      <c r="E15" s="219" t="s">
        <v>345</v>
      </c>
      <c r="F15" s="220">
        <v>6</v>
      </c>
      <c r="G15" s="297">
        <v>0.63100000000000001</v>
      </c>
      <c r="H15" s="297">
        <v>3.79</v>
      </c>
      <c r="I15" s="219"/>
    </row>
    <row r="16" spans="1:9" x14ac:dyDescent="0.35">
      <c r="B16" s="219" t="s">
        <v>447</v>
      </c>
      <c r="C16" s="219" t="s">
        <v>349</v>
      </c>
      <c r="D16" s="219" t="s">
        <v>946</v>
      </c>
      <c r="E16" s="219" t="s">
        <v>345</v>
      </c>
      <c r="F16" s="220">
        <v>6</v>
      </c>
      <c r="G16" s="297">
        <v>0.65300000000000002</v>
      </c>
      <c r="H16" s="297">
        <v>3.92</v>
      </c>
      <c r="I16" s="219"/>
    </row>
    <row r="17" spans="2:9" x14ac:dyDescent="0.35">
      <c r="B17" s="219" t="s">
        <v>447</v>
      </c>
      <c r="C17" s="219" t="s">
        <v>350</v>
      </c>
      <c r="D17" s="219" t="s">
        <v>940</v>
      </c>
      <c r="E17" s="219" t="s">
        <v>351</v>
      </c>
      <c r="F17" s="220">
        <v>6</v>
      </c>
      <c r="G17" s="297">
        <v>0.64500000000000002</v>
      </c>
      <c r="H17" s="297">
        <v>3.87</v>
      </c>
      <c r="I17" s="219"/>
    </row>
    <row r="18" spans="2:9" x14ac:dyDescent="0.35">
      <c r="B18" s="219" t="s">
        <v>447</v>
      </c>
      <c r="C18" s="219" t="s">
        <v>352</v>
      </c>
      <c r="D18" s="219" t="s">
        <v>942</v>
      </c>
      <c r="E18" s="219" t="s">
        <v>351</v>
      </c>
      <c r="F18" s="220">
        <v>6</v>
      </c>
      <c r="G18" s="297">
        <v>0.80100000000000005</v>
      </c>
      <c r="H18" s="297">
        <v>4.8099999999999996</v>
      </c>
      <c r="I18" s="219"/>
    </row>
    <row r="19" spans="2:9" x14ac:dyDescent="0.35">
      <c r="B19" s="296" t="s">
        <v>947</v>
      </c>
    </row>
    <row r="20" spans="2:9" x14ac:dyDescent="0.35">
      <c r="B20" s="219" t="s">
        <v>447</v>
      </c>
      <c r="C20" s="219" t="s">
        <v>353</v>
      </c>
      <c r="D20" s="219" t="s">
        <v>939</v>
      </c>
      <c r="E20" s="219" t="s">
        <v>354</v>
      </c>
      <c r="F20" s="220">
        <v>6</v>
      </c>
      <c r="G20" s="297">
        <v>0.19400000000000001</v>
      </c>
      <c r="H20" s="297">
        <v>1.1599999999999999</v>
      </c>
      <c r="I20" s="219"/>
    </row>
    <row r="21" spans="2:9" x14ac:dyDescent="0.35">
      <c r="B21" s="219" t="s">
        <v>447</v>
      </c>
      <c r="C21" s="219" t="s">
        <v>355</v>
      </c>
      <c r="D21" s="219" t="s">
        <v>939</v>
      </c>
      <c r="E21" s="219" t="s">
        <v>356</v>
      </c>
      <c r="F21" s="220">
        <v>6</v>
      </c>
      <c r="G21" s="297">
        <v>0.33200000000000002</v>
      </c>
      <c r="H21" s="297">
        <v>1.99</v>
      </c>
      <c r="I21" s="219"/>
    </row>
    <row r="22" spans="2:9" x14ac:dyDescent="0.35">
      <c r="B22" s="219" t="s">
        <v>447</v>
      </c>
      <c r="C22" s="219" t="s">
        <v>357</v>
      </c>
      <c r="D22" s="219" t="s">
        <v>941</v>
      </c>
      <c r="E22" s="219" t="s">
        <v>358</v>
      </c>
      <c r="F22" s="220">
        <v>6</v>
      </c>
      <c r="G22" s="297">
        <v>0.40100000000000002</v>
      </c>
      <c r="H22" s="297">
        <v>2.41</v>
      </c>
      <c r="I22" s="219"/>
    </row>
    <row r="23" spans="2:9" x14ac:dyDescent="0.35">
      <c r="B23" s="219" t="s">
        <v>447</v>
      </c>
      <c r="C23" s="219" t="s">
        <v>359</v>
      </c>
      <c r="D23" s="219" t="s">
        <v>939</v>
      </c>
      <c r="E23" s="219" t="s">
        <v>360</v>
      </c>
      <c r="F23" s="220">
        <v>6</v>
      </c>
      <c r="G23" s="297">
        <v>0.40200000000000002</v>
      </c>
      <c r="H23" s="297">
        <v>2.41</v>
      </c>
      <c r="I23" s="219"/>
    </row>
    <row r="24" spans="2:9" x14ac:dyDescent="0.35">
      <c r="B24" s="219" t="s">
        <v>447</v>
      </c>
      <c r="C24" s="219" t="s">
        <v>361</v>
      </c>
      <c r="D24" s="219" t="s">
        <v>940</v>
      </c>
      <c r="E24" s="219" t="s">
        <v>360</v>
      </c>
      <c r="F24" s="220">
        <v>6</v>
      </c>
      <c r="G24" s="297">
        <v>0.47799999999999998</v>
      </c>
      <c r="H24" s="297">
        <v>2.87</v>
      </c>
      <c r="I24" s="219"/>
    </row>
    <row r="25" spans="2:9" x14ac:dyDescent="0.35">
      <c r="B25" s="219" t="s">
        <v>447</v>
      </c>
      <c r="C25" s="219" t="s">
        <v>362</v>
      </c>
      <c r="D25" s="219" t="s">
        <v>940</v>
      </c>
      <c r="E25" s="219" t="s">
        <v>363</v>
      </c>
      <c r="F25" s="220">
        <v>6</v>
      </c>
      <c r="G25" s="297">
        <v>0.64400000000000002</v>
      </c>
      <c r="H25" s="297">
        <v>3.86</v>
      </c>
      <c r="I25" s="219"/>
    </row>
    <row r="26" spans="2:9" x14ac:dyDescent="0.35">
      <c r="B26" s="219" t="s">
        <v>447</v>
      </c>
      <c r="C26" s="219" t="s">
        <v>364</v>
      </c>
      <c r="D26" s="219" t="s">
        <v>946</v>
      </c>
      <c r="E26" s="219" t="s">
        <v>363</v>
      </c>
      <c r="F26" s="220">
        <v>6</v>
      </c>
      <c r="G26" s="297">
        <v>0.75</v>
      </c>
      <c r="H26" s="297">
        <v>4.5</v>
      </c>
      <c r="I26" s="219"/>
    </row>
    <row r="27" spans="2:9" x14ac:dyDescent="0.35">
      <c r="B27" s="219" t="s">
        <v>447</v>
      </c>
      <c r="C27" s="219" t="s">
        <v>365</v>
      </c>
      <c r="D27" s="219" t="s">
        <v>941</v>
      </c>
      <c r="E27" s="219" t="s">
        <v>366</v>
      </c>
      <c r="F27" s="220">
        <v>6</v>
      </c>
      <c r="G27" s="297">
        <v>0.70599999999999996</v>
      </c>
      <c r="H27" s="297">
        <v>4.24</v>
      </c>
      <c r="I27" s="219"/>
    </row>
    <row r="28" spans="2:9" x14ac:dyDescent="0.35">
      <c r="B28" s="219" t="s">
        <v>447</v>
      </c>
      <c r="C28" s="219" t="s">
        <v>367</v>
      </c>
      <c r="D28" s="219" t="s">
        <v>940</v>
      </c>
      <c r="E28" s="219" t="s">
        <v>366</v>
      </c>
      <c r="F28" s="220">
        <v>6</v>
      </c>
      <c r="G28" s="297">
        <v>0.76900000000000002</v>
      </c>
      <c r="H28" s="297">
        <v>4.6100000000000003</v>
      </c>
      <c r="I28" s="219"/>
    </row>
    <row r="29" spans="2:9" x14ac:dyDescent="0.35">
      <c r="B29" s="219" t="s">
        <v>447</v>
      </c>
      <c r="C29" s="219" t="s">
        <v>368</v>
      </c>
      <c r="D29" s="219" t="s">
        <v>946</v>
      </c>
      <c r="E29" s="219" t="s">
        <v>366</v>
      </c>
      <c r="F29" s="220">
        <v>6</v>
      </c>
      <c r="G29" s="297">
        <v>0.89400000000000002</v>
      </c>
      <c r="H29" s="297">
        <v>5.36</v>
      </c>
      <c r="I29" s="219"/>
    </row>
    <row r="30" spans="2:9" x14ac:dyDescent="0.35">
      <c r="B30" s="219" t="s">
        <v>447</v>
      </c>
      <c r="C30" s="219" t="s">
        <v>369</v>
      </c>
      <c r="D30" s="219" t="s">
        <v>940</v>
      </c>
      <c r="E30" s="219" t="s">
        <v>370</v>
      </c>
      <c r="F30" s="220">
        <v>6</v>
      </c>
      <c r="G30" s="297">
        <v>0.81</v>
      </c>
      <c r="H30" s="297">
        <v>4.8600000000000003</v>
      </c>
      <c r="I30" s="219"/>
    </row>
    <row r="31" spans="2:9" x14ac:dyDescent="0.35">
      <c r="B31" s="219" t="s">
        <v>447</v>
      </c>
      <c r="C31" s="219" t="s">
        <v>371</v>
      </c>
      <c r="D31" s="219" t="s">
        <v>942</v>
      </c>
      <c r="E31" s="219" t="s">
        <v>370</v>
      </c>
      <c r="F31" s="220">
        <v>6</v>
      </c>
      <c r="G31" s="297">
        <v>1.008</v>
      </c>
      <c r="H31" s="297">
        <v>6.05</v>
      </c>
      <c r="I31" s="219"/>
    </row>
    <row r="32" spans="2:9" x14ac:dyDescent="0.35">
      <c r="B32" s="219" t="s">
        <v>447</v>
      </c>
      <c r="C32" s="219" t="s">
        <v>372</v>
      </c>
      <c r="D32" s="219" t="s">
        <v>941</v>
      </c>
      <c r="E32" s="219" t="s">
        <v>373</v>
      </c>
      <c r="F32" s="220">
        <v>6</v>
      </c>
      <c r="G32" s="297">
        <v>0.85799999999999998</v>
      </c>
      <c r="H32" s="297">
        <v>5.15</v>
      </c>
      <c r="I32" s="219"/>
    </row>
    <row r="33" spans="2:9" x14ac:dyDescent="0.35">
      <c r="B33" s="219" t="s">
        <v>447</v>
      </c>
      <c r="C33" s="219" t="s">
        <v>374</v>
      </c>
      <c r="D33" s="219" t="s">
        <v>940</v>
      </c>
      <c r="E33" s="219" t="s">
        <v>373</v>
      </c>
      <c r="F33" s="220">
        <v>6</v>
      </c>
      <c r="G33" s="297">
        <v>0.93600000000000005</v>
      </c>
      <c r="H33" s="297">
        <v>5.62</v>
      </c>
      <c r="I33" s="219"/>
    </row>
    <row r="34" spans="2:9" x14ac:dyDescent="0.35">
      <c r="B34" s="219" t="s">
        <v>447</v>
      </c>
      <c r="C34" s="219" t="s">
        <v>375</v>
      </c>
      <c r="D34" s="219" t="s">
        <v>948</v>
      </c>
      <c r="E34" s="219" t="s">
        <v>373</v>
      </c>
      <c r="F34" s="220">
        <v>6</v>
      </c>
      <c r="G34" s="297">
        <v>1.012</v>
      </c>
      <c r="H34" s="297">
        <v>6.07</v>
      </c>
      <c r="I34" s="219"/>
    </row>
    <row r="35" spans="2:9" x14ac:dyDescent="0.35">
      <c r="B35" s="219" t="s">
        <v>447</v>
      </c>
      <c r="C35" s="219" t="s">
        <v>376</v>
      </c>
      <c r="D35" s="219" t="s">
        <v>945</v>
      </c>
      <c r="E35" s="219" t="s">
        <v>373</v>
      </c>
      <c r="F35" s="220">
        <v>6</v>
      </c>
      <c r="G35" s="297">
        <v>1.0489999999999999</v>
      </c>
      <c r="H35" s="297">
        <v>6.29</v>
      </c>
      <c r="I35" s="219"/>
    </row>
    <row r="36" spans="2:9" x14ac:dyDescent="0.35">
      <c r="B36" s="219" t="s">
        <v>447</v>
      </c>
      <c r="C36" s="219" t="s">
        <v>377</v>
      </c>
      <c r="D36" s="219" t="s">
        <v>942</v>
      </c>
      <c r="E36" s="219" t="s">
        <v>373</v>
      </c>
      <c r="F36" s="220">
        <v>6</v>
      </c>
      <c r="G36" s="297">
        <v>1.163</v>
      </c>
      <c r="H36" s="297">
        <v>6.98</v>
      </c>
      <c r="I36" s="219"/>
    </row>
    <row r="37" spans="2:9" x14ac:dyDescent="0.35">
      <c r="B37" s="219" t="s">
        <v>447</v>
      </c>
      <c r="C37" s="219" t="s">
        <v>378</v>
      </c>
      <c r="D37" s="219" t="s">
        <v>942</v>
      </c>
      <c r="E37" s="219" t="s">
        <v>379</v>
      </c>
      <c r="F37" s="220">
        <v>6</v>
      </c>
      <c r="G37" s="297">
        <v>1.2150000000000001</v>
      </c>
      <c r="H37" s="297">
        <v>7.29</v>
      </c>
      <c r="I37" s="219"/>
    </row>
    <row r="38" spans="2:9" x14ac:dyDescent="0.35">
      <c r="B38" s="219" t="s">
        <v>447</v>
      </c>
      <c r="C38" s="219" t="s">
        <v>380</v>
      </c>
      <c r="D38" s="219" t="s">
        <v>949</v>
      </c>
      <c r="E38" s="219" t="s">
        <v>379</v>
      </c>
      <c r="F38" s="220">
        <v>6</v>
      </c>
      <c r="G38" s="297">
        <v>1.873</v>
      </c>
      <c r="H38" s="297">
        <v>11.24</v>
      </c>
      <c r="I38" s="219"/>
    </row>
    <row r="39" spans="2:9" x14ac:dyDescent="0.35">
      <c r="B39" s="296" t="s">
        <v>950</v>
      </c>
    </row>
    <row r="40" spans="2:9" x14ac:dyDescent="0.35">
      <c r="B40" s="219" t="s">
        <v>447</v>
      </c>
      <c r="C40" s="219" t="s">
        <v>381</v>
      </c>
      <c r="D40" s="219" t="s">
        <v>951</v>
      </c>
      <c r="E40" s="219" t="s">
        <v>382</v>
      </c>
      <c r="F40" s="220">
        <v>6</v>
      </c>
      <c r="G40" s="297">
        <v>0.67700000000000005</v>
      </c>
      <c r="H40" s="297">
        <v>4.0620000000000003</v>
      </c>
      <c r="I40" s="219"/>
    </row>
    <row r="41" spans="2:9" x14ac:dyDescent="0.35">
      <c r="B41" s="296" t="s">
        <v>952</v>
      </c>
    </row>
    <row r="42" spans="2:9" x14ac:dyDescent="0.35">
      <c r="B42" s="219" t="s">
        <v>88</v>
      </c>
      <c r="C42" s="219" t="s">
        <v>391</v>
      </c>
      <c r="D42" s="219" t="s">
        <v>383</v>
      </c>
      <c r="E42" s="219" t="s">
        <v>392</v>
      </c>
      <c r="F42" s="220">
        <v>6</v>
      </c>
      <c r="G42" s="297">
        <v>0.49199999999999999</v>
      </c>
      <c r="H42" s="297">
        <v>2.95</v>
      </c>
      <c r="I42" s="219" t="s">
        <v>953</v>
      </c>
    </row>
    <row r="43" spans="2:9" x14ac:dyDescent="0.35">
      <c r="B43" s="219" t="s">
        <v>88</v>
      </c>
      <c r="C43" s="219" t="s">
        <v>394</v>
      </c>
      <c r="D43" s="219" t="s">
        <v>383</v>
      </c>
      <c r="E43" s="219" t="s">
        <v>395</v>
      </c>
      <c r="F43" s="220">
        <v>6</v>
      </c>
      <c r="G43" s="297">
        <v>0.26200000000000001</v>
      </c>
      <c r="H43" s="297">
        <v>1.57</v>
      </c>
      <c r="I43" s="219"/>
    </row>
    <row r="44" spans="2:9" x14ac:dyDescent="0.35">
      <c r="B44" s="219" t="s">
        <v>88</v>
      </c>
      <c r="C44" s="219" t="s">
        <v>396</v>
      </c>
      <c r="D44" s="219" t="s">
        <v>383</v>
      </c>
      <c r="E44" s="219" t="s">
        <v>397</v>
      </c>
      <c r="F44" s="220">
        <v>6</v>
      </c>
      <c r="G44" s="297">
        <v>0.28199999999999997</v>
      </c>
      <c r="H44" s="297">
        <v>1.6919999999999999</v>
      </c>
      <c r="I44" s="219"/>
    </row>
    <row r="45" spans="2:9" x14ac:dyDescent="0.35">
      <c r="B45" s="219" t="s">
        <v>88</v>
      </c>
      <c r="C45" s="219" t="s">
        <v>398</v>
      </c>
      <c r="D45" s="219" t="s">
        <v>383</v>
      </c>
      <c r="E45" s="219" t="s">
        <v>399</v>
      </c>
      <c r="F45" s="220">
        <v>6</v>
      </c>
      <c r="G45" s="297">
        <v>0.78200000000000003</v>
      </c>
      <c r="H45" s="297">
        <v>4.6900000000000004</v>
      </c>
      <c r="I45" s="219" t="s">
        <v>954</v>
      </c>
    </row>
    <row r="46" spans="2:9" x14ac:dyDescent="0.35">
      <c r="B46" s="219" t="s">
        <v>88</v>
      </c>
      <c r="C46" s="219" t="s">
        <v>383</v>
      </c>
      <c r="D46" s="219" t="s">
        <v>383</v>
      </c>
      <c r="E46" s="219" t="s">
        <v>400</v>
      </c>
      <c r="F46" s="220">
        <v>6</v>
      </c>
      <c r="G46" s="297">
        <v>1.7889999999999999</v>
      </c>
      <c r="H46" s="297">
        <v>10.734</v>
      </c>
      <c r="I46" s="219"/>
    </row>
    <row r="47" spans="2:9" x14ac:dyDescent="0.35">
      <c r="B47" s="219" t="s">
        <v>88</v>
      </c>
      <c r="C47" s="219" t="s">
        <v>401</v>
      </c>
      <c r="D47" s="219" t="s">
        <v>383</v>
      </c>
      <c r="E47" s="219" t="s">
        <v>402</v>
      </c>
      <c r="F47" s="220">
        <v>6</v>
      </c>
      <c r="G47" s="297">
        <v>0.91</v>
      </c>
      <c r="H47" s="297">
        <v>5.46</v>
      </c>
      <c r="I47" s="219"/>
    </row>
    <row r="48" spans="2:9" x14ac:dyDescent="0.35">
      <c r="B48" s="219" t="s">
        <v>88</v>
      </c>
      <c r="C48" s="219" t="s">
        <v>403</v>
      </c>
      <c r="D48" s="219" t="s">
        <v>383</v>
      </c>
      <c r="E48" s="219" t="s">
        <v>404</v>
      </c>
      <c r="F48" s="220">
        <v>6</v>
      </c>
      <c r="G48" s="297">
        <v>0.114</v>
      </c>
      <c r="H48" s="297">
        <v>0.68400000000000005</v>
      </c>
      <c r="I48" s="219"/>
    </row>
    <row r="49" spans="2:9" x14ac:dyDescent="0.35">
      <c r="B49" s="219" t="s">
        <v>88</v>
      </c>
      <c r="C49" s="219" t="s">
        <v>405</v>
      </c>
      <c r="D49" s="219" t="s">
        <v>383</v>
      </c>
      <c r="E49" s="219" t="s">
        <v>406</v>
      </c>
      <c r="F49" s="220">
        <v>6</v>
      </c>
      <c r="G49" s="297">
        <v>0.14399999999999999</v>
      </c>
      <c r="H49" s="297">
        <v>0.86399999999999999</v>
      </c>
      <c r="I49" s="219"/>
    </row>
    <row r="50" spans="2:9" x14ac:dyDescent="0.35">
      <c r="B50" s="219" t="s">
        <v>88</v>
      </c>
      <c r="C50" s="219" t="s">
        <v>407</v>
      </c>
      <c r="D50" s="219" t="s">
        <v>383</v>
      </c>
      <c r="E50" s="219" t="s">
        <v>408</v>
      </c>
      <c r="F50" s="220">
        <v>6</v>
      </c>
      <c r="G50" s="297">
        <v>7.9000000000000001E-2</v>
      </c>
      <c r="H50" s="297">
        <v>0.47399999999999998</v>
      </c>
      <c r="I50" s="219"/>
    </row>
    <row r="51" spans="2:9" x14ac:dyDescent="0.35">
      <c r="B51" s="219" t="s">
        <v>88</v>
      </c>
      <c r="C51" s="219" t="s">
        <v>409</v>
      </c>
      <c r="D51" s="219" t="s">
        <v>383</v>
      </c>
      <c r="E51" s="219" t="s">
        <v>410</v>
      </c>
      <c r="F51" s="220">
        <v>6</v>
      </c>
      <c r="G51" s="297">
        <v>0.14000000000000001</v>
      </c>
      <c r="H51" s="297">
        <v>0.84</v>
      </c>
      <c r="I51" s="219"/>
    </row>
    <row r="52" spans="2:9" x14ac:dyDescent="0.35">
      <c r="B52" s="219" t="s">
        <v>88</v>
      </c>
      <c r="C52" s="219" t="s">
        <v>383</v>
      </c>
      <c r="D52" s="219" t="s">
        <v>383</v>
      </c>
      <c r="E52" s="219" t="s">
        <v>411</v>
      </c>
      <c r="F52" s="220">
        <v>6</v>
      </c>
      <c r="G52" s="297">
        <v>0.59599999999999997</v>
      </c>
      <c r="H52" s="297">
        <v>3.5760000000000001</v>
      </c>
      <c r="I52" s="219"/>
    </row>
    <row r="53" spans="2:9" x14ac:dyDescent="0.35">
      <c r="B53" s="219" t="s">
        <v>88</v>
      </c>
      <c r="C53" s="219" t="s">
        <v>383</v>
      </c>
      <c r="D53" s="219" t="s">
        <v>383</v>
      </c>
      <c r="E53" s="219" t="s">
        <v>412</v>
      </c>
      <c r="F53" s="220">
        <v>6</v>
      </c>
      <c r="G53" s="297">
        <v>0.42399999999999999</v>
      </c>
      <c r="H53" s="297">
        <v>2.544</v>
      </c>
      <c r="I53" s="219"/>
    </row>
    <row r="54" spans="2:9" x14ac:dyDescent="0.35">
      <c r="B54" s="219" t="s">
        <v>88</v>
      </c>
      <c r="C54" s="219" t="s">
        <v>383</v>
      </c>
      <c r="D54" s="219" t="s">
        <v>383</v>
      </c>
      <c r="E54" s="219" t="s">
        <v>413</v>
      </c>
      <c r="F54" s="220">
        <v>6</v>
      </c>
      <c r="G54" s="297">
        <v>7.5999999999999998E-2</v>
      </c>
      <c r="H54" s="297">
        <v>0.45600000000000002</v>
      </c>
      <c r="I54" s="219"/>
    </row>
    <row r="55" spans="2:9" x14ac:dyDescent="0.35">
      <c r="B55" s="219" t="s">
        <v>88</v>
      </c>
      <c r="C55" s="219" t="s">
        <v>383</v>
      </c>
      <c r="D55" s="219" t="s">
        <v>383</v>
      </c>
      <c r="E55" s="219" t="s">
        <v>414</v>
      </c>
      <c r="F55" s="220">
        <v>6</v>
      </c>
      <c r="G55" s="297">
        <v>0.28000000000000003</v>
      </c>
      <c r="H55" s="297">
        <v>1.68</v>
      </c>
      <c r="I55" s="219"/>
    </row>
    <row r="56" spans="2:9" x14ac:dyDescent="0.35">
      <c r="B56" s="219" t="s">
        <v>88</v>
      </c>
      <c r="C56" s="219" t="s">
        <v>383</v>
      </c>
      <c r="D56" s="219" t="s">
        <v>383</v>
      </c>
      <c r="E56" s="219" t="s">
        <v>415</v>
      </c>
      <c r="F56" s="220">
        <v>6</v>
      </c>
      <c r="G56" s="297">
        <v>0.48099999999999998</v>
      </c>
      <c r="H56" s="297">
        <v>2.8860000000000001</v>
      </c>
      <c r="I56" s="219"/>
    </row>
    <row r="57" spans="2:9" x14ac:dyDescent="0.35">
      <c r="B57" s="296" t="s">
        <v>955</v>
      </c>
    </row>
    <row r="58" spans="2:9" x14ac:dyDescent="0.35">
      <c r="B58" s="219" t="s">
        <v>89</v>
      </c>
      <c r="C58" s="219" t="s">
        <v>383</v>
      </c>
      <c r="D58" s="219" t="s">
        <v>383</v>
      </c>
      <c r="E58" s="219" t="s">
        <v>415</v>
      </c>
      <c r="F58" s="220">
        <v>6</v>
      </c>
      <c r="G58" s="297">
        <v>0.48099999999999998</v>
      </c>
      <c r="H58" s="297">
        <v>2.8860000000000001</v>
      </c>
      <c r="I58" s="219"/>
    </row>
    <row r="59" spans="2:9" x14ac:dyDescent="0.35">
      <c r="B59" s="219" t="s">
        <v>89</v>
      </c>
      <c r="C59" s="219" t="s">
        <v>383</v>
      </c>
      <c r="D59" s="219" t="s">
        <v>383</v>
      </c>
      <c r="E59" s="219" t="s">
        <v>411</v>
      </c>
      <c r="F59" s="220">
        <v>6</v>
      </c>
      <c r="G59" s="297">
        <v>0.59599999999999997</v>
      </c>
      <c r="H59" s="297">
        <v>3.5760000000000001</v>
      </c>
      <c r="I59" s="219"/>
    </row>
    <row r="60" spans="2:9" x14ac:dyDescent="0.35">
      <c r="B60" s="296" t="s">
        <v>956</v>
      </c>
    </row>
    <row r="61" spans="2:9" x14ac:dyDescent="0.35">
      <c r="B61" s="219" t="s">
        <v>957</v>
      </c>
      <c r="C61" s="219" t="s">
        <v>308</v>
      </c>
      <c r="D61" s="219" t="s">
        <v>383</v>
      </c>
      <c r="E61" s="219" t="s">
        <v>958</v>
      </c>
      <c r="F61" s="298">
        <v>6.4</v>
      </c>
      <c r="G61" s="297">
        <v>0.432</v>
      </c>
      <c r="H61" s="297">
        <v>2.7669999999999999</v>
      </c>
      <c r="I61" s="299" t="s">
        <v>959</v>
      </c>
    </row>
    <row r="62" spans="2:9" x14ac:dyDescent="0.35">
      <c r="B62" s="219" t="s">
        <v>957</v>
      </c>
      <c r="C62" s="219" t="s">
        <v>310</v>
      </c>
      <c r="D62" s="219" t="s">
        <v>383</v>
      </c>
      <c r="E62" s="219" t="s">
        <v>960</v>
      </c>
      <c r="F62" s="298">
        <v>6.4</v>
      </c>
      <c r="G62" s="297">
        <v>0.24</v>
      </c>
      <c r="H62" s="297">
        <v>1.5329999999999999</v>
      </c>
      <c r="I62" s="299" t="s">
        <v>959</v>
      </c>
    </row>
    <row r="63" spans="2:9" x14ac:dyDescent="0.35">
      <c r="B63" s="219" t="s">
        <v>957</v>
      </c>
      <c r="C63" s="219" t="s">
        <v>311</v>
      </c>
      <c r="D63" s="219" t="s">
        <v>383</v>
      </c>
      <c r="E63" s="219" t="s">
        <v>173</v>
      </c>
      <c r="F63" s="298">
        <v>6.4</v>
      </c>
      <c r="G63" s="297">
        <v>0.14599999999999999</v>
      </c>
      <c r="H63" s="297">
        <v>0.93400000000000005</v>
      </c>
      <c r="I63" s="299" t="s">
        <v>959</v>
      </c>
    </row>
    <row r="64" spans="2:9" x14ac:dyDescent="0.35">
      <c r="B64" s="219" t="s">
        <v>957</v>
      </c>
      <c r="C64" s="219" t="s">
        <v>961</v>
      </c>
      <c r="D64" s="219" t="s">
        <v>383</v>
      </c>
      <c r="E64" s="219" t="s">
        <v>962</v>
      </c>
      <c r="F64" s="298">
        <v>6.4</v>
      </c>
      <c r="G64" s="297">
        <v>6.2E-2</v>
      </c>
      <c r="H64" s="297">
        <v>0.4</v>
      </c>
      <c r="I64" s="299" t="s">
        <v>959</v>
      </c>
    </row>
    <row r="65" spans="2:9" x14ac:dyDescent="0.35">
      <c r="B65" s="219" t="s">
        <v>957</v>
      </c>
      <c r="C65" s="219" t="s">
        <v>326</v>
      </c>
      <c r="D65" s="219" t="s">
        <v>383</v>
      </c>
      <c r="E65" s="219" t="s">
        <v>963</v>
      </c>
      <c r="F65" s="298">
        <v>6.4</v>
      </c>
      <c r="G65" s="297">
        <v>0.03</v>
      </c>
      <c r="H65" s="297">
        <v>0.19</v>
      </c>
      <c r="I65" s="299" t="s">
        <v>959</v>
      </c>
    </row>
    <row r="66" spans="2:9" x14ac:dyDescent="0.35">
      <c r="B66" s="219" t="s">
        <v>957</v>
      </c>
      <c r="C66" s="219" t="s">
        <v>312</v>
      </c>
      <c r="D66" s="219" t="s">
        <v>383</v>
      </c>
      <c r="E66" s="219" t="s">
        <v>964</v>
      </c>
      <c r="F66" s="298">
        <v>6.4</v>
      </c>
      <c r="G66" s="297">
        <v>0.22900000000000001</v>
      </c>
      <c r="H66" s="297">
        <v>1.466</v>
      </c>
      <c r="I66" s="299" t="s">
        <v>959</v>
      </c>
    </row>
    <row r="67" spans="2:9" x14ac:dyDescent="0.35">
      <c r="B67" s="219" t="s">
        <v>957</v>
      </c>
      <c r="C67" s="219" t="s">
        <v>965</v>
      </c>
      <c r="D67" s="219" t="s">
        <v>383</v>
      </c>
      <c r="E67" s="219" t="s">
        <v>966</v>
      </c>
      <c r="F67" s="298">
        <v>6.4</v>
      </c>
      <c r="G67" s="297">
        <v>4.4999999999999998E-2</v>
      </c>
      <c r="H67" s="297">
        <v>0.28499999999999998</v>
      </c>
      <c r="I67" s="299" t="s">
        <v>959</v>
      </c>
    </row>
    <row r="68" spans="2:9" x14ac:dyDescent="0.35">
      <c r="B68" s="219" t="s">
        <v>957</v>
      </c>
      <c r="C68" s="219" t="s">
        <v>324</v>
      </c>
      <c r="D68" s="219" t="s">
        <v>383</v>
      </c>
      <c r="E68" s="219" t="s">
        <v>325</v>
      </c>
      <c r="F68" s="298">
        <v>6.4</v>
      </c>
      <c r="G68" s="297">
        <v>0.125</v>
      </c>
      <c r="H68" s="297">
        <v>0.79900000000000004</v>
      </c>
      <c r="I68" s="299" t="s">
        <v>959</v>
      </c>
    </row>
    <row r="69" spans="2:9" x14ac:dyDescent="0.35">
      <c r="B69" s="219" t="s">
        <v>957</v>
      </c>
      <c r="C69" s="219" t="s">
        <v>320</v>
      </c>
      <c r="D69" s="219" t="s">
        <v>383</v>
      </c>
      <c r="E69" s="219" t="s">
        <v>967</v>
      </c>
      <c r="F69" s="298">
        <v>6.4</v>
      </c>
      <c r="G69" s="297">
        <v>6.8000000000000005E-2</v>
      </c>
      <c r="H69" s="297">
        <v>0.438</v>
      </c>
      <c r="I69" s="299" t="s">
        <v>959</v>
      </c>
    </row>
    <row r="70" spans="2:9" x14ac:dyDescent="0.35">
      <c r="B70" s="219" t="s">
        <v>957</v>
      </c>
      <c r="C70" s="219" t="s">
        <v>322</v>
      </c>
      <c r="D70" s="219" t="s">
        <v>383</v>
      </c>
      <c r="E70" s="219" t="s">
        <v>323</v>
      </c>
      <c r="F70" s="298">
        <v>6.4</v>
      </c>
      <c r="G70" s="297">
        <v>0.161</v>
      </c>
      <c r="H70" s="297">
        <v>1.03</v>
      </c>
      <c r="I70" s="299" t="s">
        <v>959</v>
      </c>
    </row>
    <row r="71" spans="2:9" x14ac:dyDescent="0.35">
      <c r="B71" s="219" t="s">
        <v>957</v>
      </c>
      <c r="C71" s="219" t="s">
        <v>328</v>
      </c>
      <c r="D71" s="219" t="s">
        <v>383</v>
      </c>
      <c r="E71" s="219" t="s">
        <v>968</v>
      </c>
      <c r="F71" s="298">
        <v>6.4</v>
      </c>
      <c r="G71" s="297">
        <v>7.0999999999999994E-2</v>
      </c>
      <c r="H71" s="297">
        <v>0.45200000000000001</v>
      </c>
      <c r="I71" s="299" t="s">
        <v>959</v>
      </c>
    </row>
    <row r="72" spans="2:9" x14ac:dyDescent="0.35">
      <c r="B72" s="219" t="s">
        <v>957</v>
      </c>
      <c r="C72" s="219" t="s">
        <v>318</v>
      </c>
      <c r="D72" s="219" t="s">
        <v>383</v>
      </c>
      <c r="E72" s="219" t="s">
        <v>969</v>
      </c>
      <c r="F72" s="298">
        <v>6.4</v>
      </c>
      <c r="G72" s="297">
        <v>7.6999999999999999E-2</v>
      </c>
      <c r="H72" s="297">
        <v>0.496</v>
      </c>
      <c r="I72" s="299" t="s">
        <v>959</v>
      </c>
    </row>
    <row r="73" spans="2:9" x14ac:dyDescent="0.35">
      <c r="B73" s="219" t="s">
        <v>957</v>
      </c>
      <c r="C73" s="219" t="s">
        <v>316</v>
      </c>
      <c r="D73" s="219" t="s">
        <v>383</v>
      </c>
      <c r="E73" s="219" t="s">
        <v>970</v>
      </c>
      <c r="F73" s="298">
        <v>6.4</v>
      </c>
      <c r="G73" s="297">
        <v>0.13700000000000001</v>
      </c>
      <c r="H73" s="297">
        <v>0.874</v>
      </c>
      <c r="I73" s="299" t="s">
        <v>959</v>
      </c>
    </row>
    <row r="74" spans="2:9" x14ac:dyDescent="0.35">
      <c r="B74" s="219" t="s">
        <v>957</v>
      </c>
      <c r="C74" s="219" t="s">
        <v>314</v>
      </c>
      <c r="D74" s="219" t="s">
        <v>383</v>
      </c>
      <c r="E74" s="219" t="s">
        <v>971</v>
      </c>
      <c r="F74" s="298">
        <v>6.4</v>
      </c>
      <c r="G74" s="297">
        <v>4.7E-2</v>
      </c>
      <c r="H74" s="297">
        <v>0.30299999999999999</v>
      </c>
      <c r="I74" s="299" t="s">
        <v>959</v>
      </c>
    </row>
    <row r="75" spans="2:9" x14ac:dyDescent="0.35">
      <c r="B75" s="219" t="s">
        <v>957</v>
      </c>
      <c r="C75" s="219" t="s">
        <v>972</v>
      </c>
      <c r="D75" s="219" t="s">
        <v>383</v>
      </c>
      <c r="E75" s="219" t="s">
        <v>973</v>
      </c>
      <c r="F75" s="298">
        <v>6.4</v>
      </c>
      <c r="G75" s="297">
        <v>3.9E-2</v>
      </c>
      <c r="H75" s="297">
        <v>0.252</v>
      </c>
      <c r="I75" s="299" t="s">
        <v>959</v>
      </c>
    </row>
    <row r="76" spans="2:9" x14ac:dyDescent="0.35">
      <c r="B76" s="300" t="s">
        <v>957</v>
      </c>
      <c r="C76" s="300" t="s">
        <v>259</v>
      </c>
      <c r="D76" s="300" t="s">
        <v>383</v>
      </c>
      <c r="E76" s="300" t="s">
        <v>974</v>
      </c>
      <c r="F76" s="301">
        <v>6.4</v>
      </c>
      <c r="G76" s="302">
        <v>0.877</v>
      </c>
      <c r="H76" s="302">
        <v>5.61</v>
      </c>
      <c r="I76" s="300" t="s">
        <v>975</v>
      </c>
    </row>
    <row r="78" spans="2:9" x14ac:dyDescent="0.35">
      <c r="B78" s="233" t="s">
        <v>976</v>
      </c>
    </row>
    <row r="79" spans="2:9" x14ac:dyDescent="0.35">
      <c r="B79" s="300" t="s">
        <v>84</v>
      </c>
      <c r="C79" s="300" t="s">
        <v>977</v>
      </c>
      <c r="D79" s="300" t="s">
        <v>383</v>
      </c>
      <c r="E79" s="300" t="s">
        <v>978</v>
      </c>
      <c r="F79" s="303">
        <v>6.4</v>
      </c>
      <c r="G79" s="302">
        <v>0.89700000000000002</v>
      </c>
      <c r="H79" s="302">
        <v>5.7409999999999997</v>
      </c>
      <c r="I79" s="300"/>
    </row>
    <row r="80" spans="2:9" x14ac:dyDescent="0.35">
      <c r="B80" s="300" t="s">
        <v>84</v>
      </c>
      <c r="C80" s="300" t="s">
        <v>979</v>
      </c>
      <c r="D80" s="300" t="s">
        <v>383</v>
      </c>
      <c r="E80" s="300" t="s">
        <v>980</v>
      </c>
      <c r="F80" s="303">
        <v>6.4</v>
      </c>
      <c r="G80" s="302">
        <v>0.35</v>
      </c>
      <c r="H80" s="302">
        <v>2.2400000000000002</v>
      </c>
      <c r="I80" s="300"/>
    </row>
    <row r="81" spans="2:9" x14ac:dyDescent="0.35">
      <c r="B81" s="300" t="s">
        <v>84</v>
      </c>
      <c r="C81" s="300" t="s">
        <v>981</v>
      </c>
      <c r="D81" s="300" t="s">
        <v>383</v>
      </c>
      <c r="E81" s="300" t="s">
        <v>982</v>
      </c>
      <c r="F81" s="303">
        <v>6.4</v>
      </c>
      <c r="G81" s="302">
        <v>0.52800000000000002</v>
      </c>
      <c r="H81" s="302">
        <v>3.379</v>
      </c>
      <c r="I81" s="300"/>
    </row>
    <row r="82" spans="2:9" x14ac:dyDescent="0.35">
      <c r="B82" s="300" t="s">
        <v>84</v>
      </c>
      <c r="C82" s="300" t="s">
        <v>983</v>
      </c>
      <c r="D82" s="300" t="s">
        <v>383</v>
      </c>
      <c r="E82" s="300" t="s">
        <v>984</v>
      </c>
      <c r="F82" s="303">
        <v>6.4</v>
      </c>
      <c r="G82" s="302">
        <v>5.0999999999999997E-2</v>
      </c>
      <c r="H82" s="302">
        <v>0.32600000000000001</v>
      </c>
      <c r="I82" s="300"/>
    </row>
    <row r="83" spans="2:9" x14ac:dyDescent="0.35">
      <c r="B83" s="300" t="s">
        <v>84</v>
      </c>
      <c r="C83" s="300" t="s">
        <v>985</v>
      </c>
      <c r="D83" s="300" t="s">
        <v>383</v>
      </c>
      <c r="E83" s="300" t="s">
        <v>986</v>
      </c>
      <c r="F83" s="303">
        <v>6.4</v>
      </c>
      <c r="G83" s="302">
        <v>0.17100000000000001</v>
      </c>
      <c r="H83" s="302">
        <v>1.0940000000000001</v>
      </c>
      <c r="I83" s="300"/>
    </row>
    <row r="84" spans="2:9" x14ac:dyDescent="0.35">
      <c r="B84" s="300" t="s">
        <v>84</v>
      </c>
      <c r="C84" s="300" t="s">
        <v>987</v>
      </c>
      <c r="D84" s="300" t="s">
        <v>383</v>
      </c>
      <c r="E84" s="300" t="s">
        <v>988</v>
      </c>
      <c r="F84" s="303">
        <v>6.4</v>
      </c>
      <c r="G84" s="302">
        <v>0.73599999999999999</v>
      </c>
      <c r="H84" s="302">
        <v>4.71</v>
      </c>
      <c r="I84" s="300"/>
    </row>
    <row r="85" spans="2:9" x14ac:dyDescent="0.35">
      <c r="B85" s="300" t="s">
        <v>84</v>
      </c>
      <c r="C85" s="300" t="s">
        <v>989</v>
      </c>
      <c r="D85" s="300" t="s">
        <v>383</v>
      </c>
      <c r="E85" s="300" t="s">
        <v>990</v>
      </c>
      <c r="F85" s="303">
        <v>6.4</v>
      </c>
      <c r="G85" s="302">
        <v>1.0269999999999999</v>
      </c>
      <c r="H85" s="302">
        <v>6.5730000000000004</v>
      </c>
      <c r="I85" s="300"/>
    </row>
    <row r="86" spans="2:9" x14ac:dyDescent="0.35">
      <c r="B86" s="300" t="s">
        <v>84</v>
      </c>
      <c r="C86" s="300" t="s">
        <v>991</v>
      </c>
      <c r="D86" s="300" t="s">
        <v>383</v>
      </c>
      <c r="E86" s="300" t="s">
        <v>992</v>
      </c>
      <c r="F86" s="303">
        <v>6.4</v>
      </c>
      <c r="G86" s="302">
        <v>0.99299999999999999</v>
      </c>
      <c r="H86" s="302">
        <v>6.3550000000000004</v>
      </c>
      <c r="I86" s="300"/>
    </row>
    <row r="87" spans="2:9" x14ac:dyDescent="0.35">
      <c r="B87" s="233" t="s">
        <v>993</v>
      </c>
    </row>
    <row r="88" spans="2:9" x14ac:dyDescent="0.35">
      <c r="B88" s="300" t="s">
        <v>994</v>
      </c>
      <c r="C88" s="300" t="s">
        <v>995</v>
      </c>
      <c r="D88" s="300" t="s">
        <v>996</v>
      </c>
      <c r="E88" s="300" t="s">
        <v>997</v>
      </c>
      <c r="F88" s="303">
        <v>6.4</v>
      </c>
      <c r="G88" s="302">
        <v>1.603</v>
      </c>
      <c r="H88" s="302">
        <v>10.259</v>
      </c>
      <c r="I88" s="300"/>
    </row>
    <row r="89" spans="2:9" x14ac:dyDescent="0.35">
      <c r="B89" s="300" t="s">
        <v>994</v>
      </c>
      <c r="C89" s="300" t="s">
        <v>998</v>
      </c>
      <c r="D89" s="300" t="s">
        <v>946</v>
      </c>
      <c r="E89" s="300" t="s">
        <v>999</v>
      </c>
      <c r="F89" s="303">
        <v>6.4</v>
      </c>
      <c r="G89" s="302">
        <v>0.27800000000000002</v>
      </c>
      <c r="H89" s="302">
        <v>1.7789999999999999</v>
      </c>
      <c r="I89" s="300"/>
    </row>
    <row r="90" spans="2:9" x14ac:dyDescent="0.35">
      <c r="B90" s="300" t="s">
        <v>994</v>
      </c>
      <c r="C90" s="300" t="s">
        <v>1000</v>
      </c>
      <c r="D90" s="300" t="s">
        <v>942</v>
      </c>
      <c r="E90" s="300" t="s">
        <v>1001</v>
      </c>
      <c r="F90" s="303">
        <v>6.4</v>
      </c>
      <c r="G90" s="302">
        <v>1.377</v>
      </c>
      <c r="H90" s="302">
        <v>8.8130000000000006</v>
      </c>
      <c r="I90" s="300"/>
    </row>
    <row r="91" spans="2:9" x14ac:dyDescent="0.35">
      <c r="B91" s="300" t="s">
        <v>994</v>
      </c>
      <c r="C91" s="300" t="s">
        <v>1002</v>
      </c>
      <c r="D91" s="300" t="s">
        <v>946</v>
      </c>
      <c r="E91" s="300" t="s">
        <v>1003</v>
      </c>
      <c r="F91" s="303">
        <v>6.4</v>
      </c>
      <c r="G91" s="302">
        <v>0.51600000000000001</v>
      </c>
      <c r="H91" s="302">
        <v>3.302</v>
      </c>
      <c r="I91" s="300"/>
    </row>
    <row r="92" spans="2:9" x14ac:dyDescent="0.35">
      <c r="B92" s="300" t="s">
        <v>994</v>
      </c>
      <c r="C92" s="300" t="s">
        <v>1004</v>
      </c>
      <c r="D92" s="300" t="s">
        <v>942</v>
      </c>
      <c r="E92" s="300" t="s">
        <v>1005</v>
      </c>
      <c r="F92" s="303">
        <v>6.4</v>
      </c>
      <c r="G92" s="302">
        <v>0.89300000000000002</v>
      </c>
      <c r="H92" s="302">
        <v>5.7149999999999999</v>
      </c>
      <c r="I92" s="300"/>
    </row>
    <row r="93" spans="2:9" x14ac:dyDescent="0.35">
      <c r="B93" s="300" t="s">
        <v>994</v>
      </c>
      <c r="C93" s="300" t="s">
        <v>1006</v>
      </c>
      <c r="D93" s="300" t="s">
        <v>940</v>
      </c>
      <c r="E93" s="300" t="s">
        <v>1007</v>
      </c>
      <c r="F93" s="303">
        <v>6.4</v>
      </c>
      <c r="G93" s="302">
        <v>0.23499999999999999</v>
      </c>
      <c r="H93" s="302">
        <v>1.504</v>
      </c>
      <c r="I93" s="300"/>
    </row>
    <row r="94" spans="2:9" x14ac:dyDescent="0.35">
      <c r="B94" s="300" t="s">
        <v>994</v>
      </c>
      <c r="C94" s="300" t="s">
        <v>1008</v>
      </c>
      <c r="D94" s="300" t="s">
        <v>942</v>
      </c>
      <c r="E94" s="300" t="s">
        <v>1009</v>
      </c>
      <c r="F94" s="303">
        <v>6.4</v>
      </c>
      <c r="G94" s="302">
        <v>1.1060000000000001</v>
      </c>
      <c r="H94" s="302">
        <v>7.0780000000000003</v>
      </c>
      <c r="I94" s="300"/>
    </row>
    <row r="95" spans="2:9" x14ac:dyDescent="0.35">
      <c r="B95" s="300" t="s">
        <v>994</v>
      </c>
      <c r="C95" s="300" t="s">
        <v>1010</v>
      </c>
      <c r="D95" s="300" t="s">
        <v>940</v>
      </c>
      <c r="E95" s="300" t="s">
        <v>1011</v>
      </c>
      <c r="F95" s="303">
        <v>6.4</v>
      </c>
      <c r="G95" s="302">
        <v>0.23100000000000001</v>
      </c>
      <c r="H95" s="302">
        <v>1.478</v>
      </c>
      <c r="I95" s="300"/>
    </row>
    <row r="96" spans="2:9" x14ac:dyDescent="0.35">
      <c r="B96" s="300" t="s">
        <v>994</v>
      </c>
      <c r="C96" s="300" t="s">
        <v>1012</v>
      </c>
      <c r="D96" s="300" t="s">
        <v>940</v>
      </c>
      <c r="E96" s="300" t="s">
        <v>1013</v>
      </c>
      <c r="F96" s="303">
        <v>6.4</v>
      </c>
      <c r="G96" s="302">
        <v>0.22600000000000001</v>
      </c>
      <c r="H96" s="302">
        <v>1.446</v>
      </c>
      <c r="I96" s="300"/>
    </row>
    <row r="97" spans="2:9" x14ac:dyDescent="0.35">
      <c r="B97" s="300" t="s">
        <v>994</v>
      </c>
      <c r="C97" s="300" t="s">
        <v>1014</v>
      </c>
      <c r="D97" s="300" t="s">
        <v>942</v>
      </c>
      <c r="E97" s="300" t="s">
        <v>1015</v>
      </c>
      <c r="F97" s="303">
        <v>6.4</v>
      </c>
      <c r="G97" s="302">
        <v>0.17</v>
      </c>
      <c r="H97" s="302">
        <v>1.0880000000000001</v>
      </c>
      <c r="I97" s="300"/>
    </row>
    <row r="98" spans="2:9" x14ac:dyDescent="0.35">
      <c r="B98" s="300" t="s">
        <v>994</v>
      </c>
      <c r="C98" s="300" t="s">
        <v>1016</v>
      </c>
      <c r="D98" s="300" t="s">
        <v>940</v>
      </c>
      <c r="E98" s="300" t="s">
        <v>1017</v>
      </c>
      <c r="F98" s="303">
        <v>6.4</v>
      </c>
      <c r="G98" s="302">
        <v>0.215</v>
      </c>
      <c r="H98" s="302">
        <v>1.3759999999999999</v>
      </c>
      <c r="I98" s="300"/>
    </row>
    <row r="99" spans="2:9" x14ac:dyDescent="0.35">
      <c r="B99" s="300" t="s">
        <v>994</v>
      </c>
      <c r="C99" s="300" t="s">
        <v>1018</v>
      </c>
      <c r="D99" s="300" t="s">
        <v>942</v>
      </c>
      <c r="E99" s="300" t="s">
        <v>1019</v>
      </c>
      <c r="F99" s="303">
        <v>6.4</v>
      </c>
      <c r="G99" s="302">
        <v>0.28100000000000003</v>
      </c>
      <c r="H99" s="302">
        <v>1.798</v>
      </c>
      <c r="I99" s="300"/>
    </row>
    <row r="100" spans="2:9" x14ac:dyDescent="0.35">
      <c r="B100" s="300" t="s">
        <v>994</v>
      </c>
      <c r="C100" s="300" t="s">
        <v>1020</v>
      </c>
      <c r="D100" s="300" t="s">
        <v>942</v>
      </c>
      <c r="E100" s="300" t="s">
        <v>1021</v>
      </c>
      <c r="F100" s="303">
        <v>6.4</v>
      </c>
      <c r="G100" s="302">
        <v>0.78800000000000003</v>
      </c>
      <c r="H100" s="302">
        <v>5.0430000000000001</v>
      </c>
      <c r="I100" s="300"/>
    </row>
    <row r="101" spans="2:9" x14ac:dyDescent="0.35">
      <c r="B101" s="233" t="s">
        <v>1022</v>
      </c>
    </row>
    <row r="102" spans="2:9" x14ac:dyDescent="0.35">
      <c r="B102" s="300" t="s">
        <v>447</v>
      </c>
      <c r="C102" s="300" t="s">
        <v>383</v>
      </c>
      <c r="D102" s="300" t="s">
        <v>603</v>
      </c>
      <c r="E102" s="300" t="s">
        <v>384</v>
      </c>
      <c r="F102" s="303">
        <v>6</v>
      </c>
      <c r="G102" s="302">
        <v>2.1589999999999998</v>
      </c>
      <c r="H102" s="302">
        <v>12.954000000000001</v>
      </c>
      <c r="I102" s="300"/>
    </row>
    <row r="103" spans="2:9" x14ac:dyDescent="0.35">
      <c r="B103" s="300" t="s">
        <v>447</v>
      </c>
      <c r="C103" s="300" t="s">
        <v>383</v>
      </c>
      <c r="D103" s="300" t="s">
        <v>1023</v>
      </c>
      <c r="E103" s="300" t="s">
        <v>385</v>
      </c>
      <c r="F103" s="303">
        <v>6</v>
      </c>
      <c r="G103" s="302">
        <v>0.95599999999999996</v>
      </c>
      <c r="H103" s="302">
        <v>5.7359999999999998</v>
      </c>
      <c r="I103" s="300"/>
    </row>
    <row r="104" spans="2:9" x14ac:dyDescent="0.35">
      <c r="B104" s="300" t="s">
        <v>447</v>
      </c>
      <c r="C104" s="300" t="s">
        <v>383</v>
      </c>
      <c r="D104" s="300" t="s">
        <v>590</v>
      </c>
      <c r="E104" s="300" t="s">
        <v>386</v>
      </c>
      <c r="F104" s="303">
        <v>6</v>
      </c>
      <c r="G104" s="302">
        <v>1.163</v>
      </c>
      <c r="H104" s="302">
        <v>6.9779999999999998</v>
      </c>
      <c r="I104" s="300"/>
    </row>
    <row r="105" spans="2:9" x14ac:dyDescent="0.35">
      <c r="B105" s="300" t="s">
        <v>447</v>
      </c>
      <c r="C105" s="300" t="s">
        <v>387</v>
      </c>
      <c r="D105" s="300" t="s">
        <v>1024</v>
      </c>
      <c r="E105" s="300" t="s">
        <v>387</v>
      </c>
      <c r="F105" s="303">
        <v>6</v>
      </c>
      <c r="G105" s="302">
        <v>0.74299999999999999</v>
      </c>
      <c r="H105" s="302">
        <v>4.4580000000000002</v>
      </c>
      <c r="I105" s="300"/>
    </row>
    <row r="106" spans="2:9" x14ac:dyDescent="0.35">
      <c r="B106" s="233" t="s">
        <v>1025</v>
      </c>
    </row>
    <row r="107" spans="2:9" x14ac:dyDescent="0.35">
      <c r="B107" s="300" t="s">
        <v>1026</v>
      </c>
      <c r="C107" s="300" t="s">
        <v>419</v>
      </c>
      <c r="D107" s="300" t="s">
        <v>383</v>
      </c>
      <c r="E107" s="300" t="s">
        <v>383</v>
      </c>
      <c r="F107" s="303">
        <v>6.4</v>
      </c>
      <c r="G107" s="302">
        <v>1.115</v>
      </c>
      <c r="H107" s="302">
        <v>7.14</v>
      </c>
      <c r="I107" s="300"/>
    </row>
    <row r="108" spans="2:9" x14ac:dyDescent="0.35">
      <c r="B108" s="300" t="s">
        <v>1026</v>
      </c>
      <c r="C108" s="300" t="s">
        <v>421</v>
      </c>
      <c r="D108" s="300" t="s">
        <v>383</v>
      </c>
      <c r="E108" s="300" t="s">
        <v>383</v>
      </c>
      <c r="F108" s="303">
        <v>6.4</v>
      </c>
      <c r="G108" s="302">
        <v>0.13400000000000001</v>
      </c>
      <c r="H108" s="302">
        <v>0.86</v>
      </c>
      <c r="I108" s="300"/>
    </row>
    <row r="109" spans="2:9" x14ac:dyDescent="0.35">
      <c r="B109" s="300" t="s">
        <v>1026</v>
      </c>
      <c r="C109" s="300" t="s">
        <v>422</v>
      </c>
      <c r="D109" s="300" t="s">
        <v>383</v>
      </c>
      <c r="E109" s="300" t="s">
        <v>383</v>
      </c>
      <c r="F109" s="303">
        <v>6.4</v>
      </c>
      <c r="G109" s="302">
        <v>1.073</v>
      </c>
      <c r="H109" s="302">
        <v>6.87</v>
      </c>
      <c r="I109" s="300"/>
    </row>
    <row r="110" spans="2:9" x14ac:dyDescent="0.35">
      <c r="B110" s="300" t="s">
        <v>1026</v>
      </c>
      <c r="C110" s="300" t="s">
        <v>423</v>
      </c>
      <c r="D110" s="300" t="s">
        <v>383</v>
      </c>
      <c r="E110" s="300" t="s">
        <v>383</v>
      </c>
      <c r="F110" s="303">
        <v>6.4</v>
      </c>
      <c r="G110" s="302">
        <v>0.223</v>
      </c>
      <c r="H110" s="302">
        <v>1.43</v>
      </c>
      <c r="I110" s="300"/>
    </row>
    <row r="111" spans="2:9" x14ac:dyDescent="0.35">
      <c r="B111" s="300" t="s">
        <v>1026</v>
      </c>
      <c r="C111" s="300" t="s">
        <v>424</v>
      </c>
      <c r="D111" s="300" t="s">
        <v>383</v>
      </c>
      <c r="E111" s="300" t="s">
        <v>383</v>
      </c>
      <c r="F111" s="303">
        <v>6.4</v>
      </c>
      <c r="G111" s="302">
        <v>0.91200000000000003</v>
      </c>
      <c r="H111" s="302">
        <v>5.84</v>
      </c>
      <c r="I111" s="300"/>
    </row>
    <row r="112" spans="2:9" x14ac:dyDescent="0.35">
      <c r="B112" s="300" t="s">
        <v>1026</v>
      </c>
      <c r="C112" s="300" t="s">
        <v>425</v>
      </c>
      <c r="D112" s="300" t="s">
        <v>383</v>
      </c>
      <c r="E112" s="300" t="s">
        <v>383</v>
      </c>
      <c r="F112" s="303">
        <v>6.4</v>
      </c>
      <c r="G112" s="302">
        <v>1.0669999999999999</v>
      </c>
      <c r="H112" s="302">
        <v>6.53</v>
      </c>
      <c r="I112" s="300"/>
    </row>
    <row r="113" spans="2:9" x14ac:dyDescent="0.35">
      <c r="B113" s="300" t="s">
        <v>1026</v>
      </c>
      <c r="C113" s="300" t="s">
        <v>426</v>
      </c>
      <c r="D113" s="300" t="s">
        <v>383</v>
      </c>
      <c r="E113" s="300" t="s">
        <v>383</v>
      </c>
      <c r="F113" s="303">
        <v>6.4</v>
      </c>
      <c r="G113" s="302">
        <v>0.99299999999999999</v>
      </c>
      <c r="H113" s="302">
        <v>6.36</v>
      </c>
      <c r="I113" s="300"/>
    </row>
    <row r="114" spans="2:9" x14ac:dyDescent="0.35">
      <c r="B114" s="300" t="s">
        <v>1026</v>
      </c>
      <c r="C114" s="300" t="s">
        <v>427</v>
      </c>
      <c r="D114" s="300" t="s">
        <v>383</v>
      </c>
      <c r="E114" s="300" t="s">
        <v>383</v>
      </c>
      <c r="F114" s="303">
        <v>6.4</v>
      </c>
      <c r="G114" s="302">
        <v>0.82599999999999996</v>
      </c>
      <c r="H114" s="302">
        <v>5.29</v>
      </c>
      <c r="I114" s="300"/>
    </row>
    <row r="115" spans="2:9" x14ac:dyDescent="0.35">
      <c r="B115" s="300" t="s">
        <v>1026</v>
      </c>
      <c r="C115" s="300" t="s">
        <v>428</v>
      </c>
      <c r="D115" s="300" t="s">
        <v>383</v>
      </c>
      <c r="E115" s="300" t="s">
        <v>383</v>
      </c>
      <c r="F115" s="303">
        <v>6.4</v>
      </c>
      <c r="G115" s="302">
        <v>1.462</v>
      </c>
      <c r="H115" s="302">
        <v>9.39</v>
      </c>
      <c r="I115" s="300"/>
    </row>
    <row r="116" spans="2:9" x14ac:dyDescent="0.35">
      <c r="B116" s="300" t="s">
        <v>1026</v>
      </c>
      <c r="C116" s="300" t="s">
        <v>429</v>
      </c>
      <c r="D116" s="300" t="s">
        <v>383</v>
      </c>
      <c r="E116" s="300" t="s">
        <v>383</v>
      </c>
      <c r="F116" s="303">
        <v>6.4</v>
      </c>
      <c r="G116" s="302">
        <v>0.91200000000000003</v>
      </c>
      <c r="H116" s="302">
        <v>5.84</v>
      </c>
      <c r="I116" s="300"/>
    </row>
    <row r="117" spans="2:9" x14ac:dyDescent="0.35">
      <c r="B117" s="300" t="s">
        <v>1026</v>
      </c>
      <c r="C117" s="300" t="s">
        <v>430</v>
      </c>
      <c r="D117" s="300" t="s">
        <v>383</v>
      </c>
      <c r="E117" s="300" t="s">
        <v>383</v>
      </c>
      <c r="F117" s="303">
        <v>6.4</v>
      </c>
      <c r="G117" s="302">
        <v>1.012</v>
      </c>
      <c r="H117" s="302">
        <v>6.48</v>
      </c>
      <c r="I117" s="300"/>
    </row>
    <row r="118" spans="2:9" x14ac:dyDescent="0.35">
      <c r="B118" s="300" t="s">
        <v>1026</v>
      </c>
      <c r="C118" s="300" t="s">
        <v>431</v>
      </c>
      <c r="D118" s="300" t="s">
        <v>383</v>
      </c>
      <c r="E118" s="300" t="s">
        <v>383</v>
      </c>
      <c r="F118" s="303">
        <v>6.4</v>
      </c>
      <c r="G118" s="302">
        <v>0.53500000000000003</v>
      </c>
      <c r="H118" s="302">
        <v>3.43</v>
      </c>
      <c r="I118" s="300"/>
    </row>
    <row r="119" spans="2:9" x14ac:dyDescent="0.35">
      <c r="B119" s="300" t="s">
        <v>1026</v>
      </c>
      <c r="C119" s="300" t="s">
        <v>432</v>
      </c>
      <c r="D119" s="300" t="s">
        <v>383</v>
      </c>
      <c r="E119" s="300" t="s">
        <v>383</v>
      </c>
      <c r="F119" s="303">
        <v>6.4</v>
      </c>
      <c r="G119" s="302">
        <v>0.53400000000000003</v>
      </c>
      <c r="H119" s="302">
        <v>3.42</v>
      </c>
      <c r="I119" s="300"/>
    </row>
    <row r="120" spans="2:9" x14ac:dyDescent="0.35">
      <c r="B120" s="300" t="s">
        <v>1026</v>
      </c>
      <c r="C120" s="300" t="s">
        <v>433</v>
      </c>
      <c r="D120" s="300" t="s">
        <v>383</v>
      </c>
      <c r="E120" s="300" t="s">
        <v>383</v>
      </c>
      <c r="F120" s="303">
        <v>6.4</v>
      </c>
      <c r="G120" s="302">
        <v>0.66200000000000003</v>
      </c>
      <c r="H120" s="302">
        <v>4.24</v>
      </c>
      <c r="I120" s="300"/>
    </row>
    <row r="121" spans="2:9" x14ac:dyDescent="0.35">
      <c r="B121" s="300" t="s">
        <v>1026</v>
      </c>
      <c r="C121" s="300" t="s">
        <v>434</v>
      </c>
      <c r="D121" s="300" t="s">
        <v>383</v>
      </c>
      <c r="E121" s="300" t="s">
        <v>383</v>
      </c>
      <c r="F121" s="303">
        <v>6.4</v>
      </c>
      <c r="G121" s="302">
        <v>0.57799999999999996</v>
      </c>
      <c r="H121" s="302">
        <v>3.7</v>
      </c>
      <c r="I121" s="300"/>
    </row>
    <row r="122" spans="2:9" x14ac:dyDescent="0.35">
      <c r="B122" s="300" t="s">
        <v>1026</v>
      </c>
      <c r="C122" s="300" t="s">
        <v>435</v>
      </c>
      <c r="D122" s="300" t="s">
        <v>383</v>
      </c>
      <c r="E122" s="300" t="s">
        <v>383</v>
      </c>
      <c r="F122" s="303">
        <v>6.4</v>
      </c>
      <c r="G122" s="302">
        <v>1.2729999999999999</v>
      </c>
      <c r="H122" s="302">
        <v>8.15</v>
      </c>
      <c r="I122" s="300"/>
    </row>
    <row r="123" spans="2:9" x14ac:dyDescent="0.35">
      <c r="B123" s="300" t="s">
        <v>1026</v>
      </c>
      <c r="C123" s="300" t="s">
        <v>436</v>
      </c>
      <c r="D123" s="300" t="s">
        <v>383</v>
      </c>
      <c r="E123" s="300" t="s">
        <v>383</v>
      </c>
      <c r="F123" s="303">
        <v>6.4</v>
      </c>
      <c r="G123" s="302">
        <v>1.234</v>
      </c>
      <c r="H123" s="302">
        <v>7.9</v>
      </c>
      <c r="I123" s="300"/>
    </row>
    <row r="124" spans="2:9" x14ac:dyDescent="0.35">
      <c r="B124" s="300" t="s">
        <v>1026</v>
      </c>
      <c r="C124" s="300" t="s">
        <v>437</v>
      </c>
      <c r="D124" s="300" t="s">
        <v>383</v>
      </c>
      <c r="E124" s="300" t="s">
        <v>383</v>
      </c>
      <c r="F124" s="303">
        <v>6.4</v>
      </c>
      <c r="G124" s="302">
        <v>1.395</v>
      </c>
      <c r="H124" s="302">
        <v>8.93</v>
      </c>
      <c r="I124" s="300"/>
    </row>
    <row r="125" spans="2:9" x14ac:dyDescent="0.35">
      <c r="B125" s="300" t="s">
        <v>1026</v>
      </c>
      <c r="C125" s="300" t="s">
        <v>438</v>
      </c>
      <c r="D125" s="300" t="s">
        <v>383</v>
      </c>
      <c r="E125" s="300" t="s">
        <v>383</v>
      </c>
      <c r="F125" s="303">
        <v>6.4</v>
      </c>
      <c r="G125" s="302">
        <v>1.0780000000000001</v>
      </c>
      <c r="H125" s="302">
        <v>6.9</v>
      </c>
      <c r="I125" s="300"/>
    </row>
    <row r="126" spans="2:9" x14ac:dyDescent="0.35">
      <c r="B126" s="300" t="s">
        <v>1026</v>
      </c>
      <c r="C126" s="300" t="s">
        <v>439</v>
      </c>
      <c r="D126" s="300" t="s">
        <v>383</v>
      </c>
      <c r="E126" s="300" t="s">
        <v>383</v>
      </c>
      <c r="F126" s="303">
        <v>6.4</v>
      </c>
      <c r="G126" s="302">
        <v>1.0429999999999999</v>
      </c>
      <c r="H126" s="302">
        <v>6.68</v>
      </c>
      <c r="I126" s="300"/>
    </row>
    <row r="127" spans="2:9" x14ac:dyDescent="0.35">
      <c r="B127" s="300" t="s">
        <v>1026</v>
      </c>
      <c r="C127" s="300" t="s">
        <v>440</v>
      </c>
      <c r="D127" s="300" t="s">
        <v>383</v>
      </c>
      <c r="E127" s="300" t="s">
        <v>383</v>
      </c>
      <c r="F127" s="303">
        <v>6.4</v>
      </c>
      <c r="G127" s="302">
        <v>1.335</v>
      </c>
      <c r="H127" s="302">
        <v>8.5500000000000007</v>
      </c>
      <c r="I127" s="300"/>
    </row>
    <row r="128" spans="2:9" x14ac:dyDescent="0.35">
      <c r="B128" s="300" t="s">
        <v>1026</v>
      </c>
      <c r="C128" s="300" t="s">
        <v>441</v>
      </c>
      <c r="D128" s="300" t="s">
        <v>383</v>
      </c>
      <c r="E128" s="300" t="s">
        <v>383</v>
      </c>
      <c r="F128" s="303">
        <v>6.4</v>
      </c>
      <c r="G128" s="302">
        <v>0.25</v>
      </c>
      <c r="H128" s="302">
        <v>1.64</v>
      </c>
      <c r="I128" s="300"/>
    </row>
    <row r="129" spans="2:9" x14ac:dyDescent="0.35">
      <c r="B129" s="300" t="s">
        <v>1026</v>
      </c>
      <c r="C129" s="304"/>
      <c r="D129" s="304"/>
      <c r="E129" s="304"/>
      <c r="F129" s="304"/>
      <c r="G129" s="304"/>
      <c r="H129" s="304"/>
      <c r="I129" s="305"/>
    </row>
    <row r="130" spans="2:9" x14ac:dyDescent="0.35">
      <c r="B130" s="233" t="s">
        <v>1027</v>
      </c>
    </row>
    <row r="131" spans="2:9" x14ac:dyDescent="0.35">
      <c r="B131" s="300" t="s">
        <v>957</v>
      </c>
      <c r="C131" s="300" t="s">
        <v>1028</v>
      </c>
      <c r="D131" s="300" t="s">
        <v>383</v>
      </c>
      <c r="E131" s="300" t="s">
        <v>1029</v>
      </c>
      <c r="F131" s="301">
        <v>6.4</v>
      </c>
      <c r="G131" s="302">
        <v>0.34399999999999997</v>
      </c>
      <c r="H131" s="302">
        <v>2.202</v>
      </c>
      <c r="I131" s="300"/>
    </row>
    <row r="132" spans="2:9" x14ac:dyDescent="0.35">
      <c r="B132" s="300" t="s">
        <v>957</v>
      </c>
      <c r="C132" s="300" t="s">
        <v>297</v>
      </c>
      <c r="D132" s="300" t="s">
        <v>383</v>
      </c>
      <c r="E132" s="300" t="s">
        <v>1030</v>
      </c>
      <c r="F132" s="301">
        <v>6.4</v>
      </c>
      <c r="G132" s="302">
        <v>0.48799999999999999</v>
      </c>
      <c r="H132" s="302">
        <v>3.1230000000000002</v>
      </c>
      <c r="I132" s="300"/>
    </row>
    <row r="133" spans="2:9" x14ac:dyDescent="0.35">
      <c r="B133" s="300" t="s">
        <v>957</v>
      </c>
      <c r="C133" s="300" t="s">
        <v>269</v>
      </c>
      <c r="D133" s="300" t="s">
        <v>383</v>
      </c>
      <c r="E133" s="300" t="s">
        <v>1031</v>
      </c>
      <c r="F133" s="301">
        <v>6.4</v>
      </c>
      <c r="G133" s="302">
        <v>1.1919999999999999</v>
      </c>
      <c r="H133" s="302">
        <v>7.6289999999999996</v>
      </c>
      <c r="I133" s="300"/>
    </row>
    <row r="134" spans="2:9" x14ac:dyDescent="0.35">
      <c r="B134" s="300" t="s">
        <v>957</v>
      </c>
      <c r="C134" s="300" t="s">
        <v>267</v>
      </c>
      <c r="D134" s="300" t="s">
        <v>383</v>
      </c>
      <c r="E134" s="300" t="s">
        <v>1032</v>
      </c>
      <c r="F134" s="301">
        <v>6.4</v>
      </c>
      <c r="G134" s="302">
        <v>1.151</v>
      </c>
      <c r="H134" s="302">
        <v>7.3659999999999997</v>
      </c>
      <c r="I134" s="300"/>
    </row>
    <row r="135" spans="2:9" x14ac:dyDescent="0.35">
      <c r="B135" s="226" t="s">
        <v>1033</v>
      </c>
    </row>
    <row r="136" spans="2:9" x14ac:dyDescent="0.35">
      <c r="B136" t="s">
        <v>447</v>
      </c>
      <c r="C136" t="s">
        <v>388</v>
      </c>
      <c r="E136" t="s">
        <v>389</v>
      </c>
      <c r="F136">
        <v>6</v>
      </c>
      <c r="G136">
        <v>6.7000000000000004E-2</v>
      </c>
      <c r="H136">
        <v>0.40100000000000002</v>
      </c>
    </row>
    <row r="138" spans="2:9" x14ac:dyDescent="0.35">
      <c r="B138" s="360" t="s">
        <v>1034</v>
      </c>
    </row>
    <row r="139" spans="2:9" x14ac:dyDescent="0.35">
      <c r="B139" s="346" t="s">
        <v>1035</v>
      </c>
    </row>
    <row r="140" spans="2:9" x14ac:dyDescent="0.35">
      <c r="B140" t="s">
        <v>84</v>
      </c>
      <c r="C140" t="s">
        <v>121</v>
      </c>
      <c r="E140" t="s">
        <v>122</v>
      </c>
      <c r="F140">
        <v>6.4</v>
      </c>
      <c r="G140">
        <v>0.97699999999999998</v>
      </c>
      <c r="H140">
        <v>6.25</v>
      </c>
      <c r="I140" t="s">
        <v>1036</v>
      </c>
    </row>
    <row r="141" spans="2:9" x14ac:dyDescent="0.35">
      <c r="B141" t="s">
        <v>84</v>
      </c>
      <c r="C141" t="s">
        <v>124</v>
      </c>
      <c r="E141" t="s">
        <v>125</v>
      </c>
      <c r="F141">
        <v>6.4</v>
      </c>
      <c r="G141">
        <v>1.046</v>
      </c>
      <c r="H141">
        <v>6.694</v>
      </c>
      <c r="I141" t="s">
        <v>1037</v>
      </c>
    </row>
    <row r="142" spans="2:9" x14ac:dyDescent="0.35">
      <c r="B142" t="s">
        <v>84</v>
      </c>
      <c r="C142" t="s">
        <v>126</v>
      </c>
      <c r="E142" t="s">
        <v>127</v>
      </c>
      <c r="F142">
        <v>6.4</v>
      </c>
      <c r="G142">
        <v>0.755</v>
      </c>
      <c r="H142">
        <v>4.8330000000000002</v>
      </c>
      <c r="I142" t="s">
        <v>1038</v>
      </c>
    </row>
    <row r="143" spans="2:9" x14ac:dyDescent="0.35">
      <c r="B143" t="s">
        <v>84</v>
      </c>
      <c r="C143" t="s">
        <v>128</v>
      </c>
      <c r="E143" t="s">
        <v>129</v>
      </c>
      <c r="F143">
        <v>6.4</v>
      </c>
      <c r="G143">
        <v>0.755</v>
      </c>
      <c r="H143">
        <v>4.8330000000000002</v>
      </c>
      <c r="I143" t="s">
        <v>1038</v>
      </c>
    </row>
    <row r="144" spans="2:9" x14ac:dyDescent="0.35">
      <c r="B144" t="s">
        <v>84</v>
      </c>
      <c r="C144" t="s">
        <v>130</v>
      </c>
      <c r="E144" t="s">
        <v>131</v>
      </c>
      <c r="F144">
        <v>6.4</v>
      </c>
      <c r="G144">
        <v>0.57299999999999995</v>
      </c>
      <c r="H144">
        <v>3.6669999999999998</v>
      </c>
      <c r="I144" t="s">
        <v>1039</v>
      </c>
    </row>
    <row r="145" spans="2:9" x14ac:dyDescent="0.35">
      <c r="B145" t="s">
        <v>84</v>
      </c>
      <c r="C145" t="s">
        <v>132</v>
      </c>
      <c r="E145" t="s">
        <v>133</v>
      </c>
      <c r="F145">
        <v>6.4</v>
      </c>
      <c r="G145">
        <v>0.97699999999999998</v>
      </c>
      <c r="H145">
        <v>6.25</v>
      </c>
      <c r="I145" t="s">
        <v>1036</v>
      </c>
    </row>
    <row r="146" spans="2:9" x14ac:dyDescent="0.35">
      <c r="B146" t="s">
        <v>84</v>
      </c>
      <c r="C146" t="s">
        <v>134</v>
      </c>
      <c r="E146" t="s">
        <v>135</v>
      </c>
      <c r="F146">
        <v>6.4</v>
      </c>
      <c r="G146">
        <v>0.59899999999999998</v>
      </c>
      <c r="H146">
        <v>3.8330000000000002</v>
      </c>
      <c r="I146" t="s">
        <v>1040</v>
      </c>
    </row>
    <row r="147" spans="2:9" x14ac:dyDescent="0.35">
      <c r="B147" t="s">
        <v>84</v>
      </c>
      <c r="C147" t="s">
        <v>136</v>
      </c>
      <c r="E147" t="s">
        <v>137</v>
      </c>
      <c r="F147">
        <v>6.4</v>
      </c>
      <c r="G147">
        <v>1.0720000000000001</v>
      </c>
      <c r="H147">
        <v>6.8609999999999998</v>
      </c>
      <c r="I147" t="s">
        <v>1041</v>
      </c>
    </row>
    <row r="148" spans="2:9" x14ac:dyDescent="0.35">
      <c r="B148" t="s">
        <v>84</v>
      </c>
      <c r="C148" t="s">
        <v>138</v>
      </c>
      <c r="E148" t="s">
        <v>139</v>
      </c>
      <c r="F148">
        <v>6.4</v>
      </c>
      <c r="G148">
        <v>0.152</v>
      </c>
      <c r="H148">
        <v>0.97199999999999998</v>
      </c>
      <c r="I148" t="s">
        <v>1042</v>
      </c>
    </row>
    <row r="149" spans="2:9" x14ac:dyDescent="0.35">
      <c r="B149" s="346" t="s">
        <v>84</v>
      </c>
      <c r="C149" t="s">
        <v>140</v>
      </c>
      <c r="E149" t="s">
        <v>141</v>
      </c>
      <c r="F149">
        <v>6.4</v>
      </c>
      <c r="G149">
        <v>0.312</v>
      </c>
      <c r="H149">
        <v>2</v>
      </c>
      <c r="I149" t="s">
        <v>1043</v>
      </c>
    </row>
    <row r="150" spans="2:9" x14ac:dyDescent="0.35">
      <c r="B150" t="s">
        <v>84</v>
      </c>
      <c r="C150" t="s">
        <v>142</v>
      </c>
      <c r="E150" t="s">
        <v>143</v>
      </c>
      <c r="F150">
        <v>6.4</v>
      </c>
      <c r="G150">
        <v>1.7969999999999999</v>
      </c>
      <c r="H150">
        <v>11.5</v>
      </c>
      <c r="I150" t="s">
        <v>1044</v>
      </c>
    </row>
    <row r="151" spans="2:9" x14ac:dyDescent="0.35">
      <c r="B151" t="s">
        <v>84</v>
      </c>
      <c r="C151" t="s">
        <v>144</v>
      </c>
      <c r="E151" t="s">
        <v>145</v>
      </c>
      <c r="F151">
        <v>6.4</v>
      </c>
      <c r="G151">
        <v>0.26900000000000002</v>
      </c>
      <c r="H151">
        <v>1.722</v>
      </c>
      <c r="I151" t="s">
        <v>1045</v>
      </c>
    </row>
    <row r="152" spans="2:9" x14ac:dyDescent="0.35">
      <c r="B152" t="s">
        <v>84</v>
      </c>
      <c r="C152" t="s">
        <v>146</v>
      </c>
      <c r="E152" t="s">
        <v>147</v>
      </c>
      <c r="F152">
        <v>6.4</v>
      </c>
      <c r="G152">
        <v>0.20799999999999999</v>
      </c>
      <c r="H152">
        <v>1.333</v>
      </c>
      <c r="I152" t="s">
        <v>1046</v>
      </c>
    </row>
    <row r="153" spans="2:9" x14ac:dyDescent="0.35">
      <c r="B153" t="s">
        <v>84</v>
      </c>
      <c r="C153" t="s">
        <v>148</v>
      </c>
      <c r="E153" t="s">
        <v>149</v>
      </c>
      <c r="F153">
        <v>6.4</v>
      </c>
      <c r="G153">
        <v>0.71599999999999997</v>
      </c>
      <c r="H153">
        <v>4.5830000000000002</v>
      </c>
      <c r="I153" t="s">
        <v>1047</v>
      </c>
    </row>
    <row r="154" spans="2:9" x14ac:dyDescent="0.35">
      <c r="B154" t="s">
        <v>84</v>
      </c>
      <c r="C154" t="s">
        <v>150</v>
      </c>
      <c r="E154" t="s">
        <v>151</v>
      </c>
      <c r="F154">
        <v>6.4</v>
      </c>
      <c r="G154">
        <v>0.126</v>
      </c>
      <c r="H154">
        <v>0.80600000000000005</v>
      </c>
      <c r="I154" t="s">
        <v>1048</v>
      </c>
    </row>
    <row r="155" spans="2:9" x14ac:dyDescent="0.35">
      <c r="B155" t="s">
        <v>84</v>
      </c>
      <c r="C155" t="s">
        <v>152</v>
      </c>
      <c r="E155" t="s">
        <v>153</v>
      </c>
      <c r="F155">
        <v>6.4</v>
      </c>
      <c r="G155">
        <v>0.76800000000000002</v>
      </c>
      <c r="H155">
        <v>4.9169999999999998</v>
      </c>
      <c r="I155" t="s">
        <v>1049</v>
      </c>
    </row>
    <row r="156" spans="2:9" x14ac:dyDescent="0.35">
      <c r="B156" t="s">
        <v>84</v>
      </c>
      <c r="C156" t="s">
        <v>154</v>
      </c>
      <c r="E156" t="s">
        <v>155</v>
      </c>
      <c r="F156">
        <v>6.4</v>
      </c>
      <c r="G156">
        <v>1.345</v>
      </c>
      <c r="H156">
        <v>8.6110000000000007</v>
      </c>
      <c r="I156" t="s">
        <v>1050</v>
      </c>
    </row>
    <row r="157" spans="2:9" x14ac:dyDescent="0.35">
      <c r="B157" t="s">
        <v>84</v>
      </c>
      <c r="C157" t="s">
        <v>156</v>
      </c>
      <c r="E157" t="s">
        <v>157</v>
      </c>
      <c r="F157">
        <v>6.4</v>
      </c>
      <c r="G157">
        <v>0.92</v>
      </c>
      <c r="H157">
        <v>5.8890000000000002</v>
      </c>
      <c r="I157" t="s">
        <v>1051</v>
      </c>
    </row>
    <row r="158" spans="2:9" x14ac:dyDescent="0.35">
      <c r="B158" t="s">
        <v>84</v>
      </c>
      <c r="C158" t="s">
        <v>158</v>
      </c>
      <c r="E158" t="s">
        <v>159</v>
      </c>
      <c r="F158">
        <v>6.4</v>
      </c>
      <c r="G158">
        <v>1.0720000000000001</v>
      </c>
      <c r="H158">
        <v>6.8609999999999998</v>
      </c>
      <c r="I158" t="s">
        <v>1041</v>
      </c>
    </row>
    <row r="159" spans="2:9" x14ac:dyDescent="0.35">
      <c r="B159" t="s">
        <v>84</v>
      </c>
      <c r="C159" t="s">
        <v>160</v>
      </c>
      <c r="E159" t="s">
        <v>161</v>
      </c>
      <c r="F159">
        <v>6.4</v>
      </c>
      <c r="G159">
        <v>0.89400000000000002</v>
      </c>
      <c r="H159">
        <v>5.7220000000000004</v>
      </c>
      <c r="I159" t="s">
        <v>1052</v>
      </c>
    </row>
    <row r="160" spans="2:9" x14ac:dyDescent="0.35">
      <c r="B160" t="s">
        <v>84</v>
      </c>
      <c r="C160" t="s">
        <v>162</v>
      </c>
      <c r="E160" t="s">
        <v>163</v>
      </c>
      <c r="F160">
        <v>6.4</v>
      </c>
      <c r="G160">
        <v>0.26500000000000001</v>
      </c>
      <c r="H160">
        <v>1.694</v>
      </c>
      <c r="I160" t="s">
        <v>1053</v>
      </c>
    </row>
    <row r="161" spans="2:9" x14ac:dyDescent="0.35">
      <c r="B161" t="s">
        <v>84</v>
      </c>
      <c r="C161" t="s">
        <v>164</v>
      </c>
      <c r="E161" t="s">
        <v>165</v>
      </c>
      <c r="F161">
        <v>6.4</v>
      </c>
      <c r="G161">
        <v>1.827</v>
      </c>
      <c r="H161">
        <v>11.694000000000001</v>
      </c>
      <c r="I161" t="s">
        <v>1054</v>
      </c>
    </row>
    <row r="162" spans="2:9" x14ac:dyDescent="0.35">
      <c r="B162" t="s">
        <v>84</v>
      </c>
      <c r="C162" t="s">
        <v>166</v>
      </c>
      <c r="E162" t="s">
        <v>167</v>
      </c>
      <c r="F162">
        <v>6.4</v>
      </c>
      <c r="G162">
        <v>0.27800000000000002</v>
      </c>
      <c r="H162">
        <v>1.778</v>
      </c>
      <c r="I162" t="s">
        <v>1055</v>
      </c>
    </row>
    <row r="163" spans="2:9" x14ac:dyDescent="0.35">
      <c r="B163" t="s">
        <v>84</v>
      </c>
      <c r="C163" t="s">
        <v>168</v>
      </c>
      <c r="E163" t="s">
        <v>169</v>
      </c>
      <c r="F163">
        <v>6.4</v>
      </c>
      <c r="G163">
        <v>1.2629999999999999</v>
      </c>
      <c r="H163">
        <v>8.0830000000000002</v>
      </c>
      <c r="I163" t="s">
        <v>1056</v>
      </c>
    </row>
    <row r="164" spans="2:9" x14ac:dyDescent="0.35">
      <c r="B164" t="s">
        <v>84</v>
      </c>
      <c r="C164" t="s">
        <v>170</v>
      </c>
      <c r="E164" t="s">
        <v>171</v>
      </c>
      <c r="F164">
        <v>6.4</v>
      </c>
      <c r="G164">
        <v>0.495</v>
      </c>
      <c r="H164">
        <v>3.1669999999999998</v>
      </c>
      <c r="I164" t="s">
        <v>1057</v>
      </c>
    </row>
    <row r="165" spans="2:9" x14ac:dyDescent="0.35">
      <c r="B165" t="s">
        <v>84</v>
      </c>
      <c r="C165" t="s">
        <v>172</v>
      </c>
      <c r="E165" t="s">
        <v>173</v>
      </c>
      <c r="F165">
        <v>6.4</v>
      </c>
      <c r="G165">
        <v>0.86799999999999999</v>
      </c>
      <c r="H165">
        <v>5.556</v>
      </c>
      <c r="I165" t="s">
        <v>1058</v>
      </c>
    </row>
    <row r="166" spans="2:9" x14ac:dyDescent="0.35">
      <c r="B166" t="s">
        <v>84</v>
      </c>
      <c r="C166" t="s">
        <v>174</v>
      </c>
      <c r="E166" t="s">
        <v>175</v>
      </c>
      <c r="F166">
        <v>6.4</v>
      </c>
      <c r="G166">
        <v>0.24299999999999999</v>
      </c>
      <c r="H166">
        <v>1.556</v>
      </c>
      <c r="I166" t="s">
        <v>1059</v>
      </c>
    </row>
    <row r="167" spans="2:9" x14ac:dyDescent="0.35">
      <c r="B167" t="s">
        <v>84</v>
      </c>
      <c r="C167" t="s">
        <v>176</v>
      </c>
      <c r="E167" t="s">
        <v>177</v>
      </c>
      <c r="F167">
        <v>6.4</v>
      </c>
      <c r="G167">
        <v>1.05</v>
      </c>
      <c r="H167">
        <v>6.7220000000000004</v>
      </c>
      <c r="I167" t="s">
        <v>1060</v>
      </c>
    </row>
    <row r="168" spans="2:9" x14ac:dyDescent="0.35">
      <c r="B168" t="s">
        <v>84</v>
      </c>
      <c r="C168" t="s">
        <v>178</v>
      </c>
      <c r="E168" t="s">
        <v>179</v>
      </c>
      <c r="F168">
        <v>6.4</v>
      </c>
      <c r="G168">
        <v>0.23</v>
      </c>
      <c r="H168">
        <v>1.472</v>
      </c>
      <c r="I168" t="s">
        <v>1061</v>
      </c>
    </row>
    <row r="169" spans="2:9" x14ac:dyDescent="0.35">
      <c r="B169" t="s">
        <v>84</v>
      </c>
      <c r="C169" t="s">
        <v>180</v>
      </c>
      <c r="E169" t="s">
        <v>181</v>
      </c>
      <c r="F169">
        <v>6.4</v>
      </c>
      <c r="G169">
        <v>0.23400000000000001</v>
      </c>
      <c r="H169">
        <v>1.5</v>
      </c>
      <c r="I169" t="s">
        <v>1062</v>
      </c>
    </row>
    <row r="170" spans="2:9" x14ac:dyDescent="0.35">
      <c r="B170" t="s">
        <v>84</v>
      </c>
      <c r="C170" t="s">
        <v>182</v>
      </c>
      <c r="E170" t="s">
        <v>183</v>
      </c>
      <c r="F170">
        <v>6.4</v>
      </c>
      <c r="G170">
        <v>0.26500000000000001</v>
      </c>
      <c r="H170">
        <v>1.694</v>
      </c>
      <c r="I170" t="s">
        <v>1053</v>
      </c>
    </row>
    <row r="171" spans="2:9" x14ac:dyDescent="0.35">
      <c r="B171" t="s">
        <v>84</v>
      </c>
      <c r="C171" t="s">
        <v>184</v>
      </c>
      <c r="E171" t="s">
        <v>185</v>
      </c>
      <c r="F171">
        <v>6.4</v>
      </c>
      <c r="G171">
        <v>0.78600000000000003</v>
      </c>
      <c r="H171">
        <v>5.0279999999999996</v>
      </c>
      <c r="I171" t="s">
        <v>1063</v>
      </c>
    </row>
    <row r="172" spans="2:9" x14ac:dyDescent="0.35">
      <c r="B172" t="s">
        <v>84</v>
      </c>
      <c r="C172" t="s">
        <v>186</v>
      </c>
      <c r="E172" t="s">
        <v>187</v>
      </c>
      <c r="F172">
        <v>6.4</v>
      </c>
      <c r="G172">
        <v>0.54300000000000004</v>
      </c>
      <c r="H172">
        <v>3.472</v>
      </c>
      <c r="I172" t="s">
        <v>1064</v>
      </c>
    </row>
    <row r="173" spans="2:9" x14ac:dyDescent="0.35">
      <c r="B173" s="346" t="s">
        <v>1065</v>
      </c>
    </row>
    <row r="174" spans="2:9" x14ac:dyDescent="0.35">
      <c r="B174" s="346" t="s">
        <v>957</v>
      </c>
      <c r="C174" t="s">
        <v>188</v>
      </c>
      <c r="E174" t="s">
        <v>189</v>
      </c>
      <c r="F174">
        <v>6.4</v>
      </c>
      <c r="G174">
        <v>1.8320000000000001</v>
      </c>
      <c r="H174">
        <v>11.722</v>
      </c>
      <c r="I174" t="s">
        <v>1066</v>
      </c>
    </row>
    <row r="175" spans="2:9" x14ac:dyDescent="0.35">
      <c r="B175" t="s">
        <v>957</v>
      </c>
      <c r="C175" t="s">
        <v>191</v>
      </c>
      <c r="E175" t="s">
        <v>192</v>
      </c>
      <c r="F175">
        <v>6.4</v>
      </c>
      <c r="G175">
        <v>2.1920000000000002</v>
      </c>
      <c r="H175">
        <v>14.028</v>
      </c>
      <c r="I175" t="s">
        <v>1067</v>
      </c>
    </row>
    <row r="176" spans="2:9" x14ac:dyDescent="0.35">
      <c r="B176" t="s">
        <v>957</v>
      </c>
      <c r="C176" t="s">
        <v>193</v>
      </c>
      <c r="E176" t="s">
        <v>194</v>
      </c>
      <c r="F176">
        <v>6.4</v>
      </c>
      <c r="G176">
        <v>1.2330000000000001</v>
      </c>
      <c r="H176">
        <v>7.8890000000000002</v>
      </c>
      <c r="I176" t="s">
        <v>1068</v>
      </c>
    </row>
    <row r="177" spans="2:9" x14ac:dyDescent="0.35">
      <c r="B177" t="s">
        <v>957</v>
      </c>
      <c r="C177" t="s">
        <v>195</v>
      </c>
      <c r="E177" t="s">
        <v>196</v>
      </c>
      <c r="F177">
        <v>6.4</v>
      </c>
      <c r="G177">
        <v>0.81599999999999995</v>
      </c>
      <c r="H177">
        <v>5.2220000000000004</v>
      </c>
      <c r="I177" t="s">
        <v>1069</v>
      </c>
    </row>
    <row r="178" spans="2:9" x14ac:dyDescent="0.35">
      <c r="B178" t="s">
        <v>957</v>
      </c>
      <c r="C178" t="s">
        <v>197</v>
      </c>
      <c r="E178" t="s">
        <v>198</v>
      </c>
      <c r="F178">
        <v>6.4</v>
      </c>
      <c r="G178">
        <v>0.98099999999999998</v>
      </c>
      <c r="H178">
        <v>6.2779999999999996</v>
      </c>
      <c r="I178" t="s">
        <v>1070</v>
      </c>
    </row>
    <row r="179" spans="2:9" x14ac:dyDescent="0.35">
      <c r="B179" t="s">
        <v>957</v>
      </c>
      <c r="C179" t="s">
        <v>199</v>
      </c>
      <c r="E179" t="s">
        <v>200</v>
      </c>
      <c r="F179">
        <v>6.4</v>
      </c>
      <c r="G179">
        <v>0.76400000000000001</v>
      </c>
      <c r="H179">
        <v>4.8890000000000002</v>
      </c>
      <c r="I179" t="s">
        <v>1071</v>
      </c>
    </row>
    <row r="180" spans="2:9" x14ac:dyDescent="0.35">
      <c r="B180" t="s">
        <v>957</v>
      </c>
      <c r="C180" t="s">
        <v>201</v>
      </c>
      <c r="E180" t="s">
        <v>202</v>
      </c>
      <c r="F180">
        <v>6.4</v>
      </c>
      <c r="G180">
        <v>0.89400000000000002</v>
      </c>
      <c r="H180">
        <v>5.7220000000000004</v>
      </c>
      <c r="I180" t="s">
        <v>1052</v>
      </c>
    </row>
    <row r="181" spans="2:9" x14ac:dyDescent="0.35">
      <c r="B181" t="s">
        <v>957</v>
      </c>
      <c r="C181" t="s">
        <v>203</v>
      </c>
      <c r="E181" t="s">
        <v>204</v>
      </c>
      <c r="F181">
        <v>6.4</v>
      </c>
      <c r="G181">
        <v>0.56399999999999995</v>
      </c>
      <c r="H181">
        <v>3.6110000000000002</v>
      </c>
      <c r="I181" t="s">
        <v>1072</v>
      </c>
    </row>
    <row r="182" spans="2:9" x14ac:dyDescent="0.35">
      <c r="B182" t="s">
        <v>957</v>
      </c>
      <c r="C182" t="s">
        <v>205</v>
      </c>
      <c r="E182" t="s">
        <v>206</v>
      </c>
      <c r="F182">
        <v>6.4</v>
      </c>
      <c r="G182">
        <v>0.23400000000000001</v>
      </c>
      <c r="H182">
        <v>1.5</v>
      </c>
      <c r="I182" t="s">
        <v>1062</v>
      </c>
    </row>
    <row r="183" spans="2:9" x14ac:dyDescent="0.35">
      <c r="B183" t="s">
        <v>957</v>
      </c>
      <c r="C183" t="s">
        <v>207</v>
      </c>
      <c r="E183" t="s">
        <v>208</v>
      </c>
      <c r="F183">
        <v>6.4</v>
      </c>
      <c r="G183">
        <v>0.26500000000000001</v>
      </c>
      <c r="H183">
        <v>1.694</v>
      </c>
      <c r="I183" t="s">
        <v>1053</v>
      </c>
    </row>
    <row r="184" spans="2:9" x14ac:dyDescent="0.35">
      <c r="B184" t="s">
        <v>957</v>
      </c>
      <c r="C184" t="s">
        <v>209</v>
      </c>
      <c r="E184" t="s">
        <v>210</v>
      </c>
      <c r="F184">
        <v>6.4</v>
      </c>
      <c r="G184">
        <v>0.95899999999999996</v>
      </c>
      <c r="H184">
        <v>6.1390000000000002</v>
      </c>
      <c r="I184" t="s">
        <v>1073</v>
      </c>
    </row>
    <row r="185" spans="2:9" x14ac:dyDescent="0.35">
      <c r="B185" t="s">
        <v>957</v>
      </c>
      <c r="C185" t="s">
        <v>211</v>
      </c>
      <c r="E185" t="s">
        <v>212</v>
      </c>
      <c r="F185">
        <v>6.4</v>
      </c>
      <c r="G185">
        <v>1.1890000000000001</v>
      </c>
      <c r="H185">
        <v>7.6109999999999998</v>
      </c>
      <c r="I185" t="s">
        <v>1074</v>
      </c>
    </row>
    <row r="186" spans="2:9" x14ac:dyDescent="0.35">
      <c r="B186" t="s">
        <v>957</v>
      </c>
      <c r="C186" t="s">
        <v>213</v>
      </c>
      <c r="E186" t="s">
        <v>214</v>
      </c>
      <c r="F186">
        <v>6.4</v>
      </c>
      <c r="G186">
        <v>0.93300000000000005</v>
      </c>
      <c r="H186">
        <v>5.9720000000000004</v>
      </c>
      <c r="I186" t="s">
        <v>1075</v>
      </c>
    </row>
    <row r="187" spans="2:9" x14ac:dyDescent="0.35">
      <c r="B187" t="s">
        <v>957</v>
      </c>
      <c r="C187" t="s">
        <v>215</v>
      </c>
      <c r="E187" t="s">
        <v>216</v>
      </c>
      <c r="F187">
        <v>6.4</v>
      </c>
      <c r="G187">
        <v>0.247</v>
      </c>
      <c r="H187">
        <v>1.583</v>
      </c>
      <c r="I187" t="s">
        <v>1076</v>
      </c>
    </row>
    <row r="188" spans="2:9" x14ac:dyDescent="0.35">
      <c r="B188" t="s">
        <v>957</v>
      </c>
      <c r="C188" t="s">
        <v>217</v>
      </c>
      <c r="E188" t="s">
        <v>218</v>
      </c>
      <c r="F188">
        <v>6.4</v>
      </c>
      <c r="G188">
        <v>0.42499999999999999</v>
      </c>
      <c r="H188">
        <v>2.722</v>
      </c>
      <c r="I188" t="s">
        <v>1077</v>
      </c>
    </row>
    <row r="189" spans="2:9" x14ac:dyDescent="0.35">
      <c r="B189" t="s">
        <v>957</v>
      </c>
      <c r="C189" t="s">
        <v>219</v>
      </c>
      <c r="E189" t="s">
        <v>220</v>
      </c>
      <c r="F189">
        <v>6.4</v>
      </c>
      <c r="G189">
        <v>0.34300000000000003</v>
      </c>
      <c r="H189">
        <v>2.194</v>
      </c>
      <c r="I189" t="s">
        <v>1078</v>
      </c>
    </row>
    <row r="190" spans="2:9" x14ac:dyDescent="0.35">
      <c r="B190" t="s">
        <v>957</v>
      </c>
      <c r="C190" t="s">
        <v>221</v>
      </c>
      <c r="E190" t="s">
        <v>222</v>
      </c>
      <c r="F190">
        <v>6.4</v>
      </c>
      <c r="G190">
        <v>0.39500000000000002</v>
      </c>
      <c r="H190">
        <v>2.528</v>
      </c>
      <c r="I190" t="s">
        <v>1079</v>
      </c>
    </row>
    <row r="191" spans="2:9" x14ac:dyDescent="0.35">
      <c r="B191" t="s">
        <v>957</v>
      </c>
      <c r="C191" t="s">
        <v>223</v>
      </c>
      <c r="E191" t="s">
        <v>224</v>
      </c>
      <c r="F191">
        <v>6.4</v>
      </c>
      <c r="G191">
        <v>0.54300000000000004</v>
      </c>
      <c r="H191">
        <v>3.472</v>
      </c>
      <c r="I191" t="s">
        <v>1064</v>
      </c>
    </row>
    <row r="192" spans="2:9" x14ac:dyDescent="0.35">
      <c r="B192" t="s">
        <v>957</v>
      </c>
      <c r="C192" t="s">
        <v>225</v>
      </c>
      <c r="E192" t="s">
        <v>226</v>
      </c>
      <c r="F192">
        <v>6.4</v>
      </c>
      <c r="G192">
        <v>0.65100000000000002</v>
      </c>
      <c r="H192">
        <v>4.1669999999999998</v>
      </c>
      <c r="I192" t="s">
        <v>1080</v>
      </c>
    </row>
    <row r="193" spans="2:9" x14ac:dyDescent="0.35">
      <c r="B193" t="s">
        <v>957</v>
      </c>
      <c r="C193" t="s">
        <v>227</v>
      </c>
      <c r="E193" t="s">
        <v>228</v>
      </c>
      <c r="F193">
        <v>6.4</v>
      </c>
      <c r="G193">
        <v>0.66</v>
      </c>
      <c r="H193">
        <v>4.2220000000000004</v>
      </c>
      <c r="I193" t="s">
        <v>1081</v>
      </c>
    </row>
    <row r="194" spans="2:9" x14ac:dyDescent="0.35">
      <c r="B194" t="s">
        <v>957</v>
      </c>
      <c r="C194" t="s">
        <v>229</v>
      </c>
      <c r="E194" t="s">
        <v>230</v>
      </c>
      <c r="F194">
        <v>6.4</v>
      </c>
      <c r="G194">
        <v>0.34300000000000003</v>
      </c>
      <c r="H194">
        <v>2.194</v>
      </c>
      <c r="I194" t="s">
        <v>1078</v>
      </c>
    </row>
    <row r="195" spans="2:9" x14ac:dyDescent="0.35">
      <c r="B195" t="s">
        <v>957</v>
      </c>
      <c r="C195" t="s">
        <v>231</v>
      </c>
      <c r="E195" t="s">
        <v>232</v>
      </c>
      <c r="F195">
        <v>6.4</v>
      </c>
      <c r="G195">
        <v>0.65100000000000002</v>
      </c>
      <c r="H195">
        <v>4.1669999999999998</v>
      </c>
      <c r="I195" t="s">
        <v>1080</v>
      </c>
    </row>
    <row r="196" spans="2:9" x14ac:dyDescent="0.35">
      <c r="B196" t="s">
        <v>957</v>
      </c>
      <c r="C196" t="s">
        <v>233</v>
      </c>
      <c r="E196" t="s">
        <v>234</v>
      </c>
      <c r="F196">
        <v>6.4</v>
      </c>
      <c r="G196">
        <v>1.7010000000000001</v>
      </c>
      <c r="H196">
        <v>10.888999999999999</v>
      </c>
      <c r="I196" t="s">
        <v>1082</v>
      </c>
    </row>
    <row r="197" spans="2:9" x14ac:dyDescent="0.35">
      <c r="B197" t="s">
        <v>957</v>
      </c>
      <c r="C197" t="s">
        <v>1083</v>
      </c>
      <c r="E197" t="s">
        <v>1084</v>
      </c>
      <c r="F197">
        <v>6.4</v>
      </c>
      <c r="G197">
        <v>0.76400000000000001</v>
      </c>
      <c r="H197">
        <v>4.8890000000000002</v>
      </c>
      <c r="I197" t="s">
        <v>1071</v>
      </c>
    </row>
    <row r="198" spans="2:9" x14ac:dyDescent="0.35">
      <c r="B198" t="s">
        <v>957</v>
      </c>
      <c r="C198" t="s">
        <v>235</v>
      </c>
      <c r="E198" t="s">
        <v>236</v>
      </c>
      <c r="F198">
        <v>6.4</v>
      </c>
      <c r="G198">
        <v>0.57699999999999996</v>
      </c>
      <c r="H198">
        <v>3.694</v>
      </c>
      <c r="I198" t="s">
        <v>1085</v>
      </c>
    </row>
    <row r="199" spans="2:9" x14ac:dyDescent="0.35">
      <c r="B199" t="s">
        <v>957</v>
      </c>
      <c r="C199" t="s">
        <v>237</v>
      </c>
      <c r="E199" t="s">
        <v>238</v>
      </c>
      <c r="F199">
        <v>6.4</v>
      </c>
      <c r="G199">
        <v>0.67300000000000004</v>
      </c>
      <c r="H199">
        <v>4.306</v>
      </c>
      <c r="I199" t="s">
        <v>1086</v>
      </c>
    </row>
    <row r="200" spans="2:9" x14ac:dyDescent="0.35">
      <c r="B200" t="s">
        <v>957</v>
      </c>
      <c r="C200" t="s">
        <v>239</v>
      </c>
      <c r="E200" t="s">
        <v>240</v>
      </c>
      <c r="F200">
        <v>6.4</v>
      </c>
      <c r="G200">
        <v>0.104</v>
      </c>
      <c r="H200">
        <v>0.66700000000000004</v>
      </c>
      <c r="I200" t="s">
        <v>1087</v>
      </c>
    </row>
    <row r="201" spans="2:9" x14ac:dyDescent="0.35">
      <c r="B201" t="s">
        <v>957</v>
      </c>
      <c r="C201" t="s">
        <v>241</v>
      </c>
      <c r="E201" t="s">
        <v>242</v>
      </c>
      <c r="F201">
        <v>6.4</v>
      </c>
      <c r="G201">
        <v>0.104</v>
      </c>
      <c r="H201">
        <v>0.66700000000000004</v>
      </c>
      <c r="I201" t="s">
        <v>1087</v>
      </c>
    </row>
    <row r="202" spans="2:9" x14ac:dyDescent="0.35">
      <c r="B202" t="s">
        <v>957</v>
      </c>
      <c r="C202" t="s">
        <v>243</v>
      </c>
      <c r="E202" t="s">
        <v>244</v>
      </c>
      <c r="F202">
        <v>6.4</v>
      </c>
      <c r="G202">
        <v>0.113</v>
      </c>
      <c r="H202">
        <v>0.72199999999999998</v>
      </c>
      <c r="I202" t="s">
        <v>1088</v>
      </c>
    </row>
    <row r="203" spans="2:9" x14ac:dyDescent="0.35">
      <c r="B203" t="s">
        <v>957</v>
      </c>
      <c r="C203" t="s">
        <v>245</v>
      </c>
      <c r="E203" t="s">
        <v>246</v>
      </c>
      <c r="F203">
        <v>6.4</v>
      </c>
      <c r="G203">
        <v>0.13</v>
      </c>
      <c r="H203">
        <v>0.83299999999999996</v>
      </c>
      <c r="I203" t="s">
        <v>1089</v>
      </c>
    </row>
    <row r="204" spans="2:9" x14ac:dyDescent="0.35">
      <c r="B204" t="s">
        <v>957</v>
      </c>
      <c r="C204" t="s">
        <v>247</v>
      </c>
      <c r="E204" t="s">
        <v>248</v>
      </c>
      <c r="F204">
        <v>6.4</v>
      </c>
      <c r="G204">
        <v>0.39500000000000002</v>
      </c>
      <c r="H204">
        <v>2.528</v>
      </c>
      <c r="I204" t="s">
        <v>1079</v>
      </c>
    </row>
    <row r="205" spans="2:9" x14ac:dyDescent="0.35">
      <c r="B205" t="s">
        <v>957</v>
      </c>
      <c r="C205" t="s">
        <v>249</v>
      </c>
      <c r="E205" t="s">
        <v>250</v>
      </c>
      <c r="F205">
        <v>6.4</v>
      </c>
      <c r="G205">
        <v>0.161</v>
      </c>
      <c r="H205">
        <v>1.028</v>
      </c>
      <c r="I205" t="s">
        <v>1090</v>
      </c>
    </row>
    <row r="206" spans="2:9" x14ac:dyDescent="0.35">
      <c r="B206" t="s">
        <v>957</v>
      </c>
      <c r="C206" t="s">
        <v>251</v>
      </c>
      <c r="E206" t="s">
        <v>250</v>
      </c>
      <c r="F206">
        <v>6.4</v>
      </c>
      <c r="G206">
        <v>0.13900000000000001</v>
      </c>
      <c r="H206">
        <v>0.88900000000000001</v>
      </c>
      <c r="I206" t="s">
        <v>1091</v>
      </c>
    </row>
    <row r="207" spans="2:9" x14ac:dyDescent="0.35">
      <c r="B207" t="s">
        <v>957</v>
      </c>
      <c r="C207" t="s">
        <v>252</v>
      </c>
      <c r="E207" t="s">
        <v>250</v>
      </c>
      <c r="F207">
        <v>6.4</v>
      </c>
      <c r="G207">
        <v>0.13900000000000001</v>
      </c>
      <c r="H207">
        <v>0.88900000000000001</v>
      </c>
      <c r="I207" t="s">
        <v>1091</v>
      </c>
    </row>
    <row r="208" spans="2:9" x14ac:dyDescent="0.35">
      <c r="B208" t="s">
        <v>957</v>
      </c>
      <c r="C208" t="s">
        <v>253</v>
      </c>
      <c r="E208" t="s">
        <v>254</v>
      </c>
      <c r="F208">
        <v>6.4</v>
      </c>
      <c r="G208">
        <v>0.46899999999999997</v>
      </c>
      <c r="H208">
        <v>3</v>
      </c>
      <c r="I208" t="s">
        <v>1092</v>
      </c>
    </row>
    <row r="209" spans="2:9" x14ac:dyDescent="0.35">
      <c r="B209" t="s">
        <v>957</v>
      </c>
      <c r="C209" t="s">
        <v>255</v>
      </c>
      <c r="E209" t="s">
        <v>256</v>
      </c>
      <c r="F209">
        <v>6.4</v>
      </c>
      <c r="G209">
        <v>0.308</v>
      </c>
      <c r="H209">
        <v>1.972</v>
      </c>
      <c r="I209" t="s">
        <v>1093</v>
      </c>
    </row>
    <row r="210" spans="2:9" x14ac:dyDescent="0.35">
      <c r="B210" t="s">
        <v>957</v>
      </c>
      <c r="C210" t="s">
        <v>257</v>
      </c>
      <c r="E210" t="s">
        <v>258</v>
      </c>
      <c r="F210">
        <v>6.4</v>
      </c>
      <c r="G210">
        <v>0.308</v>
      </c>
      <c r="H210">
        <v>1.972</v>
      </c>
      <c r="I210" t="s">
        <v>1093</v>
      </c>
    </row>
    <row r="211" spans="2:9" x14ac:dyDescent="0.35">
      <c r="B211" t="s">
        <v>957</v>
      </c>
      <c r="C211" t="s">
        <v>1094</v>
      </c>
      <c r="E211" t="s">
        <v>260</v>
      </c>
      <c r="F211">
        <v>6.4</v>
      </c>
      <c r="G211">
        <v>0.93300000000000005</v>
      </c>
      <c r="H211">
        <v>5.9720000000000004</v>
      </c>
      <c r="I211" t="s">
        <v>1075</v>
      </c>
    </row>
    <row r="212" spans="2:9" x14ac:dyDescent="0.35">
      <c r="B212" t="s">
        <v>957</v>
      </c>
      <c r="C212" t="s">
        <v>261</v>
      </c>
      <c r="E212" t="s">
        <v>262</v>
      </c>
      <c r="F212">
        <v>6.4</v>
      </c>
      <c r="G212">
        <v>1.1679999999999999</v>
      </c>
      <c r="H212">
        <v>7.4720000000000004</v>
      </c>
      <c r="I212" t="s">
        <v>1095</v>
      </c>
    </row>
    <row r="213" spans="2:9" x14ac:dyDescent="0.35">
      <c r="B213" t="s">
        <v>957</v>
      </c>
      <c r="C213" t="s">
        <v>263</v>
      </c>
      <c r="E213" t="s">
        <v>264</v>
      </c>
      <c r="F213">
        <v>6.4</v>
      </c>
      <c r="G213">
        <v>1.024</v>
      </c>
      <c r="H213">
        <v>6.556</v>
      </c>
      <c r="I213" t="s">
        <v>1096</v>
      </c>
    </row>
    <row r="214" spans="2:9" x14ac:dyDescent="0.35">
      <c r="B214" t="s">
        <v>957</v>
      </c>
      <c r="C214" t="s">
        <v>265</v>
      </c>
      <c r="E214" t="s">
        <v>266</v>
      </c>
      <c r="F214">
        <v>6.4</v>
      </c>
      <c r="G214">
        <v>1.306</v>
      </c>
      <c r="H214">
        <v>8.3610000000000007</v>
      </c>
      <c r="I214" t="s">
        <v>1097</v>
      </c>
    </row>
    <row r="215" spans="2:9" x14ac:dyDescent="0.35">
      <c r="B215" t="s">
        <v>957</v>
      </c>
      <c r="C215" t="s">
        <v>267</v>
      </c>
      <c r="E215" t="s">
        <v>268</v>
      </c>
      <c r="F215">
        <v>6.4</v>
      </c>
      <c r="G215">
        <v>1.1719999999999999</v>
      </c>
      <c r="H215">
        <v>7.5</v>
      </c>
      <c r="I215" t="s">
        <v>1098</v>
      </c>
    </row>
    <row r="216" spans="2:9" x14ac:dyDescent="0.35">
      <c r="B216" t="s">
        <v>957</v>
      </c>
      <c r="C216" t="s">
        <v>269</v>
      </c>
      <c r="E216" t="s">
        <v>270</v>
      </c>
      <c r="F216">
        <v>6.4</v>
      </c>
      <c r="G216">
        <v>1.1719999999999999</v>
      </c>
      <c r="H216">
        <v>7.5</v>
      </c>
      <c r="I216" t="s">
        <v>1098</v>
      </c>
    </row>
    <row r="217" spans="2:9" x14ac:dyDescent="0.35">
      <c r="B217" t="s">
        <v>957</v>
      </c>
      <c r="C217" t="s">
        <v>271</v>
      </c>
      <c r="E217" t="s">
        <v>272</v>
      </c>
      <c r="F217">
        <v>6.4</v>
      </c>
      <c r="G217">
        <v>0.63800000000000001</v>
      </c>
      <c r="H217">
        <v>4.0830000000000002</v>
      </c>
      <c r="I217" t="s">
        <v>1099</v>
      </c>
    </row>
    <row r="218" spans="2:9" x14ac:dyDescent="0.35">
      <c r="B218" t="s">
        <v>957</v>
      </c>
      <c r="C218" t="s">
        <v>273</v>
      </c>
      <c r="E218" t="s">
        <v>274</v>
      </c>
      <c r="F218">
        <v>6.4</v>
      </c>
      <c r="G218">
        <v>0.89400000000000002</v>
      </c>
      <c r="H218">
        <v>5.7220000000000004</v>
      </c>
      <c r="I218" t="s">
        <v>1052</v>
      </c>
    </row>
    <row r="219" spans="2:9" x14ac:dyDescent="0.35">
      <c r="B219" t="s">
        <v>957</v>
      </c>
      <c r="C219" t="s">
        <v>275</v>
      </c>
      <c r="E219" t="s">
        <v>276</v>
      </c>
      <c r="F219">
        <v>6.4</v>
      </c>
      <c r="G219">
        <v>0.48199999999999998</v>
      </c>
      <c r="H219">
        <v>3.0830000000000002</v>
      </c>
      <c r="I219" t="s">
        <v>1100</v>
      </c>
    </row>
    <row r="220" spans="2:9" x14ac:dyDescent="0.35">
      <c r="B220" t="s">
        <v>957</v>
      </c>
      <c r="C220" t="s">
        <v>277</v>
      </c>
      <c r="E220" t="s">
        <v>278</v>
      </c>
      <c r="F220">
        <v>6.4</v>
      </c>
      <c r="G220">
        <v>1.458</v>
      </c>
      <c r="H220">
        <v>9.3330000000000002</v>
      </c>
      <c r="I220" t="s">
        <v>1101</v>
      </c>
    </row>
    <row r="221" spans="2:9" x14ac:dyDescent="0.35">
      <c r="B221" t="s">
        <v>957</v>
      </c>
      <c r="C221" t="s">
        <v>279</v>
      </c>
      <c r="E221" t="s">
        <v>280</v>
      </c>
      <c r="F221">
        <v>6.4</v>
      </c>
      <c r="G221">
        <v>1.5449999999999999</v>
      </c>
      <c r="H221">
        <v>9.8889999999999993</v>
      </c>
      <c r="I221" t="s">
        <v>1102</v>
      </c>
    </row>
    <row r="222" spans="2:9" x14ac:dyDescent="0.35">
      <c r="B222" t="s">
        <v>957</v>
      </c>
      <c r="C222" t="s">
        <v>281</v>
      </c>
      <c r="E222" t="s">
        <v>282</v>
      </c>
      <c r="F222">
        <v>6.4</v>
      </c>
      <c r="G222">
        <v>1.5840000000000001</v>
      </c>
      <c r="H222">
        <v>10.138999999999999</v>
      </c>
      <c r="I222" t="s">
        <v>1103</v>
      </c>
    </row>
    <row r="223" spans="2:9" x14ac:dyDescent="0.35">
      <c r="B223" t="s">
        <v>957</v>
      </c>
      <c r="C223" t="s">
        <v>283</v>
      </c>
      <c r="E223" t="s">
        <v>284</v>
      </c>
      <c r="F223">
        <v>6.4</v>
      </c>
      <c r="G223">
        <v>1.458</v>
      </c>
      <c r="H223">
        <v>9.3330000000000002</v>
      </c>
      <c r="I223" t="s">
        <v>1101</v>
      </c>
    </row>
    <row r="224" spans="2:9" x14ac:dyDescent="0.35">
      <c r="B224" t="s">
        <v>957</v>
      </c>
      <c r="C224" t="s">
        <v>285</v>
      </c>
      <c r="E224" t="s">
        <v>286</v>
      </c>
      <c r="F224">
        <v>6.4</v>
      </c>
      <c r="G224">
        <v>1.1459999999999999</v>
      </c>
      <c r="H224">
        <v>7.3330000000000002</v>
      </c>
      <c r="I224" t="s">
        <v>1104</v>
      </c>
    </row>
    <row r="225" spans="2:9" x14ac:dyDescent="0.35">
      <c r="B225" t="s">
        <v>957</v>
      </c>
      <c r="C225" t="s">
        <v>287</v>
      </c>
      <c r="E225" t="s">
        <v>288</v>
      </c>
      <c r="F225">
        <v>6.4</v>
      </c>
      <c r="G225">
        <v>0.66</v>
      </c>
      <c r="H225">
        <v>4.2220000000000004</v>
      </c>
      <c r="I225" t="s">
        <v>1081</v>
      </c>
    </row>
    <row r="226" spans="2:9" x14ac:dyDescent="0.35">
      <c r="B226" t="s">
        <v>957</v>
      </c>
      <c r="C226" t="s">
        <v>289</v>
      </c>
      <c r="E226" t="s">
        <v>290</v>
      </c>
      <c r="F226">
        <v>6.4</v>
      </c>
      <c r="G226">
        <v>1.159</v>
      </c>
      <c r="H226">
        <v>7.4169999999999998</v>
      </c>
      <c r="I226" t="s">
        <v>1105</v>
      </c>
    </row>
    <row r="227" spans="2:9" x14ac:dyDescent="0.35">
      <c r="B227" t="s">
        <v>957</v>
      </c>
      <c r="C227" t="s">
        <v>291</v>
      </c>
      <c r="E227" t="s">
        <v>292</v>
      </c>
      <c r="F227">
        <v>6.4</v>
      </c>
      <c r="G227">
        <v>0.69399999999999995</v>
      </c>
      <c r="H227">
        <v>4.444</v>
      </c>
      <c r="I227" t="s">
        <v>1106</v>
      </c>
    </row>
    <row r="228" spans="2:9" x14ac:dyDescent="0.35">
      <c r="B228" t="s">
        <v>957</v>
      </c>
      <c r="C228" t="s">
        <v>293</v>
      </c>
      <c r="E228" t="s">
        <v>294</v>
      </c>
      <c r="F228">
        <v>6.4</v>
      </c>
      <c r="G228">
        <v>1.1890000000000001</v>
      </c>
      <c r="H228">
        <v>7.6109999999999998</v>
      </c>
      <c r="I228" t="s">
        <v>1074</v>
      </c>
    </row>
    <row r="229" spans="2:9" x14ac:dyDescent="0.35">
      <c r="B229" t="s">
        <v>957</v>
      </c>
      <c r="C229" t="s">
        <v>295</v>
      </c>
      <c r="E229" t="s">
        <v>296</v>
      </c>
      <c r="F229">
        <v>6.4</v>
      </c>
      <c r="G229">
        <v>0.60299999999999998</v>
      </c>
      <c r="H229">
        <v>3.8610000000000002</v>
      </c>
      <c r="I229" t="s">
        <v>1107</v>
      </c>
    </row>
    <row r="230" spans="2:9" x14ac:dyDescent="0.35">
      <c r="B230" t="s">
        <v>957</v>
      </c>
      <c r="C230" t="s">
        <v>297</v>
      </c>
      <c r="E230" t="s">
        <v>171</v>
      </c>
      <c r="F230">
        <v>6.4</v>
      </c>
      <c r="G230">
        <v>0.47699999999999998</v>
      </c>
      <c r="H230">
        <v>3.056</v>
      </c>
      <c r="I230" t="s">
        <v>1108</v>
      </c>
    </row>
    <row r="231" spans="2:9" x14ac:dyDescent="0.35">
      <c r="B231" t="s">
        <v>957</v>
      </c>
      <c r="C231" t="s">
        <v>298</v>
      </c>
      <c r="E231" t="s">
        <v>299</v>
      </c>
      <c r="F231">
        <v>6.4</v>
      </c>
      <c r="G231">
        <v>0.438</v>
      </c>
      <c r="H231">
        <v>2.806</v>
      </c>
      <c r="I231" t="s">
        <v>1109</v>
      </c>
    </row>
    <row r="232" spans="2:9" x14ac:dyDescent="0.35">
      <c r="B232" t="s">
        <v>957</v>
      </c>
      <c r="C232" t="s">
        <v>300</v>
      </c>
      <c r="E232" t="s">
        <v>301</v>
      </c>
      <c r="F232">
        <v>6.4</v>
      </c>
      <c r="G232">
        <v>1.2889999999999999</v>
      </c>
      <c r="H232">
        <v>8.25</v>
      </c>
      <c r="I232" t="s">
        <v>1110</v>
      </c>
    </row>
    <row r="233" spans="2:9" x14ac:dyDescent="0.35">
      <c r="B233" t="s">
        <v>957</v>
      </c>
      <c r="C233" t="s">
        <v>302</v>
      </c>
      <c r="E233" t="s">
        <v>303</v>
      </c>
      <c r="F233">
        <v>6.4</v>
      </c>
      <c r="G233">
        <v>0.86399999999999999</v>
      </c>
      <c r="H233">
        <v>5.5279999999999996</v>
      </c>
      <c r="I233" t="s">
        <v>1111</v>
      </c>
    </row>
    <row r="234" spans="2:9" x14ac:dyDescent="0.35">
      <c r="B234" t="s">
        <v>957</v>
      </c>
      <c r="C234" t="s">
        <v>304</v>
      </c>
      <c r="E234" t="s">
        <v>305</v>
      </c>
      <c r="F234">
        <v>6.4</v>
      </c>
      <c r="G234">
        <v>0.2</v>
      </c>
      <c r="H234">
        <v>1.278</v>
      </c>
      <c r="I234" t="s">
        <v>1112</v>
      </c>
    </row>
    <row r="235" spans="2:9" x14ac:dyDescent="0.35">
      <c r="B235" t="s">
        <v>957</v>
      </c>
      <c r="C235" t="s">
        <v>306</v>
      </c>
      <c r="E235" t="s">
        <v>307</v>
      </c>
      <c r="F235">
        <v>6.4</v>
      </c>
      <c r="G235">
        <v>0.22600000000000001</v>
      </c>
      <c r="H235">
        <v>1.444</v>
      </c>
      <c r="I235" t="s">
        <v>1113</v>
      </c>
    </row>
    <row r="236" spans="2:9" x14ac:dyDescent="0.35">
      <c r="B236" t="s">
        <v>957</v>
      </c>
      <c r="C236" t="s">
        <v>308</v>
      </c>
      <c r="E236" t="s">
        <v>309</v>
      </c>
      <c r="F236">
        <v>6.4</v>
      </c>
      <c r="G236">
        <v>2.726</v>
      </c>
      <c r="H236">
        <v>17.443999999999999</v>
      </c>
      <c r="I236" t="s">
        <v>1114</v>
      </c>
    </row>
    <row r="237" spans="2:9" x14ac:dyDescent="0.35">
      <c r="B237" t="s">
        <v>957</v>
      </c>
      <c r="C237" t="s">
        <v>310</v>
      </c>
      <c r="E237" t="s">
        <v>169</v>
      </c>
      <c r="F237">
        <v>6.4</v>
      </c>
      <c r="G237">
        <v>1.502</v>
      </c>
      <c r="H237">
        <v>9.6110000000000007</v>
      </c>
      <c r="I237" t="s">
        <v>1115</v>
      </c>
    </row>
    <row r="238" spans="2:9" x14ac:dyDescent="0.35">
      <c r="B238" t="s">
        <v>957</v>
      </c>
      <c r="C238" t="s">
        <v>311</v>
      </c>
      <c r="E238" t="s">
        <v>173</v>
      </c>
      <c r="F238">
        <v>6.4</v>
      </c>
      <c r="G238">
        <v>0.92400000000000004</v>
      </c>
      <c r="H238">
        <v>5.9169999999999998</v>
      </c>
      <c r="I238" t="s">
        <v>1116</v>
      </c>
    </row>
    <row r="239" spans="2:9" x14ac:dyDescent="0.35">
      <c r="B239" t="s">
        <v>957</v>
      </c>
      <c r="C239" t="s">
        <v>312</v>
      </c>
      <c r="E239" t="s">
        <v>313</v>
      </c>
      <c r="F239">
        <v>6.4</v>
      </c>
      <c r="G239">
        <v>1.45</v>
      </c>
      <c r="H239">
        <v>9.2780000000000005</v>
      </c>
      <c r="I239" t="s">
        <v>1117</v>
      </c>
    </row>
    <row r="240" spans="2:9" x14ac:dyDescent="0.35">
      <c r="B240" t="s">
        <v>957</v>
      </c>
      <c r="C240" t="s">
        <v>314</v>
      </c>
      <c r="E240" t="s">
        <v>315</v>
      </c>
      <c r="F240">
        <v>6.4</v>
      </c>
      <c r="G240">
        <v>0.33900000000000002</v>
      </c>
      <c r="H240">
        <v>2.1669999999999998</v>
      </c>
      <c r="I240" t="s">
        <v>1118</v>
      </c>
    </row>
    <row r="241" spans="2:9" x14ac:dyDescent="0.35">
      <c r="B241" t="s">
        <v>957</v>
      </c>
      <c r="C241" t="s">
        <v>316</v>
      </c>
      <c r="E241" t="s">
        <v>317</v>
      </c>
      <c r="F241">
        <v>6.4</v>
      </c>
      <c r="G241">
        <v>0.83799999999999997</v>
      </c>
      <c r="H241">
        <v>5.3609999999999998</v>
      </c>
      <c r="I241" t="s">
        <v>1119</v>
      </c>
    </row>
    <row r="242" spans="2:9" x14ac:dyDescent="0.35">
      <c r="B242" t="s">
        <v>957</v>
      </c>
      <c r="C242" t="s">
        <v>318</v>
      </c>
      <c r="E242" t="s">
        <v>319</v>
      </c>
      <c r="F242">
        <v>6.4</v>
      </c>
      <c r="G242">
        <v>0.51200000000000001</v>
      </c>
      <c r="H242">
        <v>3.278</v>
      </c>
      <c r="I242" t="s">
        <v>1120</v>
      </c>
    </row>
    <row r="243" spans="2:9" x14ac:dyDescent="0.35">
      <c r="B243" t="s">
        <v>957</v>
      </c>
      <c r="C243" t="s">
        <v>320</v>
      </c>
      <c r="E243" t="s">
        <v>321</v>
      </c>
      <c r="F243">
        <v>6.4</v>
      </c>
      <c r="G243">
        <v>0.438</v>
      </c>
      <c r="H243">
        <v>2.806</v>
      </c>
      <c r="I243" t="s">
        <v>1109</v>
      </c>
    </row>
    <row r="244" spans="2:9" x14ac:dyDescent="0.35">
      <c r="B244" t="s">
        <v>957</v>
      </c>
      <c r="C244" t="s">
        <v>322</v>
      </c>
      <c r="E244" t="s">
        <v>323</v>
      </c>
      <c r="F244">
        <v>6.4</v>
      </c>
      <c r="G244">
        <v>0.96799999999999997</v>
      </c>
      <c r="H244">
        <v>6.194</v>
      </c>
      <c r="I244" t="s">
        <v>1121</v>
      </c>
    </row>
    <row r="245" spans="2:9" x14ac:dyDescent="0.35">
      <c r="B245" t="s">
        <v>957</v>
      </c>
      <c r="C245" t="s">
        <v>324</v>
      </c>
      <c r="E245" t="s">
        <v>325</v>
      </c>
      <c r="F245">
        <v>6.4</v>
      </c>
      <c r="G245">
        <v>0.80700000000000005</v>
      </c>
      <c r="H245">
        <v>5.1669999999999998</v>
      </c>
      <c r="I245" t="s">
        <v>1122</v>
      </c>
    </row>
    <row r="246" spans="2:9" x14ac:dyDescent="0.35">
      <c r="B246" t="s">
        <v>957</v>
      </c>
      <c r="C246" t="s">
        <v>326</v>
      </c>
      <c r="E246" t="s">
        <v>327</v>
      </c>
      <c r="F246">
        <v>6.4</v>
      </c>
      <c r="G246">
        <v>0.2</v>
      </c>
      <c r="H246">
        <v>1.278</v>
      </c>
      <c r="I246" t="s">
        <v>1112</v>
      </c>
    </row>
    <row r="247" spans="2:9" x14ac:dyDescent="0.35">
      <c r="B247" t="s">
        <v>957</v>
      </c>
      <c r="C247" t="s">
        <v>328</v>
      </c>
      <c r="E247" t="s">
        <v>329</v>
      </c>
      <c r="F247">
        <v>6.4</v>
      </c>
      <c r="G247">
        <v>0.46899999999999997</v>
      </c>
      <c r="H247">
        <v>3</v>
      </c>
      <c r="I247" t="s">
        <v>1092</v>
      </c>
    </row>
  </sheetData>
  <hyperlinks>
    <hyperlink ref="G1" location="'สารบัญ'!A1" display="🏠 สารบัญ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J106"/>
  <sheetViews>
    <sheetView showGridLines="0" tabSelected="1" zoomScaleNormal="100" workbookViewId="0"/>
  </sheetViews>
  <sheetFormatPr defaultColWidth="8.6328125" defaultRowHeight="14.5" x14ac:dyDescent="0.35"/>
  <cols>
    <col min="1" max="1" width="46" customWidth="1"/>
    <col min="2" max="2" width="31.90625" customWidth="1"/>
    <col min="3" max="3" width="46" customWidth="1"/>
    <col min="4" max="4" width="16.26953125" customWidth="1"/>
    <col min="5" max="5" width="19.08984375" customWidth="1"/>
    <col min="6" max="6" width="46" customWidth="1"/>
    <col min="7" max="7" width="13" customWidth="1"/>
    <col min="8" max="8" width="46" customWidth="1"/>
    <col min="9" max="9" width="14.08984375" customWidth="1"/>
    <col min="10" max="10" width="25.08984375" customWidth="1"/>
  </cols>
  <sheetData>
    <row r="1" spans="1:9" ht="24" customHeight="1" x14ac:dyDescent="0.35">
      <c r="A1" s="423" t="s">
        <v>1123</v>
      </c>
      <c r="B1" s="411"/>
      <c r="C1" s="411"/>
      <c r="D1" s="411"/>
      <c r="E1" s="411"/>
      <c r="F1" s="411"/>
      <c r="G1" s="388" t="s">
        <v>78</v>
      </c>
      <c r="H1" s="390" t="s">
        <v>1124</v>
      </c>
      <c r="I1" s="30" t="s">
        <v>1125</v>
      </c>
    </row>
    <row r="2" spans="1:9" ht="15" customHeight="1" x14ac:dyDescent="0.35">
      <c r="H2" s="30" t="s">
        <v>778</v>
      </c>
      <c r="I2" s="254">
        <v>264</v>
      </c>
    </row>
    <row r="3" spans="1:9" ht="15" customHeight="1" x14ac:dyDescent="0.35">
      <c r="A3" s="31" t="s">
        <v>1126</v>
      </c>
      <c r="B3" s="32">
        <v>180</v>
      </c>
      <c r="C3" s="425" t="s">
        <v>1127</v>
      </c>
      <c r="D3" s="426"/>
      <c r="E3" s="426"/>
      <c r="F3" s="427"/>
      <c r="H3" s="30" t="s">
        <v>731</v>
      </c>
      <c r="I3" s="254">
        <v>592</v>
      </c>
    </row>
    <row r="4" spans="1:9" ht="15" customHeight="1" x14ac:dyDescent="0.35">
      <c r="A4" s="31" t="s">
        <v>1128</v>
      </c>
      <c r="B4" s="34">
        <v>6.4</v>
      </c>
      <c r="C4" s="425" t="s">
        <v>1129</v>
      </c>
      <c r="D4" s="426"/>
      <c r="E4" s="426"/>
      <c r="F4" s="427"/>
      <c r="H4" s="30" t="s">
        <v>735</v>
      </c>
      <c r="I4" s="254">
        <v>700</v>
      </c>
    </row>
    <row r="5" spans="1:9" ht="15" customHeight="1" x14ac:dyDescent="0.35">
      <c r="A5" s="31" t="s">
        <v>1130</v>
      </c>
      <c r="B5" s="32">
        <v>185</v>
      </c>
      <c r="C5" s="425" t="s">
        <v>1131</v>
      </c>
      <c r="D5" s="426"/>
      <c r="E5" s="426"/>
      <c r="F5" s="427"/>
      <c r="H5" s="30" t="s">
        <v>800</v>
      </c>
      <c r="I5" s="254">
        <v>1023</v>
      </c>
    </row>
    <row r="6" spans="1:9" ht="15" customHeight="1" x14ac:dyDescent="0.35">
      <c r="H6" s="30" t="s">
        <v>782</v>
      </c>
      <c r="I6" s="254">
        <v>517</v>
      </c>
    </row>
    <row r="7" spans="1:9" ht="15" customHeight="1" x14ac:dyDescent="0.35">
      <c r="A7" s="428" t="s">
        <v>1132</v>
      </c>
      <c r="B7" s="427"/>
      <c r="H7" s="30" t="s">
        <v>783</v>
      </c>
      <c r="I7" s="254">
        <v>915</v>
      </c>
    </row>
    <row r="8" spans="1:9" ht="15" customHeight="1" x14ac:dyDescent="0.35">
      <c r="A8" s="33" t="s">
        <v>1133</v>
      </c>
      <c r="B8" s="36">
        <v>1</v>
      </c>
      <c r="H8" s="30" t="s">
        <v>737</v>
      </c>
      <c r="I8" s="254">
        <v>807</v>
      </c>
    </row>
    <row r="9" spans="1:9" ht="15" customHeight="1" x14ac:dyDescent="0.35">
      <c r="A9" s="33" t="s">
        <v>94</v>
      </c>
      <c r="B9" s="36">
        <v>1.0900000000000001</v>
      </c>
      <c r="H9" s="30" t="s">
        <v>740</v>
      </c>
      <c r="I9" s="254">
        <v>570</v>
      </c>
    </row>
    <row r="10" spans="1:9" ht="15" customHeight="1" x14ac:dyDescent="0.35">
      <c r="A10" s="33" t="s">
        <v>1134</v>
      </c>
      <c r="B10" s="36">
        <v>1.6</v>
      </c>
      <c r="H10" s="30" t="s">
        <v>805</v>
      </c>
      <c r="I10" s="254">
        <v>1184</v>
      </c>
    </row>
    <row r="11" spans="1:9" ht="15" customHeight="1" x14ac:dyDescent="0.35">
      <c r="H11" s="30" t="s">
        <v>807</v>
      </c>
      <c r="I11" s="254">
        <v>1292</v>
      </c>
    </row>
    <row r="12" spans="1:9" ht="34.5" customHeight="1" x14ac:dyDescent="0.35">
      <c r="A12" s="35" t="s">
        <v>1135</v>
      </c>
      <c r="B12" s="35" t="s">
        <v>1136</v>
      </c>
      <c r="C12" s="35" t="s">
        <v>1137</v>
      </c>
      <c r="D12" s="35" t="s">
        <v>1138</v>
      </c>
      <c r="E12" s="35" t="s">
        <v>1139</v>
      </c>
      <c r="F12" s="35" t="s">
        <v>587</v>
      </c>
      <c r="H12" s="30" t="s">
        <v>808</v>
      </c>
      <c r="I12" s="254">
        <v>1399</v>
      </c>
    </row>
    <row r="13" spans="1:9" ht="15" customHeight="1" x14ac:dyDescent="0.35">
      <c r="A13" s="37" t="s">
        <v>158</v>
      </c>
      <c r="B13" s="33" t="s">
        <v>1140</v>
      </c>
      <c r="C13" s="38">
        <v>6.86111</v>
      </c>
      <c r="D13" s="39">
        <f t="shared" ref="D13:D23" si="0">C13/$B$4</f>
        <v>1.0720484374999999</v>
      </c>
      <c r="E13" s="40">
        <f t="shared" ref="E13:E23" si="1">C13*$B$3</f>
        <v>1234.9998000000001</v>
      </c>
      <c r="F13" s="2"/>
      <c r="H13" s="30" t="s">
        <v>785</v>
      </c>
      <c r="I13" s="254">
        <v>403</v>
      </c>
    </row>
    <row r="14" spans="1:9" ht="15" customHeight="1" x14ac:dyDescent="0.35">
      <c r="A14" s="37" t="s">
        <v>160</v>
      </c>
      <c r="B14" s="33" t="s">
        <v>1141</v>
      </c>
      <c r="C14" s="38">
        <v>5.8055599999999998</v>
      </c>
      <c r="D14" s="39">
        <f t="shared" si="0"/>
        <v>0.90711874999999997</v>
      </c>
      <c r="E14" s="40">
        <f t="shared" si="1"/>
        <v>1045.0008</v>
      </c>
      <c r="F14" s="33" t="s">
        <v>1142</v>
      </c>
      <c r="H14" s="30" t="s">
        <v>746</v>
      </c>
      <c r="I14" s="254">
        <v>848</v>
      </c>
    </row>
    <row r="15" spans="1:9" ht="15" customHeight="1" x14ac:dyDescent="0.35">
      <c r="A15" s="37" t="s">
        <v>142</v>
      </c>
      <c r="B15" s="33" t="s">
        <v>1143</v>
      </c>
      <c r="C15" s="38">
        <v>11.5</v>
      </c>
      <c r="D15" s="39">
        <f t="shared" si="0"/>
        <v>1.796875</v>
      </c>
      <c r="E15" s="40">
        <f t="shared" si="1"/>
        <v>2070</v>
      </c>
      <c r="F15" s="33" t="s">
        <v>1144</v>
      </c>
      <c r="H15" s="30" t="s">
        <v>749</v>
      </c>
      <c r="I15" s="254">
        <v>942</v>
      </c>
    </row>
    <row r="16" spans="1:9" ht="15" customHeight="1" x14ac:dyDescent="0.35">
      <c r="A16" s="37" t="s">
        <v>148</v>
      </c>
      <c r="B16" s="33" t="s">
        <v>1145</v>
      </c>
      <c r="C16" s="38">
        <v>4.5833300000000001</v>
      </c>
      <c r="D16" s="39">
        <f t="shared" si="0"/>
        <v>0.71614531250000002</v>
      </c>
      <c r="E16" s="40">
        <f t="shared" si="1"/>
        <v>824.99940000000004</v>
      </c>
      <c r="F16" s="33" t="s">
        <v>1146</v>
      </c>
      <c r="H16" s="30" t="s">
        <v>809</v>
      </c>
      <c r="I16" s="254">
        <v>3122</v>
      </c>
    </row>
    <row r="17" spans="1:9" ht="15" customHeight="1" x14ac:dyDescent="0.35">
      <c r="A17" s="37" t="s">
        <v>152</v>
      </c>
      <c r="B17" s="33" t="s">
        <v>1147</v>
      </c>
      <c r="C17" s="38">
        <v>4.9166699999999999</v>
      </c>
      <c r="D17" s="39">
        <f t="shared" si="0"/>
        <v>0.76822968749999998</v>
      </c>
      <c r="E17" s="40">
        <f t="shared" si="1"/>
        <v>885.00059999999996</v>
      </c>
      <c r="F17" s="33" t="s">
        <v>1148</v>
      </c>
      <c r="H17" s="30" t="s">
        <v>810</v>
      </c>
      <c r="I17" s="254">
        <v>1432</v>
      </c>
    </row>
    <row r="18" spans="1:9" ht="15" customHeight="1" x14ac:dyDescent="0.35">
      <c r="A18" s="37" t="s">
        <v>134</v>
      </c>
      <c r="B18" s="33" t="s">
        <v>1149</v>
      </c>
      <c r="C18" s="38">
        <v>4.13889</v>
      </c>
      <c r="D18" s="39">
        <f t="shared" si="0"/>
        <v>0.64670156249999999</v>
      </c>
      <c r="E18" s="40">
        <f t="shared" si="1"/>
        <v>745.00019999999995</v>
      </c>
      <c r="F18" s="33" t="s">
        <v>1150</v>
      </c>
      <c r="H18" s="30" t="s">
        <v>812</v>
      </c>
      <c r="I18" s="254">
        <v>3466</v>
      </c>
    </row>
    <row r="19" spans="1:9" ht="15" customHeight="1" x14ac:dyDescent="0.35">
      <c r="A19" s="37" t="s">
        <v>136</v>
      </c>
      <c r="B19" s="33" t="s">
        <v>1151</v>
      </c>
      <c r="C19" s="38">
        <v>6.86111</v>
      </c>
      <c r="D19" s="39">
        <f t="shared" si="0"/>
        <v>1.0720484374999999</v>
      </c>
      <c r="E19" s="40">
        <f t="shared" si="1"/>
        <v>1234.9998000000001</v>
      </c>
      <c r="F19" s="33" t="s">
        <v>1152</v>
      </c>
      <c r="H19" s="30" t="s">
        <v>813</v>
      </c>
      <c r="I19" s="254">
        <v>805</v>
      </c>
    </row>
    <row r="20" spans="1:9" ht="15" customHeight="1" x14ac:dyDescent="0.35">
      <c r="A20" s="37" t="s">
        <v>156</v>
      </c>
      <c r="B20" s="33" t="s">
        <v>1153</v>
      </c>
      <c r="C20" s="38">
        <v>5.88889</v>
      </c>
      <c r="D20" s="39">
        <f t="shared" si="0"/>
        <v>0.92013906249999999</v>
      </c>
      <c r="E20" s="40">
        <f t="shared" si="1"/>
        <v>1060.0001999999999</v>
      </c>
      <c r="F20" s="2"/>
      <c r="H20" s="30" t="s">
        <v>815</v>
      </c>
      <c r="I20" s="254">
        <v>1113</v>
      </c>
    </row>
    <row r="21" spans="1:9" ht="15" customHeight="1" x14ac:dyDescent="0.35">
      <c r="A21" s="37" t="s">
        <v>138</v>
      </c>
      <c r="B21" s="33" t="s">
        <v>1154</v>
      </c>
      <c r="C21" s="38">
        <v>0.97221999999999997</v>
      </c>
      <c r="D21" s="39">
        <f t="shared" si="0"/>
        <v>0.15190937499999999</v>
      </c>
      <c r="E21" s="40">
        <f t="shared" si="1"/>
        <v>174.99959999999999</v>
      </c>
      <c r="F21" s="33" t="s">
        <v>1155</v>
      </c>
      <c r="H21" s="30" t="s">
        <v>817</v>
      </c>
      <c r="I21" s="254">
        <v>823</v>
      </c>
    </row>
    <row r="22" spans="1:9" ht="15" customHeight="1" x14ac:dyDescent="0.35">
      <c r="A22" s="37" t="s">
        <v>150</v>
      </c>
      <c r="B22" s="33" t="s">
        <v>1156</v>
      </c>
      <c r="C22" s="38">
        <v>0.80556000000000005</v>
      </c>
      <c r="D22" s="39">
        <f t="shared" si="0"/>
        <v>0.12586875</v>
      </c>
      <c r="E22" s="40">
        <f t="shared" si="1"/>
        <v>145.0008</v>
      </c>
      <c r="F22" s="2"/>
      <c r="H22" s="30" t="s">
        <v>818</v>
      </c>
      <c r="I22" s="254">
        <v>1006</v>
      </c>
    </row>
    <row r="23" spans="1:9" ht="15" customHeight="1" x14ac:dyDescent="0.35">
      <c r="A23" s="37" t="s">
        <v>243</v>
      </c>
      <c r="B23" s="33" t="s">
        <v>1157</v>
      </c>
      <c r="C23" s="38">
        <v>0.83333000000000002</v>
      </c>
      <c r="D23" s="39">
        <f t="shared" si="0"/>
        <v>0.13020781249999999</v>
      </c>
      <c r="E23" s="40">
        <f t="shared" si="1"/>
        <v>149.99940000000001</v>
      </c>
      <c r="F23" s="33" t="s">
        <v>1158</v>
      </c>
      <c r="H23" s="30" t="s">
        <v>819</v>
      </c>
      <c r="I23" s="254">
        <v>1033</v>
      </c>
    </row>
    <row r="24" spans="1:9" ht="15" customHeight="1" x14ac:dyDescent="0.35">
      <c r="H24" s="30" t="s">
        <v>820</v>
      </c>
      <c r="I24" s="254">
        <v>1938</v>
      </c>
    </row>
    <row r="25" spans="1:9" ht="15" customHeight="1" x14ac:dyDescent="0.35">
      <c r="A25" s="429" t="s">
        <v>1159</v>
      </c>
      <c r="B25" s="427"/>
      <c r="H25" s="30" t="s">
        <v>821</v>
      </c>
      <c r="I25" s="254">
        <v>1098</v>
      </c>
    </row>
    <row r="26" spans="1:9" ht="15" customHeight="1" x14ac:dyDescent="0.35">
      <c r="A26" s="33" t="s">
        <v>1160</v>
      </c>
      <c r="B26" s="41">
        <v>264</v>
      </c>
      <c r="C26" s="425" t="s">
        <v>1161</v>
      </c>
      <c r="D26" s="430"/>
      <c r="E26" s="430"/>
      <c r="F26" s="431"/>
      <c r="H26" s="30" t="s">
        <v>822</v>
      </c>
      <c r="I26" s="254">
        <v>1189</v>
      </c>
    </row>
    <row r="27" spans="1:9" ht="15" customHeight="1" x14ac:dyDescent="0.35">
      <c r="A27" s="33" t="s">
        <v>1162</v>
      </c>
      <c r="B27" s="41">
        <v>646</v>
      </c>
      <c r="C27" s="432"/>
      <c r="D27" s="411"/>
      <c r="E27" s="411"/>
      <c r="F27" s="433"/>
      <c r="H27" s="30" t="s">
        <v>823</v>
      </c>
      <c r="I27" s="254">
        <v>1480</v>
      </c>
    </row>
    <row r="28" spans="1:9" ht="15" customHeight="1" x14ac:dyDescent="0.35">
      <c r="A28" s="33" t="s">
        <v>1163</v>
      </c>
      <c r="B28" s="41">
        <v>439</v>
      </c>
      <c r="C28" s="432"/>
      <c r="D28" s="411"/>
      <c r="E28" s="411"/>
      <c r="F28" s="433"/>
      <c r="H28" s="30" t="s">
        <v>825</v>
      </c>
      <c r="I28" s="254">
        <v>2422</v>
      </c>
    </row>
    <row r="29" spans="1:9" ht="15" customHeight="1" x14ac:dyDescent="0.35">
      <c r="A29" s="33" t="s">
        <v>1164</v>
      </c>
      <c r="B29" s="41">
        <v>1023</v>
      </c>
      <c r="C29" s="432"/>
      <c r="D29" s="411"/>
      <c r="E29" s="411"/>
      <c r="F29" s="433"/>
      <c r="H29" s="30" t="s">
        <v>827</v>
      </c>
      <c r="I29" s="254">
        <v>2745</v>
      </c>
    </row>
    <row r="30" spans="1:9" ht="15" customHeight="1" x14ac:dyDescent="0.35">
      <c r="A30" s="33" t="s">
        <v>1165</v>
      </c>
      <c r="B30" s="41">
        <v>1065</v>
      </c>
      <c r="C30" s="432"/>
      <c r="D30" s="411"/>
      <c r="E30" s="411"/>
      <c r="F30" s="433"/>
      <c r="H30" s="30" t="s">
        <v>828</v>
      </c>
      <c r="I30" s="254">
        <v>2960</v>
      </c>
    </row>
    <row r="31" spans="1:9" ht="15" customHeight="1" x14ac:dyDescent="0.35">
      <c r="A31" s="33" t="s">
        <v>1166</v>
      </c>
      <c r="B31" s="41">
        <v>517</v>
      </c>
      <c r="C31" s="434"/>
      <c r="D31" s="435"/>
      <c r="E31" s="435"/>
      <c r="F31" s="436"/>
      <c r="H31" s="30" t="s">
        <v>1167</v>
      </c>
      <c r="I31" s="254">
        <v>767</v>
      </c>
    </row>
    <row r="32" spans="1:9" ht="15" customHeight="1" x14ac:dyDescent="0.35">
      <c r="A32" s="428" t="s">
        <v>1168</v>
      </c>
      <c r="B32" s="427"/>
      <c r="H32" s="30" t="s">
        <v>1169</v>
      </c>
      <c r="I32" s="254">
        <v>1012</v>
      </c>
    </row>
    <row r="33" spans="1:10" ht="15" customHeight="1" x14ac:dyDescent="0.35">
      <c r="A33" s="33" t="s">
        <v>1170</v>
      </c>
      <c r="B33" s="41">
        <v>1700</v>
      </c>
      <c r="H33" s="30" t="s">
        <v>1171</v>
      </c>
      <c r="I33" s="254">
        <v>1329</v>
      </c>
    </row>
    <row r="34" spans="1:10" ht="15" customHeight="1" x14ac:dyDescent="0.35">
      <c r="H34" s="30" t="s">
        <v>1172</v>
      </c>
      <c r="I34" s="254">
        <v>2583</v>
      </c>
    </row>
    <row r="35" spans="1:10" ht="15" customHeight="1" x14ac:dyDescent="0.35">
      <c r="H35" s="30" t="s">
        <v>1173</v>
      </c>
      <c r="I35" s="254">
        <v>1766</v>
      </c>
      <c r="J35" t="s">
        <v>1174</v>
      </c>
    </row>
    <row r="36" spans="1:10" ht="15" customHeight="1" x14ac:dyDescent="0.35">
      <c r="A36" s="428" t="s">
        <v>1175</v>
      </c>
      <c r="B36" s="426"/>
      <c r="C36" s="426"/>
      <c r="D36" s="426"/>
      <c r="E36" s="426"/>
      <c r="F36" s="427"/>
      <c r="H36" s="30" t="s">
        <v>1176</v>
      </c>
      <c r="I36" s="254">
        <v>3789</v>
      </c>
    </row>
    <row r="37" spans="1:10" ht="23.25" customHeight="1" x14ac:dyDescent="0.35">
      <c r="A37" s="35" t="s">
        <v>109</v>
      </c>
      <c r="B37" s="35" t="s">
        <v>1136</v>
      </c>
      <c r="C37" s="35" t="s">
        <v>1177</v>
      </c>
      <c r="D37" s="35" t="s">
        <v>1138</v>
      </c>
      <c r="E37" s="35" t="s">
        <v>1139</v>
      </c>
      <c r="F37" s="35" t="s">
        <v>587</v>
      </c>
      <c r="H37" s="30" t="s">
        <v>835</v>
      </c>
      <c r="I37" s="254">
        <v>2260</v>
      </c>
      <c r="J37" t="s">
        <v>1178</v>
      </c>
    </row>
    <row r="38" spans="1:10" ht="15" customHeight="1" x14ac:dyDescent="0.35">
      <c r="A38" s="37" t="s">
        <v>191</v>
      </c>
      <c r="B38" s="33" t="s">
        <v>1179</v>
      </c>
      <c r="C38" s="38">
        <v>14.13514</v>
      </c>
      <c r="D38" s="39">
        <f t="shared" ref="D38:D52" si="2">C38/$B$4</f>
        <v>2.2086156249999997</v>
      </c>
      <c r="E38" s="40">
        <f t="shared" ref="E38:E52" si="3">C38*$B$5</f>
        <v>2615.0009</v>
      </c>
      <c r="F38" s="2"/>
      <c r="H38" s="30" t="s">
        <v>1180</v>
      </c>
      <c r="I38" s="254">
        <v>301</v>
      </c>
    </row>
    <row r="39" spans="1:10" ht="15" customHeight="1" x14ac:dyDescent="0.35">
      <c r="A39" s="37" t="s">
        <v>199</v>
      </c>
      <c r="B39" s="33" t="s">
        <v>1141</v>
      </c>
      <c r="C39" s="38">
        <v>5.0540500000000002</v>
      </c>
      <c r="D39" s="39">
        <f t="shared" si="2"/>
        <v>0.78969531250000002</v>
      </c>
      <c r="E39" s="40">
        <f t="shared" si="3"/>
        <v>934.99925000000007</v>
      </c>
      <c r="F39" s="2"/>
      <c r="H39" s="30" t="s">
        <v>1181</v>
      </c>
      <c r="I39" s="254">
        <v>398</v>
      </c>
    </row>
    <row r="40" spans="1:10" ht="15" customHeight="1" x14ac:dyDescent="0.35">
      <c r="A40" s="37" t="s">
        <v>197</v>
      </c>
      <c r="B40" s="33" t="s">
        <v>1182</v>
      </c>
      <c r="C40" s="38">
        <v>6.2162199999999999</v>
      </c>
      <c r="D40" s="39">
        <f t="shared" si="2"/>
        <v>0.97128437499999998</v>
      </c>
      <c r="E40" s="40">
        <f t="shared" si="3"/>
        <v>1150.0007000000001</v>
      </c>
      <c r="F40" s="2"/>
      <c r="H40" s="30" t="s">
        <v>1183</v>
      </c>
      <c r="I40" s="254">
        <v>646</v>
      </c>
    </row>
    <row r="41" spans="1:10" ht="15" customHeight="1" x14ac:dyDescent="0.35">
      <c r="A41" s="37" t="s">
        <v>211</v>
      </c>
      <c r="B41" s="33" t="s">
        <v>1184</v>
      </c>
      <c r="C41" s="38">
        <v>7.81081</v>
      </c>
      <c r="D41" s="39">
        <f t="shared" si="2"/>
        <v>1.2204390624999999</v>
      </c>
      <c r="E41" s="40">
        <f t="shared" si="3"/>
        <v>1444.9998499999999</v>
      </c>
      <c r="F41" s="33" t="s">
        <v>1185</v>
      </c>
      <c r="H41" s="30" t="s">
        <v>1186</v>
      </c>
      <c r="I41" s="254">
        <v>716</v>
      </c>
    </row>
    <row r="42" spans="1:10" ht="15" customHeight="1" x14ac:dyDescent="0.35">
      <c r="A42" s="37" t="s">
        <v>249</v>
      </c>
      <c r="B42" s="33" t="s">
        <v>1187</v>
      </c>
      <c r="C42" s="38">
        <v>1.08108</v>
      </c>
      <c r="D42" s="39">
        <f t="shared" si="2"/>
        <v>0.16891875000000001</v>
      </c>
      <c r="E42" s="40">
        <f t="shared" si="3"/>
        <v>199.99979999999999</v>
      </c>
      <c r="F42" s="33" t="s">
        <v>1188</v>
      </c>
      <c r="H42" s="30" t="s">
        <v>829</v>
      </c>
      <c r="I42" s="254">
        <v>1033</v>
      </c>
    </row>
    <row r="43" spans="1:10" ht="15" customHeight="1" x14ac:dyDescent="0.35">
      <c r="A43" s="37" t="s">
        <v>205</v>
      </c>
      <c r="B43" s="33" t="s">
        <v>1189</v>
      </c>
      <c r="C43" s="38">
        <v>1.54054</v>
      </c>
      <c r="D43" s="39">
        <f t="shared" si="2"/>
        <v>0.240709375</v>
      </c>
      <c r="E43" s="40">
        <f t="shared" si="3"/>
        <v>284.99990000000003</v>
      </c>
      <c r="F43" s="2"/>
      <c r="H43" s="30" t="s">
        <v>830</v>
      </c>
      <c r="I43" s="254">
        <v>6674</v>
      </c>
    </row>
    <row r="44" spans="1:10" ht="15" customHeight="1" x14ac:dyDescent="0.35">
      <c r="A44" s="37" t="s">
        <v>221</v>
      </c>
      <c r="B44" s="33" t="s">
        <v>1190</v>
      </c>
      <c r="C44" s="38">
        <v>2.5135100000000001</v>
      </c>
      <c r="D44" s="39">
        <f t="shared" si="2"/>
        <v>0.39273593750000002</v>
      </c>
      <c r="E44" s="40">
        <f t="shared" si="3"/>
        <v>464.99935000000005</v>
      </c>
      <c r="F44" s="2"/>
      <c r="H44" s="30" t="s">
        <v>831</v>
      </c>
      <c r="I44" s="254">
        <v>1507</v>
      </c>
    </row>
    <row r="45" spans="1:10" ht="15" customHeight="1" x14ac:dyDescent="0.35">
      <c r="A45" s="37" t="s">
        <v>241</v>
      </c>
      <c r="B45" s="33" t="s">
        <v>1191</v>
      </c>
      <c r="C45" s="38">
        <v>0.48648999999999998</v>
      </c>
      <c r="D45" s="39">
        <f t="shared" si="2"/>
        <v>7.6014062499999993E-2</v>
      </c>
      <c r="E45" s="40">
        <f t="shared" si="3"/>
        <v>90.000649999999993</v>
      </c>
      <c r="F45" s="2"/>
      <c r="H45" s="30" t="s">
        <v>811</v>
      </c>
      <c r="I45" s="254">
        <v>2336</v>
      </c>
    </row>
    <row r="46" spans="1:10" ht="15" customHeight="1" x14ac:dyDescent="0.35">
      <c r="A46" s="37" t="s">
        <v>239</v>
      </c>
      <c r="B46" s="33" t="s">
        <v>1192</v>
      </c>
      <c r="C46" s="38">
        <v>0.48648999999999998</v>
      </c>
      <c r="D46" s="39">
        <f t="shared" si="2"/>
        <v>7.6014062499999993E-2</v>
      </c>
      <c r="E46" s="40">
        <f t="shared" si="3"/>
        <v>90.000649999999993</v>
      </c>
      <c r="F46" s="2"/>
      <c r="H46" s="30" t="s">
        <v>1193</v>
      </c>
      <c r="I46" s="254">
        <v>1259</v>
      </c>
    </row>
    <row r="47" spans="1:10" ht="15" customHeight="1" x14ac:dyDescent="0.35">
      <c r="A47" s="37" t="s">
        <v>243</v>
      </c>
      <c r="B47" s="33" t="s">
        <v>1194</v>
      </c>
      <c r="C47" s="38">
        <v>0.64864999999999995</v>
      </c>
      <c r="D47" s="39">
        <f t="shared" si="2"/>
        <v>0.10135156249999999</v>
      </c>
      <c r="E47" s="40">
        <f t="shared" si="3"/>
        <v>120.00024999999999</v>
      </c>
      <c r="F47" s="2"/>
      <c r="H47" s="30" t="s">
        <v>1195</v>
      </c>
      <c r="I47" s="254">
        <v>1300</v>
      </c>
    </row>
    <row r="48" spans="1:10" ht="15" customHeight="1" x14ac:dyDescent="0.35">
      <c r="A48" s="37" t="s">
        <v>217</v>
      </c>
      <c r="B48" s="33" t="s">
        <v>1196</v>
      </c>
      <c r="C48" s="38">
        <v>2.72973</v>
      </c>
      <c r="D48" s="39">
        <f t="shared" si="2"/>
        <v>0.4265203125</v>
      </c>
      <c r="E48" s="40">
        <f t="shared" si="3"/>
        <v>505.00004999999999</v>
      </c>
      <c r="F48" s="2"/>
      <c r="H48" s="30" t="s">
        <v>1197</v>
      </c>
      <c r="I48" s="254">
        <v>1350</v>
      </c>
    </row>
    <row r="49" spans="1:9" ht="15" customHeight="1" x14ac:dyDescent="0.35">
      <c r="A49" s="37" t="s">
        <v>233</v>
      </c>
      <c r="B49" s="33" t="s">
        <v>1198</v>
      </c>
      <c r="C49" s="38">
        <v>10.91892</v>
      </c>
      <c r="D49" s="39">
        <f t="shared" si="2"/>
        <v>1.70608125</v>
      </c>
      <c r="E49" s="40">
        <f t="shared" si="3"/>
        <v>2020.0001999999999</v>
      </c>
      <c r="F49" s="33" t="s">
        <v>1199</v>
      </c>
      <c r="H49" s="30" t="s">
        <v>1200</v>
      </c>
      <c r="I49" s="254">
        <v>1600</v>
      </c>
    </row>
    <row r="50" spans="1:9" ht="15" customHeight="1" x14ac:dyDescent="0.35">
      <c r="A50" s="37" t="s">
        <v>231</v>
      </c>
      <c r="B50" s="33" t="s">
        <v>1201</v>
      </c>
      <c r="C50" s="38">
        <v>6.6486499999999999</v>
      </c>
      <c r="D50" s="39">
        <f t="shared" si="2"/>
        <v>1.0388515624999999</v>
      </c>
      <c r="E50" s="40">
        <f t="shared" si="3"/>
        <v>1230.0002500000001</v>
      </c>
      <c r="F50" s="33" t="s">
        <v>1202</v>
      </c>
      <c r="H50" s="30" t="s">
        <v>837</v>
      </c>
      <c r="I50" s="254">
        <v>2540</v>
      </c>
    </row>
    <row r="51" spans="1:9" ht="15" customHeight="1" x14ac:dyDescent="0.35">
      <c r="A51" s="37" t="s">
        <v>257</v>
      </c>
      <c r="B51" s="33" t="s">
        <v>1203</v>
      </c>
      <c r="C51" s="38">
        <v>1.86486</v>
      </c>
      <c r="D51" s="39">
        <f t="shared" si="2"/>
        <v>0.29138437499999997</v>
      </c>
      <c r="E51" s="40">
        <f t="shared" si="3"/>
        <v>344.9991</v>
      </c>
      <c r="F51" s="2"/>
      <c r="H51" s="30" t="s">
        <v>838</v>
      </c>
      <c r="I51" s="254">
        <v>1938</v>
      </c>
    </row>
    <row r="52" spans="1:9" ht="15" customHeight="1" x14ac:dyDescent="0.35">
      <c r="A52" s="37" t="s">
        <v>255</v>
      </c>
      <c r="B52" s="33" t="s">
        <v>1204</v>
      </c>
      <c r="C52" s="38">
        <v>1.91892</v>
      </c>
      <c r="D52" s="39">
        <f t="shared" si="2"/>
        <v>0.29983124999999999</v>
      </c>
      <c r="E52" s="40">
        <f t="shared" si="3"/>
        <v>355.00020000000001</v>
      </c>
      <c r="F52" s="2"/>
      <c r="H52" s="30" t="s">
        <v>839</v>
      </c>
      <c r="I52" s="254">
        <v>2217</v>
      </c>
    </row>
    <row r="53" spans="1:9" ht="15" customHeight="1" x14ac:dyDescent="0.35">
      <c r="H53" s="30" t="s">
        <v>840</v>
      </c>
      <c r="I53" s="254">
        <v>2540</v>
      </c>
    </row>
    <row r="54" spans="1:9" ht="15" customHeight="1" x14ac:dyDescent="0.35">
      <c r="A54" s="30" t="s">
        <v>1205</v>
      </c>
      <c r="H54" s="30" t="s">
        <v>842</v>
      </c>
      <c r="I54" s="254">
        <v>2702</v>
      </c>
    </row>
    <row r="55" spans="1:9" ht="15" customHeight="1" x14ac:dyDescent="0.35">
      <c r="A55" s="30" t="s">
        <v>112</v>
      </c>
      <c r="B55" s="42">
        <v>325</v>
      </c>
      <c r="H55" s="30" t="s">
        <v>843</v>
      </c>
      <c r="I55" s="254">
        <v>3531</v>
      </c>
    </row>
    <row r="56" spans="1:9" ht="15" customHeight="1" x14ac:dyDescent="0.35">
      <c r="A56" s="30" t="s">
        <v>94</v>
      </c>
      <c r="B56" s="42">
        <v>355</v>
      </c>
      <c r="H56" s="30" t="s">
        <v>844</v>
      </c>
      <c r="I56" s="254">
        <v>2562</v>
      </c>
    </row>
    <row r="57" spans="1:9" ht="15" customHeight="1" x14ac:dyDescent="0.35">
      <c r="A57" s="30" t="s">
        <v>1134</v>
      </c>
      <c r="B57" s="42">
        <v>495</v>
      </c>
      <c r="H57" s="30" t="s">
        <v>849</v>
      </c>
      <c r="I57" s="254">
        <v>5328</v>
      </c>
    </row>
    <row r="58" spans="1:9" ht="15" customHeight="1" x14ac:dyDescent="0.35">
      <c r="H58" s="30" t="s">
        <v>1206</v>
      </c>
      <c r="I58" s="254">
        <v>7158</v>
      </c>
    </row>
    <row r="59" spans="1:9" ht="15" customHeight="1" x14ac:dyDescent="0.35">
      <c r="H59" s="30" t="s">
        <v>846</v>
      </c>
      <c r="I59" s="254">
        <v>2282</v>
      </c>
    </row>
    <row r="60" spans="1:9" ht="15" customHeight="1" x14ac:dyDescent="0.35">
      <c r="H60" s="30" t="s">
        <v>1207</v>
      </c>
      <c r="I60" s="254">
        <v>872</v>
      </c>
    </row>
    <row r="61" spans="1:9" ht="15" customHeight="1" x14ac:dyDescent="0.35">
      <c r="H61" s="30" t="s">
        <v>1208</v>
      </c>
      <c r="I61" s="254">
        <v>2454</v>
      </c>
    </row>
    <row r="62" spans="1:9" ht="15" customHeight="1" x14ac:dyDescent="0.35">
      <c r="H62" s="30" t="s">
        <v>786</v>
      </c>
      <c r="I62" s="254">
        <v>242</v>
      </c>
    </row>
    <row r="63" spans="1:9" ht="15" customHeight="1" x14ac:dyDescent="0.35">
      <c r="H63" s="30" t="s">
        <v>789</v>
      </c>
      <c r="I63" s="254">
        <v>409</v>
      </c>
    </row>
    <row r="64" spans="1:9" ht="15" customHeight="1" x14ac:dyDescent="0.35">
      <c r="H64" s="30" t="s">
        <v>790</v>
      </c>
      <c r="I64" s="254">
        <v>517</v>
      </c>
    </row>
    <row r="65" spans="8:9" ht="15" customHeight="1" x14ac:dyDescent="0.35">
      <c r="H65" s="30" t="s">
        <v>791</v>
      </c>
      <c r="I65" s="254">
        <v>403</v>
      </c>
    </row>
    <row r="66" spans="8:9" ht="15" customHeight="1" x14ac:dyDescent="0.35">
      <c r="H66" s="30" t="s">
        <v>792</v>
      </c>
      <c r="I66" s="254">
        <v>622</v>
      </c>
    </row>
    <row r="67" spans="8:9" x14ac:dyDescent="0.35">
      <c r="H67" s="30" t="s">
        <v>793</v>
      </c>
      <c r="I67" s="254">
        <v>695</v>
      </c>
    </row>
    <row r="68" spans="8:9" x14ac:dyDescent="0.35">
      <c r="H68" s="30" t="s">
        <v>794</v>
      </c>
      <c r="I68" s="254">
        <v>787</v>
      </c>
    </row>
    <row r="69" spans="8:9" x14ac:dyDescent="0.35">
      <c r="H69" s="30" t="s">
        <v>852</v>
      </c>
      <c r="I69" s="254">
        <v>205</v>
      </c>
    </row>
    <row r="70" spans="8:9" x14ac:dyDescent="0.35">
      <c r="H70" s="30" t="s">
        <v>855</v>
      </c>
      <c r="I70" s="254">
        <v>226</v>
      </c>
    </row>
    <row r="71" spans="8:9" x14ac:dyDescent="0.35">
      <c r="H71" s="30" t="s">
        <v>856</v>
      </c>
      <c r="I71" s="254">
        <v>538</v>
      </c>
    </row>
    <row r="72" spans="8:9" x14ac:dyDescent="0.35">
      <c r="H72" s="30" t="s">
        <v>857</v>
      </c>
      <c r="I72" s="254">
        <v>538</v>
      </c>
    </row>
    <row r="73" spans="8:9" x14ac:dyDescent="0.35">
      <c r="H73" s="30" t="s">
        <v>858</v>
      </c>
      <c r="I73" s="254">
        <v>248</v>
      </c>
    </row>
    <row r="74" spans="8:9" x14ac:dyDescent="0.35">
      <c r="H74" s="30" t="s">
        <v>859</v>
      </c>
      <c r="I74" s="254">
        <v>258</v>
      </c>
    </row>
    <row r="75" spans="8:9" x14ac:dyDescent="0.35">
      <c r="H75" s="30" t="s">
        <v>860</v>
      </c>
      <c r="I75" s="254">
        <v>452</v>
      </c>
    </row>
    <row r="76" spans="8:9" x14ac:dyDescent="0.35">
      <c r="H76" s="30" t="s">
        <v>1209</v>
      </c>
      <c r="I76" s="254">
        <v>2928</v>
      </c>
    </row>
    <row r="77" spans="8:9" x14ac:dyDescent="0.35">
      <c r="H77" s="30" t="s">
        <v>1210</v>
      </c>
      <c r="I77" s="254">
        <v>3789</v>
      </c>
    </row>
    <row r="78" spans="8:9" x14ac:dyDescent="0.35">
      <c r="H78" s="30" t="s">
        <v>863</v>
      </c>
      <c r="I78" s="254">
        <v>1668</v>
      </c>
    </row>
    <row r="79" spans="8:9" x14ac:dyDescent="0.35">
      <c r="H79" s="30" t="s">
        <v>864</v>
      </c>
      <c r="I79" s="254">
        <v>1211</v>
      </c>
    </row>
    <row r="80" spans="8:9" x14ac:dyDescent="0.35">
      <c r="H80" s="30" t="s">
        <v>1211</v>
      </c>
      <c r="I80" s="254">
        <v>3079</v>
      </c>
    </row>
    <row r="81" spans="8:10" x14ac:dyDescent="0.35">
      <c r="H81" s="30" t="s">
        <v>1212</v>
      </c>
      <c r="I81" s="254">
        <v>1830</v>
      </c>
      <c r="J81" t="s">
        <v>1213</v>
      </c>
    </row>
    <row r="82" spans="8:10" x14ac:dyDescent="0.35">
      <c r="H82" s="30" t="s">
        <v>867</v>
      </c>
      <c r="I82" s="254">
        <v>710</v>
      </c>
      <c r="J82" t="s">
        <v>1178</v>
      </c>
    </row>
    <row r="83" spans="8:10" x14ac:dyDescent="0.35">
      <c r="H83" s="30" t="s">
        <v>868</v>
      </c>
      <c r="I83" s="254">
        <v>904</v>
      </c>
    </row>
    <row r="84" spans="8:10" x14ac:dyDescent="0.35">
      <c r="H84" s="30" t="s">
        <v>869</v>
      </c>
      <c r="I84" s="254">
        <v>2174</v>
      </c>
    </row>
    <row r="85" spans="8:10" x14ac:dyDescent="0.35">
      <c r="H85" s="30" t="s">
        <v>1214</v>
      </c>
      <c r="I85" s="254">
        <v>4898</v>
      </c>
    </row>
    <row r="86" spans="8:10" x14ac:dyDescent="0.35">
      <c r="H86" s="30" t="s">
        <v>1215</v>
      </c>
      <c r="I86" s="254">
        <v>4898</v>
      </c>
    </row>
    <row r="87" spans="8:10" x14ac:dyDescent="0.35">
      <c r="H87" s="30" t="s">
        <v>1216</v>
      </c>
      <c r="I87" s="254">
        <v>4898</v>
      </c>
    </row>
    <row r="88" spans="8:10" x14ac:dyDescent="0.35">
      <c r="H88" s="30" t="s">
        <v>1217</v>
      </c>
      <c r="I88" s="254">
        <v>5005</v>
      </c>
    </row>
    <row r="89" spans="8:10" x14ac:dyDescent="0.35">
      <c r="H89" s="30" t="s">
        <v>1218</v>
      </c>
      <c r="I89" s="254">
        <v>5005</v>
      </c>
    </row>
    <row r="90" spans="8:10" x14ac:dyDescent="0.35">
      <c r="H90" t="s">
        <v>1219</v>
      </c>
      <c r="I90" s="401">
        <v>5005</v>
      </c>
    </row>
    <row r="91" spans="8:10" x14ac:dyDescent="0.35">
      <c r="H91" t="s">
        <v>1220</v>
      </c>
      <c r="I91" s="401">
        <v>1738</v>
      </c>
    </row>
    <row r="92" spans="8:10" x14ac:dyDescent="0.35">
      <c r="H92" t="s">
        <v>1221</v>
      </c>
      <c r="I92" s="401">
        <v>592</v>
      </c>
    </row>
    <row r="93" spans="8:10" x14ac:dyDescent="0.35">
      <c r="H93" t="s">
        <v>1222</v>
      </c>
      <c r="I93" s="401">
        <v>915</v>
      </c>
    </row>
    <row r="94" spans="8:10" x14ac:dyDescent="0.35">
      <c r="H94" t="s">
        <v>1223</v>
      </c>
      <c r="I94" s="401">
        <v>3800</v>
      </c>
    </row>
    <row r="95" spans="8:10" x14ac:dyDescent="0.35">
      <c r="H95" t="s">
        <v>1224</v>
      </c>
      <c r="I95" s="401">
        <v>439</v>
      </c>
    </row>
    <row r="96" spans="8:10" x14ac:dyDescent="0.35">
      <c r="H96" t="s">
        <v>1225</v>
      </c>
      <c r="I96" s="401">
        <v>716</v>
      </c>
    </row>
    <row r="97" spans="1:9" x14ac:dyDescent="0.35">
      <c r="H97" t="s">
        <v>1226</v>
      </c>
      <c r="I97" s="401">
        <v>848</v>
      </c>
    </row>
    <row r="98" spans="1:9" x14ac:dyDescent="0.35">
      <c r="H98" t="s">
        <v>1227</v>
      </c>
      <c r="I98" s="401">
        <v>942</v>
      </c>
    </row>
    <row r="99" spans="1:9" x14ac:dyDescent="0.35">
      <c r="H99" t="s">
        <v>1228</v>
      </c>
      <c r="I99" s="401">
        <v>248</v>
      </c>
    </row>
    <row r="100" spans="1:9" x14ac:dyDescent="0.35">
      <c r="H100" t="s">
        <v>1229</v>
      </c>
      <c r="I100" s="401">
        <v>258</v>
      </c>
    </row>
    <row r="101" spans="1:9" ht="22" customHeight="1" x14ac:dyDescent="0.35">
      <c r="A101" s="403"/>
    </row>
    <row r="102" spans="1:9" x14ac:dyDescent="0.35">
      <c r="H102" t="s">
        <v>1230</v>
      </c>
      <c r="I102" s="401">
        <v>3229</v>
      </c>
    </row>
    <row r="103" spans="1:9" x14ac:dyDescent="0.35">
      <c r="H103" t="s">
        <v>1231</v>
      </c>
      <c r="I103" s="401">
        <v>4252</v>
      </c>
    </row>
    <row r="104" spans="1:9" x14ac:dyDescent="0.35">
      <c r="H104" t="s">
        <v>1232</v>
      </c>
      <c r="I104" s="401">
        <v>4252</v>
      </c>
    </row>
    <row r="105" spans="1:9" x14ac:dyDescent="0.35">
      <c r="H105" t="s">
        <v>1233</v>
      </c>
      <c r="I105" s="401">
        <v>6674</v>
      </c>
    </row>
    <row r="106" spans="1:9" x14ac:dyDescent="0.35">
      <c r="H106" t="s">
        <v>1234</v>
      </c>
      <c r="I106" s="401">
        <v>5974</v>
      </c>
    </row>
  </sheetData>
  <mergeCells count="9">
    <mergeCell ref="A1:F1"/>
    <mergeCell ref="A32:B32"/>
    <mergeCell ref="C5:F5"/>
    <mergeCell ref="C3:F3"/>
    <mergeCell ref="A7:B7"/>
    <mergeCell ref="A25:B25"/>
    <mergeCell ref="A36:F36"/>
    <mergeCell ref="C4:F4"/>
    <mergeCell ref="C26:F31"/>
  </mergeCells>
  <hyperlinks>
    <hyperlink ref="G1" location="'สารบัญ'!A1" display="🏠 สารบัญ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H59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5.90625" customWidth="1"/>
    <col min="3" max="3" width="16.90625" customWidth="1"/>
    <col min="4" max="4" width="43.08984375" customWidth="1"/>
    <col min="5" max="6" width="46" customWidth="1"/>
    <col min="7" max="7" width="13.08984375" customWidth="1"/>
    <col min="8" max="8" width="13" customWidth="1"/>
  </cols>
  <sheetData>
    <row r="1" spans="1:8" ht="24" customHeight="1" x14ac:dyDescent="0.35">
      <c r="A1" s="437" t="s">
        <v>1235</v>
      </c>
      <c r="B1" s="411"/>
      <c r="C1" s="411"/>
      <c r="D1" s="411"/>
      <c r="E1" s="319"/>
      <c r="G1" s="388" t="s">
        <v>78</v>
      </c>
      <c r="H1" s="389"/>
    </row>
    <row r="2" spans="1:8" ht="15" customHeight="1" x14ac:dyDescent="0.35">
      <c r="A2" s="31" t="s">
        <v>1236</v>
      </c>
      <c r="B2" s="32">
        <v>600</v>
      </c>
      <c r="E2" s="51" t="s">
        <v>1237</v>
      </c>
      <c r="F2" s="73">
        <f>IF(B5="อิสระ",B4,IF(B5="ลากจูง",B4-1,B4-2))</f>
        <v>3</v>
      </c>
    </row>
    <row r="3" spans="1:8" ht="15" customHeight="1" x14ac:dyDescent="0.35">
      <c r="A3" s="31" t="s">
        <v>1238</v>
      </c>
      <c r="B3" s="32">
        <v>300</v>
      </c>
      <c r="E3" s="51" t="s">
        <v>1239</v>
      </c>
      <c r="F3" s="73">
        <f>IF(B5="ลากจูง",1,2)</f>
        <v>2</v>
      </c>
    </row>
    <row r="4" spans="1:8" ht="15" customHeight="1" x14ac:dyDescent="0.35">
      <c r="A4" s="31" t="s">
        <v>1240</v>
      </c>
      <c r="B4" s="32">
        <v>3</v>
      </c>
      <c r="E4" s="51" t="s">
        <v>1241</v>
      </c>
      <c r="F4" s="73">
        <f>IF(B5="อิสระ",2,1)</f>
        <v>2</v>
      </c>
    </row>
    <row r="5" spans="1:8" ht="15" customHeight="1" x14ac:dyDescent="0.35">
      <c r="A5" s="31" t="s">
        <v>1242</v>
      </c>
      <c r="B5" s="43" t="s">
        <v>1243</v>
      </c>
      <c r="E5" s="51" t="s">
        <v>1244</v>
      </c>
      <c r="F5" s="73">
        <f>IF(B5="เปิดคู่กลาง",4,2)</f>
        <v>2</v>
      </c>
    </row>
    <row r="6" spans="1:8" ht="15" customHeight="1" x14ac:dyDescent="0.35">
      <c r="A6" s="51" t="s">
        <v>1245</v>
      </c>
      <c r="B6" s="52">
        <f>(B2/100)*(B3/100)</f>
        <v>18</v>
      </c>
      <c r="E6" s="51" t="s">
        <v>1246</v>
      </c>
      <c r="F6" s="73">
        <f>IF(B5="เปิดคู่กลาง",B4-2,B4-1)</f>
        <v>2</v>
      </c>
    </row>
    <row r="7" spans="1:8" ht="15" customHeight="1" x14ac:dyDescent="0.35">
      <c r="A7" s="31" t="s">
        <v>1247</v>
      </c>
      <c r="B7" s="43">
        <v>100</v>
      </c>
      <c r="E7" s="30" t="s">
        <v>1248</v>
      </c>
      <c r="F7" s="27" t="s">
        <v>1249</v>
      </c>
    </row>
    <row r="8" spans="1:8" ht="15" customHeight="1" x14ac:dyDescent="0.35">
      <c r="A8" s="31" t="s">
        <v>1250</v>
      </c>
      <c r="B8" s="32">
        <v>90</v>
      </c>
    </row>
    <row r="9" spans="1:8" ht="15" customHeight="1" x14ac:dyDescent="0.35">
      <c r="A9" s="30" t="s">
        <v>1251</v>
      </c>
      <c r="B9" s="27" t="s">
        <v>778</v>
      </c>
      <c r="C9" s="53">
        <f>INDEX(ราคาวัสดุกลาง!$I$2:$I$106,MATCH(B9,ราคาวัสดุกลาง!$H$2:$H$106,0))</f>
        <v>264</v>
      </c>
      <c r="D9" s="30" t="s">
        <v>1252</v>
      </c>
      <c r="E9" s="30" t="s">
        <v>1253</v>
      </c>
      <c r="F9" s="27" t="s">
        <v>1254</v>
      </c>
      <c r="G9" s="30">
        <f>IF(F9="สีอบขาว/ดำ",180,IF(F9="เทาซาฮาร่า",ROUND(180*1.09,0),IF(F9="ลายไม้ stock",ROUND(180*1.6,0),IF(F9="สีอบพิเศษ",140,160))))</f>
        <v>180</v>
      </c>
    </row>
    <row r="10" spans="1:8" ht="23.25" customHeight="1" x14ac:dyDescent="0.35">
      <c r="A10" s="54" t="s">
        <v>482</v>
      </c>
      <c r="B10" s="54" t="s">
        <v>1255</v>
      </c>
      <c r="C10" s="54" t="s">
        <v>1256</v>
      </c>
      <c r="D10" s="54" t="s">
        <v>1257</v>
      </c>
    </row>
    <row r="11" spans="1:8" ht="15" customHeight="1" x14ac:dyDescent="0.35">
      <c r="A11" s="33" t="s">
        <v>1140</v>
      </c>
      <c r="B11" s="55">
        <f>IF(FLOOR(6.4/((B2/100)),1)&gt;=1,ROUNDUP((1)/FLOOR(6.4/((B2/100)),1),0),ROUNDUP(((B2/100))/6.4,0)*(1))</f>
        <v>1</v>
      </c>
      <c r="C11" s="56">
        <f>IF(F9="สีอบขาว/ดำ",1235,IF(F9="เทาซาฮาร่า",VLOOKUP("B22001",ราคาสี!$A:$F,5,0),IF(F9="ลายไม้ stock",(VLOOKUP("B22001",ราคาสี!$A:$F,6,0)*mult_wood/mult_sms),1235+IF(F9="สีอบพิเศษ",rate_special,rate_woodbake)*6.86111)))</f>
        <v>1235</v>
      </c>
      <c r="D11" s="47">
        <f t="shared" ref="D11:D19" si="0">B11*C11*mult_sms</f>
        <v>1235</v>
      </c>
    </row>
    <row r="12" spans="1:8" ht="15" customHeight="1" x14ac:dyDescent="0.35">
      <c r="A12" s="33" t="s">
        <v>1141</v>
      </c>
      <c r="B12" s="55">
        <f>IF(FLOOR(6.4/((B3/100)),1)&gt;=1,ROUNDUP((2)/FLOOR(6.4/((B3/100)),1),0),ROUNDUP(((B3/100))/6.4,0)*(2))</f>
        <v>1</v>
      </c>
      <c r="C12" s="56">
        <f>IF(F9="สีอบขาว/ดำ",1045,IF(F9="เทาซาฮาร่า",VLOOKUP("B22002",ราคาสี!$A:$F,5,0),IF(F9="ลายไม้ stock",(VLOOKUP("B22002",ราคาสี!$A:$F,6,0)*mult_wood/mult_sms),1045+IF(F9="สีอบพิเศษ",rate_special,rate_woodbake)*5.80556)))</f>
        <v>1045</v>
      </c>
      <c r="D12" s="47">
        <f t="shared" si="0"/>
        <v>1045</v>
      </c>
    </row>
    <row r="13" spans="1:8" ht="15" customHeight="1" x14ac:dyDescent="0.35">
      <c r="A13" s="33" t="s">
        <v>1143</v>
      </c>
      <c r="B13" s="55">
        <f>IF(FLOOR(6.4/((B2/100)),1)&gt;=1,ROUNDUP((1)/FLOOR(6.4/((B2/100)),1),0),ROUNDUP(((B2/100))/6.4,0)*(1))</f>
        <v>1</v>
      </c>
      <c r="C13" s="56">
        <f>IF(F9="สีอบขาว/ดำ",IF($F$7="ภายใน",825,2070),IF(F9="เทาซาฮาร่า",IF($F$7="ภายใน",VLOOKUP("B20047",ราคาสี!$A:$F,5,0),VLOOKUP("B20041",ราคาสี!$A:$F,5,0)),IF(F9="ลายไม้ stock",IF($F$7="ภายใน",(VLOOKUP("B20047",ราคาสี!$A:$F,6,0)*mult_wood/mult_sms),(VLOOKUP("B20041",ราคาสี!$A:$F,6,0)*mult_wood/mult_sms)),IF($F$7="ภายใน",825,2070)+IF(F9="สีอบพิเศษ",rate_special,rate_woodbake)*IF($F$7="ภายใน",4.58333,11.5))))</f>
        <v>2070</v>
      </c>
      <c r="D13" s="47">
        <f t="shared" si="0"/>
        <v>2070</v>
      </c>
    </row>
    <row r="14" spans="1:8" ht="15" customHeight="1" x14ac:dyDescent="0.35">
      <c r="A14" s="33" t="s">
        <v>1147</v>
      </c>
      <c r="B14" s="55">
        <f>IF(FLOOR(6.4/((B3/100)),1)&gt;=1,ROUNDUP(($F$5)/FLOOR(6.4/((B3/100)),1),0),ROUNDUP(((B3/100))/6.4,0)*($F$5))</f>
        <v>1</v>
      </c>
      <c r="C14" s="56">
        <f>IF(F9="สีอบขาว/ดำ",885,IF(F9="เทาซาฮาร่า",VLOOKUP("B20051",ราคาสี!$A:$F,5,0),IF(F9="ลายไม้ stock",(VLOOKUP("B20051",ราคาสี!$A:$F,6,0)*mult_wood/mult_sms),885+IF(F9="สีอบพิเศษ",rate_special,rate_woodbake)*4.91667)))</f>
        <v>885</v>
      </c>
      <c r="D14" s="47">
        <f t="shared" si="0"/>
        <v>885</v>
      </c>
    </row>
    <row r="15" spans="1:8" ht="15" customHeight="1" x14ac:dyDescent="0.35">
      <c r="A15" s="33" t="s">
        <v>1149</v>
      </c>
      <c r="B15" s="55">
        <f>IF(FLOOR(6.4/((B3/100)),1)&gt;=1,ROUNDUP((IF((B3/100)&gt;2.4,$F$6,2*$F$6))/FLOOR(6.4/((B3/100)),1),0),ROUNDUP(((B3/100))/6.4,0)*(IF((B3/100)&gt;2.4,$F$6,2*$F$6)))</f>
        <v>1</v>
      </c>
      <c r="C15" s="56">
        <f>IF(F9="สีอบขาว/ดำ",745,IF(F9="เทาซาฮาร่า",VLOOKUP("B20009",ราคาสี!$A:$F,5,0),IF(F9="ลายไม้ stock",(VLOOKUP("B20009",ราคาสี!$A:$F,6,0)*mult_wood/mult_sms),745+IF(F9="สีอบพิเศษ",rate_special,rate_woodbake)*4.13889)))</f>
        <v>745</v>
      </c>
      <c r="D15" s="47">
        <f t="shared" si="0"/>
        <v>745</v>
      </c>
    </row>
    <row r="16" spans="1:8" ht="15" customHeight="1" x14ac:dyDescent="0.35">
      <c r="A16" s="33" t="s">
        <v>1151</v>
      </c>
      <c r="B16" s="55">
        <f>IF(FLOOR(6.4/((B3/100)),1)&gt;=1,ROUNDUP((IF((B3/100)&gt;2.4,$F$6,0))/FLOOR(6.4/((B3/100)),1),0),ROUNDUP(((B3/100))/6.4,0)*(IF((B3/100)&gt;2.4,$F$6,0)))</f>
        <v>1</v>
      </c>
      <c r="C16" s="56">
        <f>IF(F9="สีอบขาว/ดำ",1235,IF(F9="เทาซาฮาร่า",VLOOKUP("B20010",ราคาสี!$A:$F,5,0),IF(F9="ลายไม้ stock",(VLOOKUP("B20010",ราคาสี!$A:$F,6,0)*mult_wood/mult_sms),1235+IF(F9="สีอบพิเศษ",rate_special,rate_woodbake)*6.86111)))</f>
        <v>1235</v>
      </c>
      <c r="D16" s="47">
        <f t="shared" si="0"/>
        <v>1235</v>
      </c>
    </row>
    <row r="17" spans="1:7" ht="15" customHeight="1" x14ac:dyDescent="0.35">
      <c r="A17" s="33" t="s">
        <v>1153</v>
      </c>
      <c r="B17" s="55">
        <f>IF(FLOOR(6.4/((B2/100)/B4),1)&gt;=1,ROUNDUP((2*B4)/FLOOR(6.4/((B2/100)/B4),1),0),ROUNDUP(((B2/100)/B4)/6.4,0)*(2*B4))</f>
        <v>2</v>
      </c>
      <c r="C17" s="56">
        <f>IF(F9="สีอบขาว/ดำ",1060,IF(F9="เทาซาฮาร่า",VLOOKUP("B20054",ราคาสี!$A:$F,5,0),IF(F9="ลายไม้ stock",(VLOOKUP("B20054",ราคาสี!$A:$F,6,0)*mult_wood/mult_sms),1060+IF(F9="สีอบพิเศษ",rate_special,rate_woodbake)*5.88889)))</f>
        <v>1060</v>
      </c>
      <c r="D17" s="47">
        <f t="shared" si="0"/>
        <v>2120</v>
      </c>
    </row>
    <row r="18" spans="1:7" ht="15" customHeight="1" x14ac:dyDescent="0.35">
      <c r="A18" s="33" t="s">
        <v>1154</v>
      </c>
      <c r="B18" s="55">
        <f>IF(FLOOR(6.4/((B3/100)),1)&gt;=1,ROUNDUP((4)/FLOOR(6.4/((B3/100)),1),0),ROUNDUP(((B3/100))/6.4,0)*(4))</f>
        <v>2</v>
      </c>
      <c r="C18" s="56">
        <f>IF(F9="สีอบขาว/ดำ",175,IF(F9="เทาซาฮาร่า",VLOOKUP("B20019",ราคาสี!$A:$F,5,0),IF(F9="ลายไม้ stock",(VLOOKUP("B20019",ราคาสี!$A:$F,6,0)*mult_wood/mult_sms),175+IF(F9="สีอบพิเศษ",rate_special,rate_woodbake)*0.97222)))</f>
        <v>175</v>
      </c>
      <c r="D18" s="47">
        <f t="shared" si="0"/>
        <v>350</v>
      </c>
    </row>
    <row r="19" spans="1:7" ht="15" customHeight="1" x14ac:dyDescent="0.35">
      <c r="A19" s="33" t="s">
        <v>1258</v>
      </c>
      <c r="B19" s="55">
        <f>IF(F7="ภายใน",2*ROUNDUP(B2/600,0),IF(FLOOR(6.4/((B2/100)),1)&gt;=1,ROUNDUP(($F$2)/FLOOR(6.4/((B2/100)),1),0),ROUNDUP(((B2/100))/6.4,0)*($F$2)))</f>
        <v>3</v>
      </c>
      <c r="C19" s="56">
        <f>IF(F7="ภายใน",IF(F9="สีอบขาว/ดำ",145,IF(F9="เทาซาฮาร่า",VLOOKUP("B20050",ราคาสี!$A:$F,5,0),IF(F9="ลายไม้ stock",(VLOOKUP("B20050",ราคาสี!$A:$F,6,0)*mult_wood/mult_sms),145+IF(F9="สีอบพิเศษ",rate_special,rate_woodbake)*0.81))),150)</f>
        <v>150</v>
      </c>
      <c r="D19" s="47">
        <f t="shared" si="0"/>
        <v>450</v>
      </c>
    </row>
    <row r="20" spans="1:7" ht="15" customHeight="1" x14ac:dyDescent="0.35">
      <c r="A20" s="33" t="s">
        <v>1259</v>
      </c>
      <c r="B20" s="55">
        <f>((B2/100)+(B4-1)*0.1)*(B3/100)</f>
        <v>18.600000000000001</v>
      </c>
      <c r="C20" s="56">
        <f>INDEX(ราคาวัสดุกลาง!$I$2:$I$106,MATCH(B9,ราคาวัสดุกลาง!$H$2:$H$106,0))</f>
        <v>264</v>
      </c>
      <c r="D20" s="47">
        <f t="shared" ref="D20:D27" si="1">B20*C20</f>
        <v>4910.4000000000005</v>
      </c>
    </row>
    <row r="21" spans="1:7" ht="15" customHeight="1" x14ac:dyDescent="0.35">
      <c r="A21" s="33" t="s">
        <v>1260</v>
      </c>
      <c r="B21" s="55">
        <f>2*$F$2</f>
        <v>6</v>
      </c>
      <c r="C21" s="56">
        <v>80</v>
      </c>
      <c r="D21" s="47">
        <f t="shared" si="1"/>
        <v>480</v>
      </c>
    </row>
    <row r="22" spans="1:7" ht="15" customHeight="1" x14ac:dyDescent="0.35">
      <c r="A22" s="33" t="s">
        <v>1261</v>
      </c>
      <c r="B22" s="55">
        <f>2*$F$3</f>
        <v>4</v>
      </c>
      <c r="C22" s="56">
        <v>99</v>
      </c>
      <c r="D22" s="47">
        <f t="shared" si="1"/>
        <v>396</v>
      </c>
    </row>
    <row r="23" spans="1:7" ht="15" customHeight="1" x14ac:dyDescent="0.35">
      <c r="A23" s="33" t="s">
        <v>1262</v>
      </c>
      <c r="B23" s="55">
        <f>$F$4</f>
        <v>2</v>
      </c>
      <c r="C23" s="56">
        <v>189</v>
      </c>
      <c r="D23" s="47">
        <f t="shared" si="1"/>
        <v>378</v>
      </c>
    </row>
    <row r="24" spans="1:7" ht="15" customHeight="1" x14ac:dyDescent="0.35">
      <c r="A24" s="33" t="s">
        <v>1263</v>
      </c>
      <c r="B24" s="55">
        <f>6*(B3/100)+9*(B2/100)+2*($F$5+$F$6)*(B3/100)</f>
        <v>96</v>
      </c>
      <c r="C24" s="56">
        <v>1.5</v>
      </c>
      <c r="D24" s="47">
        <f t="shared" si="1"/>
        <v>144</v>
      </c>
    </row>
    <row r="25" spans="1:7" ht="15" customHeight="1" x14ac:dyDescent="0.35">
      <c r="A25" s="33" t="s">
        <v>1264</v>
      </c>
      <c r="B25" s="55">
        <f>8+4*B4</f>
        <v>20</v>
      </c>
      <c r="C25" s="56">
        <v>1</v>
      </c>
      <c r="D25" s="47">
        <f t="shared" si="1"/>
        <v>20</v>
      </c>
    </row>
    <row r="26" spans="1:7" ht="15" customHeight="1" x14ac:dyDescent="0.35">
      <c r="A26" s="33" t="s">
        <v>1265</v>
      </c>
      <c r="B26" s="55">
        <f>ROUNDUP(2*((B2/100)+(B3/100))*2/12.5,0)</f>
        <v>3</v>
      </c>
      <c r="C26" s="56">
        <f>B8</f>
        <v>90</v>
      </c>
      <c r="D26" s="47">
        <f t="shared" si="1"/>
        <v>270</v>
      </c>
    </row>
    <row r="27" spans="1:7" ht="15" customHeight="1" x14ac:dyDescent="0.35">
      <c r="A27" s="57" t="s">
        <v>1266</v>
      </c>
      <c r="B27" s="57">
        <f>IF(OR(F9="สีอบพิเศษ",F9="สีลายไม้อบพิเศษ"),1,0)</f>
        <v>0</v>
      </c>
      <c r="C27" s="53">
        <v>2000</v>
      </c>
      <c r="D27" s="53">
        <f t="shared" si="1"/>
        <v>0</v>
      </c>
      <c r="E27" s="57" t="s">
        <v>1267</v>
      </c>
    </row>
    <row r="28" spans="1:7" ht="15" customHeight="1" x14ac:dyDescent="0.35">
      <c r="A28" s="58" t="s">
        <v>1268</v>
      </c>
      <c r="D28" s="59">
        <f>SUM(D11:D27)+D57+D36+D37+D38+D39</f>
        <v>16733.400000000001</v>
      </c>
      <c r="F28" s="342" t="s">
        <v>1269</v>
      </c>
    </row>
    <row r="29" spans="1:7" ht="15" customHeight="1" x14ac:dyDescent="0.35">
      <c r="A29" s="58" t="s">
        <v>1125</v>
      </c>
      <c r="D29" s="59">
        <f>IFERROR(D28/B6,0)</f>
        <v>929.63333333333344</v>
      </c>
      <c r="F29" s="332" t="s">
        <v>1270</v>
      </c>
      <c r="G29" s="343">
        <f>SUM(D11:D19)</f>
        <v>10135</v>
      </c>
    </row>
    <row r="30" spans="1:7" ht="15" customHeight="1" x14ac:dyDescent="0.35">
      <c r="A30" s="60" t="s">
        <v>1271</v>
      </c>
      <c r="D30" s="61">
        <f>ROUNDUP(D28*(1+B7/100)/100,0)*100</f>
        <v>33500</v>
      </c>
      <c r="F30" s="155" t="s">
        <v>1272</v>
      </c>
      <c r="G30" s="344">
        <f>D20</f>
        <v>4910.4000000000005</v>
      </c>
    </row>
    <row r="31" spans="1:7" ht="15" customHeight="1" x14ac:dyDescent="0.35">
      <c r="A31" s="62" t="s">
        <v>1273</v>
      </c>
      <c r="D31" s="63">
        <f>IFERROR((D30-D28)/D28,0)</f>
        <v>1.0019840558404147</v>
      </c>
      <c r="F31" s="155" t="s">
        <v>1274</v>
      </c>
      <c r="G31" s="344">
        <f>SUM(D21:D27)</f>
        <v>1688</v>
      </c>
    </row>
    <row r="32" spans="1:7" ht="15" customHeight="1" x14ac:dyDescent="0.35">
      <c r="A32" s="69" t="s">
        <v>1275</v>
      </c>
      <c r="D32" s="28">
        <f>D30</f>
        <v>33500</v>
      </c>
      <c r="F32" s="155" t="s">
        <v>1276</v>
      </c>
      <c r="G32" s="344">
        <f>SUM(G29:G31)</f>
        <v>16733.400000000001</v>
      </c>
    </row>
    <row r="33" spans="1:8" x14ac:dyDescent="0.35">
      <c r="A33" s="233" t="s">
        <v>1277</v>
      </c>
      <c r="F33" s="345" t="s">
        <v>1278</v>
      </c>
    </row>
    <row r="34" spans="1:8" ht="15" customHeight="1" x14ac:dyDescent="0.35">
      <c r="A34" s="9" t="s">
        <v>1279</v>
      </c>
      <c r="B34" s="193" t="s">
        <v>670</v>
      </c>
      <c r="C34" t="str">
        <f>IF(B34="ไม่มีมุ้ง","—",IF(H35=1,"✓ ใช้ได้","⚠ ใช้กับบานนี้ไม่ได้(ทุน=0)"))</f>
        <v>—</v>
      </c>
      <c r="D34" t="str">
        <f>IF(B34="ไม่มีมุ้ง","",H40&amp;" บาน")</f>
        <v/>
      </c>
      <c r="H34" s="281" t="str">
        <f>IFERROR(VLOOKUP(B34,ราคามุ้ง!$A$2:$O$15,3,0),"")</f>
        <v/>
      </c>
    </row>
    <row r="35" spans="1:8" ht="15" customHeight="1" x14ac:dyDescent="0.35">
      <c r="A35" s="1" t="s">
        <v>1280</v>
      </c>
      <c r="B35" s="193" t="s">
        <v>682</v>
      </c>
      <c r="C35" s="193" t="s">
        <v>1281</v>
      </c>
      <c r="D35" s="148"/>
      <c r="H35" s="281">
        <f>IF(B34="ไม่มีมุ้ง",0,IF(OR(IFERROR(VLOOKUP(B34,ราคามุ้ง!$A$2:$O$15,4,0),"ALL")="ALL",ISNUMBER(SEARCH("SMS",IFERROR(VLOOKUP(B34,ราคามุ้ง!$A$2:$O$15,4,0),"")))),1,0))</f>
        <v>0</v>
      </c>
    </row>
    <row r="36" spans="1:8" ht="15" customHeight="1" x14ac:dyDescent="0.35">
      <c r="A36" s="1" t="s">
        <v>1282</v>
      </c>
      <c r="B36" s="283">
        <f>IF(AND(H35=1,H36=1),ROUND(H40*2*H39/6,2),0)</f>
        <v>0</v>
      </c>
      <c r="C36" s="28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6" s="148">
        <f>ROUND(B36*C36,0)</f>
        <v>0</v>
      </c>
      <c r="H36" s="281">
        <f>IF(OR(B34="มุ้งเฟรมเล็ก",B34="มุ้งเฟรมใหญ่",B34="มุ้งนิรภัย"),1,0)</f>
        <v>0</v>
      </c>
    </row>
    <row r="37" spans="1:8" ht="15" customHeight="1" x14ac:dyDescent="0.35">
      <c r="A37" s="1" t="s">
        <v>1283</v>
      </c>
      <c r="B37" s="284">
        <f>IF(AND(H35=1,H36=1),ROUND(H40*2*H38/6,2),0)</f>
        <v>0</v>
      </c>
      <c r="C37" s="282">
        <f>IF(B34="มุ้งเฟรมเล็ก",ราคามุ้ง!$B$19,IF(B34="มุ้งเฟรมใหญ่",ROUND(C14*mult_sms,0),IF(B34="มุ้งนิรภัย",ราคามุ้ง!$B$21,0)))</f>
        <v>0</v>
      </c>
      <c r="D37" s="282">
        <f>ROUND(B37*C37,0)</f>
        <v>0</v>
      </c>
      <c r="H37" s="281">
        <f>IFERROR(VLOOKUP(B35,ราคามุ้ง!$I$2:$J$5,2,0),0)</f>
        <v>23</v>
      </c>
    </row>
    <row r="38" spans="1:8" ht="15" customHeight="1" x14ac:dyDescent="0.35">
      <c r="A38" s="9" t="s">
        <v>1284</v>
      </c>
      <c r="B38" s="285">
        <f>IF(AND(H35=1,H36=1),ROUND(H40*2*(H38+H39),2),0)</f>
        <v>0</v>
      </c>
      <c r="C38" s="282">
        <f>ราคามุ้ง!$D$19</f>
        <v>5</v>
      </c>
      <c r="D38" s="149">
        <f>ROUND(B38*C38,0)</f>
        <v>0</v>
      </c>
      <c r="H38" s="286">
        <f>B2/(B4*100)</f>
        <v>2</v>
      </c>
    </row>
    <row r="39" spans="1:8" ht="15" customHeight="1" x14ac:dyDescent="0.35">
      <c r="A39" s="9" t="s">
        <v>1285</v>
      </c>
      <c r="B39" s="285">
        <f>IF(H35=0,0,ROUND(H40*H38*H39,2))</f>
        <v>0</v>
      </c>
      <c r="C39" s="282">
        <f>IF(B34="มุ้งนิรภัย",650,IF(OR(B34="มุ้งเฟรมเล็ก",B34="มุ้งเฟรมใหญ่"),H37,IF(H34="ซื้อสำเร็จ",IFERROR(VLOOKUP(B34,ราคามุ้ง!$A$2:$O$15,2,0),0),0)))</f>
        <v>0</v>
      </c>
      <c r="D39" s="149">
        <f>ROUND(B39*C39,0)</f>
        <v>0</v>
      </c>
      <c r="H39" s="285">
        <f>B3/100</f>
        <v>3</v>
      </c>
    </row>
    <row r="40" spans="1:8" ht="15" customHeight="1" x14ac:dyDescent="0.35">
      <c r="A40" s="9" t="s">
        <v>1286</v>
      </c>
      <c r="D40" s="149">
        <f>IF(H35=0,0,ROUND(H40*(VLOOKUP(B34,ราคามุ้ง!$A$2:$O$15,12,0)+VLOOKUP(B34,ราคามุ้ง!$A$2:$O$15,13,0)*H38*H39),0))</f>
        <v>0</v>
      </c>
      <c r="H40">
        <f>IF(AND(B5="อิสระ",B4=2),1,F2)</f>
        <v>3</v>
      </c>
    </row>
    <row r="41" spans="1:8" x14ac:dyDescent="0.35">
      <c r="A41" t="s">
        <v>1287</v>
      </c>
      <c r="C41" s="282"/>
      <c r="D41" s="282">
        <f>IF(H35=0,0,ROUND(H40*(VLOOKUP(B34,ราคามุ้ง!$A$2:$O$15,14,0)+VLOOKUP(B34,ราคามุ้ง!$A$2:$O$15,15,0)*H38*H39),0))</f>
        <v>0</v>
      </c>
      <c r="E41" s="333" t="s">
        <v>1288</v>
      </c>
      <c r="F41" s="334">
        <f>SUM(D36:D41)</f>
        <v>0</v>
      </c>
    </row>
    <row r="42" spans="1:8" x14ac:dyDescent="0.35">
      <c r="A42" s="25" t="s">
        <v>1289</v>
      </c>
    </row>
    <row r="43" spans="1:8" x14ac:dyDescent="0.35">
      <c r="A43" s="64" t="s">
        <v>1290</v>
      </c>
      <c r="D43" s="26">
        <f>MAX(0,VLOOKUP("บานเลื่อน SMS",ค่าแรง!$A$12:$E$27,2,0)+VLOOKUP("บานเลื่อน SMS",ค่าแรง!$A$12:$E$27,3,0)*B6)</f>
        <v>629.20000000000005</v>
      </c>
    </row>
    <row r="44" spans="1:8" x14ac:dyDescent="0.35">
      <c r="A44" s="64" t="s">
        <v>1291</v>
      </c>
      <c r="D44" s="26">
        <f>MAX(0,VLOOKUP("บานเลื่อน SMS",ค่าแรง!$A$12:$E$27,4,0)+VLOOKUP("บานเลื่อน SMS",ค่าแรง!$A$12:$E$27,5,0)*B6)</f>
        <v>629.20000000000005</v>
      </c>
    </row>
    <row r="45" spans="1:8" x14ac:dyDescent="0.35">
      <c r="A45" s="64" t="s">
        <v>1292</v>
      </c>
      <c r="B45" s="27">
        <v>100</v>
      </c>
    </row>
    <row r="46" spans="1:8" x14ac:dyDescent="0.35">
      <c r="A46" s="25" t="s">
        <v>1293</v>
      </c>
      <c r="D46" s="28">
        <f>ROUNDUP((D28+D43+D40)*(1+B7/100)/100,0)*100</f>
        <v>34800</v>
      </c>
    </row>
    <row r="47" spans="1:8" x14ac:dyDescent="0.35">
      <c r="A47" s="25" t="s">
        <v>1294</v>
      </c>
      <c r="D47" s="28">
        <f>D46+ROUNDUP((D44+D41)*(1+B45/100)/100,0)*100</f>
        <v>36100</v>
      </c>
    </row>
    <row r="48" spans="1:8" x14ac:dyDescent="0.35">
      <c r="A48" s="25" t="s">
        <v>1295</v>
      </c>
      <c r="D48" s="29">
        <f>(D47-(D28+D43+D44+D40+D41))/(D28+D43+D44+D40+D41)</f>
        <v>1.0064696139352369</v>
      </c>
    </row>
    <row r="50" spans="1:7" x14ac:dyDescent="0.35">
      <c r="A50" s="154" t="s">
        <v>1296</v>
      </c>
      <c r="B50" s="155"/>
      <c r="C50" s="155"/>
      <c r="D50" s="155"/>
    </row>
    <row r="51" spans="1:7" x14ac:dyDescent="0.35">
      <c r="A51" s="20" t="s">
        <v>1297</v>
      </c>
      <c r="B51" s="156" t="s">
        <v>1298</v>
      </c>
      <c r="C51" s="155"/>
      <c r="D51" s="155"/>
      <c r="F51" s="20" t="s">
        <v>1299</v>
      </c>
      <c r="G51" s="20">
        <f>INDEX(ราคาออโต้!$C:$C,MATCH("Evecca (จีน)",ราคาออโต้!$B:$B,0))</f>
        <v>13480</v>
      </c>
    </row>
    <row r="52" spans="1:7" x14ac:dyDescent="0.35">
      <c r="A52" s="20" t="s">
        <v>1300</v>
      </c>
      <c r="B52" s="156" t="s">
        <v>562</v>
      </c>
      <c r="C52" s="155"/>
      <c r="D52" s="155"/>
      <c r="F52" s="20" t="s">
        <v>1301</v>
      </c>
      <c r="G52" s="20">
        <f>INDEX(ราคาออโต้!$C:$C,MATCH("สายพาน Evecca",ราคาออโต้!$B:$B,0))</f>
        <v>75</v>
      </c>
    </row>
    <row r="53" spans="1:7" x14ac:dyDescent="0.35">
      <c r="A53" s="20" t="s">
        <v>1302</v>
      </c>
      <c r="B53" s="156" t="s">
        <v>1298</v>
      </c>
      <c r="C53" s="155"/>
      <c r="D53" s="155"/>
      <c r="F53" s="20" t="s">
        <v>1303</v>
      </c>
      <c r="G53" s="20">
        <f>INDEX(ราคาออโต้!$D:$D,MATCH("Evecca (จีน)",ราคาออโต้!$B:$B,0))</f>
        <v>1700</v>
      </c>
    </row>
    <row r="54" spans="1:7" x14ac:dyDescent="0.35">
      <c r="A54" s="20" t="s">
        <v>1304</v>
      </c>
      <c r="B54" s="156" t="s">
        <v>1298</v>
      </c>
      <c r="C54" s="155"/>
      <c r="D54" s="155"/>
      <c r="F54" s="20" t="s">
        <v>1305</v>
      </c>
      <c r="G54" s="20">
        <f>INDEX(ราคาออโต้!$C:$C,MATCH("ออป Smart lock",ราคาออโต้!$B:$B,0))</f>
        <v>6500</v>
      </c>
    </row>
    <row r="55" spans="1:7" x14ac:dyDescent="0.35">
      <c r="A55" s="20" t="s">
        <v>1306</v>
      </c>
      <c r="B55" s="156" t="s">
        <v>1298</v>
      </c>
      <c r="C55" s="155"/>
      <c r="D55" s="155"/>
      <c r="F55" s="20" t="s">
        <v>1307</v>
      </c>
      <c r="G55" s="20">
        <f>INDEX(ราคาออโต้!$C:$C,MATCH("ช่างแซก",ราคาออโต้!$B:$B,0))</f>
        <v>8000</v>
      </c>
    </row>
    <row r="56" spans="1:7" x14ac:dyDescent="0.35">
      <c r="A56" s="155"/>
      <c r="B56" s="155"/>
      <c r="C56" s="155"/>
      <c r="D56" s="155"/>
      <c r="F56" s="20" t="s">
        <v>1308</v>
      </c>
      <c r="G56" s="20">
        <f>INDEX(ราคาออโต้!$C:$C,MATCH("เซฟตี้ตาแมว (บังคับช่างแซก)",ราคาออโต้!$B:$B,0))</f>
        <v>1000</v>
      </c>
    </row>
    <row r="57" spans="1:7" x14ac:dyDescent="0.35">
      <c r="A57" s="157" t="s">
        <v>1309</v>
      </c>
      <c r="B57" s="155"/>
      <c r="C57" s="155"/>
      <c r="D57" s="158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20" t="s">
        <v>1310</v>
      </c>
      <c r="G57" s="20">
        <f>INDEX(ราคาออโต้!$C:$C,MATCH("ราง ช่างแซก",ราคาออโต้!$B:$B,0))</f>
        <v>950</v>
      </c>
    </row>
    <row r="58" spans="1:7" x14ac:dyDescent="0.35">
      <c r="F58" s="20" t="s">
        <v>1311</v>
      </c>
      <c r="G58" s="20">
        <f>INDEX(ราคาออโต้!$C:$C,MATCH("ออป Touch Switch (ช่างแซก)",ราคาออโต้!$B:$B,0))</f>
        <v>1000</v>
      </c>
    </row>
    <row r="59" spans="1:7" x14ac:dyDescent="0.35">
      <c r="F59" s="20" t="s">
        <v>1312</v>
      </c>
      <c r="G59" s="20">
        <f>INDEX(ราคาออโต้!$C:$C,MATCH("ออป Infrared (ช่างแซก)",ราคาออโต้!$B:$B,0))</f>
        <v>9000</v>
      </c>
    </row>
  </sheetData>
  <mergeCells count="1">
    <mergeCell ref="A1:D1"/>
  </mergeCells>
  <dataValidations count="9">
    <dataValidation type="list" sqref="B5" xr:uid="{00000000-0002-0000-0D00-000000000000}">
      <formula1>"อิสระ,ลากจูง,เปิดคู่กลาง"</formula1>
      <formula2>0</formula2>
    </dataValidation>
    <dataValidation type="list" sqref="B9" xr:uid="{00000000-0002-0000-0D00-000001000000}">
      <formula1>GlassNames</formula1>
      <formula2>0</formula2>
    </dataValidation>
    <dataValidation type="list" sqref="F9" xr:uid="{00000000-0002-0000-0D00-000002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sqref="F7" xr:uid="{00000000-0002-0000-0D00-000003000000}">
      <formula1>"ภายนอก,ภายใน"</formula1>
      <formula2>0</formula2>
    </dataValidation>
    <dataValidation type="list" allowBlank="1" sqref="B51 B53:B55" xr:uid="{00000000-0002-0000-0D00-000004000000}">
      <formula1>"มี,ไม่มี"</formula1>
    </dataValidation>
    <dataValidation type="list" allowBlank="1" sqref="B52" xr:uid="{00000000-0002-0000-0D00-000005000000}">
      <formula1>"Evecca (จีน),ช่างแซก"</formula1>
    </dataValidation>
    <dataValidation type="list" allowBlank="1" sqref="B34" xr:uid="{00000000-0002-0000-0D00-000009000000}">
      <formula1>MungList</formula1>
    </dataValidation>
    <dataValidation type="list" allowBlank="1" sqref="B35" xr:uid="{00000000-0002-0000-0D00-00000A000000}">
      <formula1>ClothList</formula1>
    </dataValidation>
    <dataValidation type="list" allowBlank="1" sqref="C35" xr:uid="{00000000-0002-0000-0D00-00000B000000}">
      <formula1>"เทา,ดำ"</formula1>
    </dataValidation>
  </dataValidations>
  <hyperlinks>
    <hyperlink ref="G1" location="'สารบัญ'!A1" display="🏠 สารบัญ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K82"/>
  <sheetViews>
    <sheetView showGridLines="0" zoomScaleNormal="100" workbookViewId="0">
      <pane ySplit="10" topLeftCell="A11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5.90625" customWidth="1"/>
    <col min="3" max="3" width="16.90625" customWidth="1"/>
    <col min="4" max="4" width="43.08984375" customWidth="1"/>
    <col min="5" max="5" width="46" customWidth="1"/>
    <col min="6" max="6" width="19.08984375" customWidth="1"/>
    <col min="7" max="8" width="13" customWidth="1"/>
  </cols>
  <sheetData>
    <row r="1" spans="1:8" ht="24" customHeight="1" x14ac:dyDescent="0.35">
      <c r="A1" s="437" t="s">
        <v>1313</v>
      </c>
      <c r="B1" s="411"/>
      <c r="C1" s="411"/>
      <c r="D1" s="411"/>
      <c r="E1" s="319"/>
      <c r="G1" s="388" t="s">
        <v>78</v>
      </c>
      <c r="H1" s="389"/>
    </row>
    <row r="2" spans="1:8" ht="15" customHeight="1" x14ac:dyDescent="0.35">
      <c r="A2" s="31" t="s">
        <v>1236</v>
      </c>
      <c r="B2" s="32">
        <v>600</v>
      </c>
      <c r="E2" s="51" t="s">
        <v>1237</v>
      </c>
      <c r="F2" s="73">
        <f>IF(B5="อิสระ",B4,IF(B5="ลากจูง",B4-1,B4-2))</f>
        <v>3</v>
      </c>
    </row>
    <row r="3" spans="1:8" ht="15" customHeight="1" x14ac:dyDescent="0.35">
      <c r="A3" s="31" t="s">
        <v>1238</v>
      </c>
      <c r="B3" s="32">
        <v>300</v>
      </c>
      <c r="E3" s="51" t="s">
        <v>1239</v>
      </c>
      <c r="F3" s="73">
        <f>IF(B5="ลากจูง",1,2)</f>
        <v>2</v>
      </c>
    </row>
    <row r="4" spans="1:8" ht="15" customHeight="1" x14ac:dyDescent="0.35">
      <c r="A4" s="31" t="s">
        <v>1240</v>
      </c>
      <c r="B4" s="32">
        <v>3</v>
      </c>
      <c r="E4" s="51" t="s">
        <v>1241</v>
      </c>
      <c r="F4" s="73">
        <f>IF(B5="อิสระ",2,1)</f>
        <v>2</v>
      </c>
    </row>
    <row r="5" spans="1:8" ht="15" customHeight="1" x14ac:dyDescent="0.35">
      <c r="A5" s="31" t="s">
        <v>1242</v>
      </c>
      <c r="B5" s="43" t="s">
        <v>1243</v>
      </c>
      <c r="E5" s="51" t="s">
        <v>1244</v>
      </c>
      <c r="F5" s="73">
        <f>IF(B5="เปิดคู่กลาง",4,2)</f>
        <v>2</v>
      </c>
    </row>
    <row r="6" spans="1:8" ht="15" customHeight="1" x14ac:dyDescent="0.35">
      <c r="A6" s="51" t="s">
        <v>1245</v>
      </c>
      <c r="B6" s="52">
        <f>(B2/100)*(B3/100)</f>
        <v>18</v>
      </c>
      <c r="E6" s="51" t="s">
        <v>1246</v>
      </c>
      <c r="F6" s="73">
        <f>IF(B5="เปิดคู่กลาง",B4-2,B4-1)</f>
        <v>2</v>
      </c>
    </row>
    <row r="7" spans="1:8" ht="15" customHeight="1" x14ac:dyDescent="0.35">
      <c r="A7" s="31" t="s">
        <v>1247</v>
      </c>
      <c r="B7" s="43">
        <v>100</v>
      </c>
      <c r="E7" s="30" t="s">
        <v>1248</v>
      </c>
      <c r="F7" s="27" t="s">
        <v>1249</v>
      </c>
    </row>
    <row r="8" spans="1:8" ht="15" customHeight="1" x14ac:dyDescent="0.35">
      <c r="A8" s="31" t="s">
        <v>1250</v>
      </c>
      <c r="B8" s="32">
        <v>90</v>
      </c>
    </row>
    <row r="9" spans="1:8" ht="15" customHeight="1" x14ac:dyDescent="0.35">
      <c r="A9" s="30" t="s">
        <v>1251</v>
      </c>
      <c r="B9" s="27" t="s">
        <v>778</v>
      </c>
      <c r="C9" s="53">
        <f>INDEX(ราคาวัสดุกลาง!$I$2:$I$106,MATCH(B9,ราคาวัสดุกลาง!$H$2:$H$106,0))</f>
        <v>264</v>
      </c>
      <c r="D9" s="30" t="s">
        <v>1252</v>
      </c>
      <c r="E9" s="30" t="s">
        <v>1253</v>
      </c>
      <c r="F9" s="27" t="s">
        <v>1254</v>
      </c>
      <c r="G9" s="30">
        <f>IF(F9="สีอบขาว/ดำ",180,IF(F9="เทาซาฮาร่า",ROUND(180*1.09,0),IF(F9="ลายไม้ stock",ROUND(180*1.6,0),IF(F9="สีอบพิเศษ",140,160))))</f>
        <v>180</v>
      </c>
    </row>
    <row r="10" spans="1:8" ht="23.25" customHeight="1" x14ac:dyDescent="0.35">
      <c r="A10" s="54" t="s">
        <v>482</v>
      </c>
      <c r="B10" s="54" t="s">
        <v>1255</v>
      </c>
      <c r="C10" s="54" t="s">
        <v>1256</v>
      </c>
      <c r="D10" s="54" t="s">
        <v>1257</v>
      </c>
    </row>
    <row r="11" spans="1:8" ht="15" customHeight="1" x14ac:dyDescent="0.35">
      <c r="A11" s="33" t="s">
        <v>1314</v>
      </c>
      <c r="B11" s="55">
        <f>ROUNDUP((2*(B3/100)*B4+2*(B2/100))/6.4,0)</f>
        <v>5</v>
      </c>
      <c r="C11" s="56">
        <f>IF(F9="สีอบขาว/ดำ",1445,IF(F9="เทาซาฮาร่า",VLOOKUP("F7980",ราคาสี!$A:$F,5,0),IF(F9="ลายไม้ stock",(VLOOKUP("F7980",ราคาสี!$A:$F,6,0)*mult_wood/mult_euro),1445+IF(F9="สีอบพิเศษ",rate_special,rate_woodbake)*7.81081)))</f>
        <v>1445</v>
      </c>
      <c r="D11" s="47">
        <f t="shared" ref="D11:D25" si="0">B11*C11*mult_euro</f>
        <v>7225</v>
      </c>
    </row>
    <row r="12" spans="1:8" ht="15" customHeight="1" x14ac:dyDescent="0.35">
      <c r="A12" s="33" t="s">
        <v>1187</v>
      </c>
      <c r="B12" s="55">
        <f>ROUNDUP((2*(B3/100)*B4+2*(B2/100))/6.4,0)</f>
        <v>5</v>
      </c>
      <c r="C12" s="56">
        <f>IF(F9="สีอบขาว/ดำ",200,IF(F9="เทาซาฮาร่า",VLOOKUP("F7919",ราคาสี!$A:$F,5,0),IF(F9="ลายไม้ stock",(VLOOKUP("F7919",ราคาสี!$A:$F,6,0)*mult_wood/mult_euro),200+IF(F9="สีอบพิเศษ",rate_special,rate_woodbake)*1.08108)))</f>
        <v>200</v>
      </c>
      <c r="D12" s="47">
        <f t="shared" si="0"/>
        <v>1000</v>
      </c>
    </row>
    <row r="13" spans="1:8" ht="15" customHeight="1" x14ac:dyDescent="0.35">
      <c r="A13" s="33" t="s">
        <v>1140</v>
      </c>
      <c r="B13" s="55">
        <f>ROUNDUP((B2/100)/6.4,0)</f>
        <v>1</v>
      </c>
      <c r="C13" s="56">
        <f>IF(F9="สีอบขาว/ดำ",2615,IF(F9="เทาซาฮาร่า",VLOOKUP("F7869",ราคาสี!$A:$F,5,0),IF(F9="ลายไม้ stock",(VLOOKUP("F7869",ราคาสี!$A:$F,6,0)*mult_wood/mult_euro),2615+IF(F9="สีอบพิเศษ",rate_special,rate_woodbake)*14.13514)))</f>
        <v>2615</v>
      </c>
      <c r="D13" s="47">
        <f t="shared" si="0"/>
        <v>2615</v>
      </c>
    </row>
    <row r="14" spans="1:8" ht="15" customHeight="1" x14ac:dyDescent="0.35">
      <c r="A14" s="33" t="s">
        <v>1315</v>
      </c>
      <c r="B14" s="55">
        <f>ROUNDUP((B2/100)/6.4,0)</f>
        <v>1</v>
      </c>
      <c r="C14" s="56">
        <f>IF(F9="สีอบขาว/ดำ",2615,IF(F9="เทาซาฮาร่า",VLOOKUP("F7869",ราคาสี!$A:$F,5,0),IF(F9="ลายไม้ stock",(VLOOKUP("F7869",ราคาสี!$A:$F,6,0)*mult_wood/mult_euro),2615+IF(F9="สีอบพิเศษ",rate_special,rate_woodbake)*14.13514)))</f>
        <v>2615</v>
      </c>
      <c r="D14" s="47">
        <f t="shared" si="0"/>
        <v>2615</v>
      </c>
    </row>
    <row r="15" spans="1:8" ht="15" customHeight="1" x14ac:dyDescent="0.35">
      <c r="A15" s="33" t="s">
        <v>1141</v>
      </c>
      <c r="B15" s="55">
        <f>ROUNDUP(2*(B3/100)/6.4,0)</f>
        <v>1</v>
      </c>
      <c r="C15" s="56">
        <f>IF(F9="สีอบขาว/ดำ",935,IF(F9="เทาซาฮาร่า",VLOOKUP("F7978",ราคาสี!$A:$F,5,0),IF(F9="ลายไม้ stock",(VLOOKUP("F7978",ราคาสี!$A:$F,6,0)*mult_wood/mult_euro),935+IF(F9="สีอบพิเศษ",rate_special,rate_woodbake)*5.05405)))</f>
        <v>935</v>
      </c>
      <c r="D15" s="47">
        <f t="shared" si="0"/>
        <v>935</v>
      </c>
    </row>
    <row r="16" spans="1:8" ht="15" customHeight="1" x14ac:dyDescent="0.35">
      <c r="A16" s="33" t="s">
        <v>1316</v>
      </c>
      <c r="B16" s="55">
        <f>1</f>
        <v>1</v>
      </c>
      <c r="C16" s="56">
        <f>IF(F9="สีอบขาว/ดำ",285,IF(F9="เทาซาฮาร่า",VLOOKUP("F7986",ราคาสี!$A:$F,5,0),IF(F9="ลายไม้ stock",(VLOOKUP("F7986",ราคาสี!$A:$F,6,0)*mult_wood/mult_euro),285+IF(F9="สีอบพิเศษ",rate_special,rate_woodbake)*1.54054)))</f>
        <v>285</v>
      </c>
      <c r="D16" s="47">
        <f t="shared" si="0"/>
        <v>285</v>
      </c>
    </row>
    <row r="17" spans="1:4" ht="15" customHeight="1" x14ac:dyDescent="0.35">
      <c r="A17" s="33" t="s">
        <v>1190</v>
      </c>
      <c r="B17" s="55">
        <f>IF(B5="เปิดคู่กลาง",2,B4-1)</f>
        <v>2</v>
      </c>
      <c r="C17" s="56">
        <f>IF(F9="สีอบขาว/ดำ",465,IF(F9="เทาซาฮาร่า",VLOOKUP("F7983",ราคาสี!$A:$F,5,0),IF(F9="ลายไม้ stock",(VLOOKUP("F7983",ราคาสี!$A:$F,6,0)*mult_wood/mult_euro),465+IF(F9="สีอบพิเศษ",rate_special,rate_woodbake)*2.51351)))</f>
        <v>465</v>
      </c>
      <c r="D17" s="47">
        <f t="shared" si="0"/>
        <v>930</v>
      </c>
    </row>
    <row r="18" spans="1:4" ht="15" customHeight="1" x14ac:dyDescent="0.35">
      <c r="A18" s="33" t="s">
        <v>1317</v>
      </c>
      <c r="B18" s="55">
        <f>IF((B3/100)&gt;=3,$F$6,0)</f>
        <v>2</v>
      </c>
      <c r="C18" s="56">
        <f>IF(F9="สีอบขาว/ดำ",2020,IF(F9="เทาซาฮาร่า",VLOOKUP("F7951",ราคาสี!$A:$F,5,0),IF(F9="ลายไม้ stock",(VLOOKUP("F7951",ราคาสี!$A:$F,6,0)*mult_wood/mult_euro),2020+IF(F9="สีอบพิเศษ",rate_special,rate_woodbake)*10.91892)))</f>
        <v>2020</v>
      </c>
      <c r="D18" s="47">
        <f t="shared" si="0"/>
        <v>4040</v>
      </c>
    </row>
    <row r="19" spans="1:4" ht="15" customHeight="1" x14ac:dyDescent="0.35">
      <c r="A19" s="33" t="s">
        <v>1318</v>
      </c>
      <c r="B19" s="55">
        <f>2*MAX(B4-1,0)</f>
        <v>4</v>
      </c>
      <c r="C19" s="56">
        <f>IF(F9="สีอบขาว/ดำ",120,IF(F9="เทาซาฮาร่า",VLOOKUP("F7988",ราคาสี!$A:$F,5,0),IF(F9="ลายไม้ stock",(VLOOKUP("F7988",ราคาสี!$A:$F,6,0)*mult_wood/mult_euro),120+IF(F9="สีอบพิเศษ",rate_special,rate_woodbake)*0.66667)))</f>
        <v>120</v>
      </c>
      <c r="D19" s="47">
        <f t="shared" si="0"/>
        <v>480</v>
      </c>
    </row>
    <row r="20" spans="1:4" ht="15" customHeight="1" x14ac:dyDescent="0.35">
      <c r="A20" s="33" t="s">
        <v>1319</v>
      </c>
      <c r="B20" s="55">
        <f>ROUNDUP($F$2*(B2/100)/6.4,0)</f>
        <v>3</v>
      </c>
      <c r="C20" s="56">
        <f>IF(F9="สีอบขาว/ดำ",120,IF(F9="เทาซาฮาร่า",VLOOKUP("F7993",ราคาสี!$A:$F,5,0),IF(F9="ลายไม้ stock",(VLOOKUP("F7993",ราคาสี!$A:$F,6,0)*mult_wood/mult_euro),120+IF(F9="สีอบพิเศษ",rate_special,rate_woodbake)*0.66667)))</f>
        <v>120</v>
      </c>
      <c r="D20" s="47">
        <f t="shared" si="0"/>
        <v>360</v>
      </c>
    </row>
    <row r="21" spans="1:4" ht="15" customHeight="1" x14ac:dyDescent="0.35">
      <c r="A21" s="33" t="s">
        <v>1320</v>
      </c>
      <c r="B21" s="55">
        <f>ROUNDUP($F$2*(B2/100)/6.4,0)</f>
        <v>3</v>
      </c>
      <c r="C21" s="56">
        <f>IF(F9="สีอบขาว/ดำ",150,IF(F9="เทาซาฮาร่า",VLOOKUP("F7994",ราคาสี!$A:$F,5,0),IF(F9="ลายไม้ stock",(VLOOKUP("F7994",ราคาสี!$A:$F,6,0)*mult_wood/mult_euro),150+IF(F9="สีอบพิเศษ",rate_special,rate_woodbake)*0.83333)))</f>
        <v>150</v>
      </c>
      <c r="D21" s="47">
        <f t="shared" si="0"/>
        <v>450</v>
      </c>
    </row>
    <row r="22" spans="1:4" ht="15" customHeight="1" x14ac:dyDescent="0.35">
      <c r="A22" s="33" t="s">
        <v>1321</v>
      </c>
      <c r="B22" s="55">
        <f>1</f>
        <v>1</v>
      </c>
      <c r="C22" s="56">
        <f>IF(F9="สีอบขาว/ดำ",505,IF(F9="เทาซาฮาร่า",VLOOKUP("F7992",ราคาสี!$A:$F,5,0),IF(F9="ลายไม้ stock",(VLOOKUP("F7992",ราคาสี!$A:$F,6,0)*mult_wood/mult_euro),505+IF(F9="สีอบพิเศษ",rate_special,rate_woodbake)*2.72973)))</f>
        <v>505</v>
      </c>
      <c r="D22" s="47">
        <f t="shared" si="0"/>
        <v>505</v>
      </c>
    </row>
    <row r="23" spans="1:4" ht="15" customHeight="1" x14ac:dyDescent="0.35">
      <c r="A23" s="33" t="s">
        <v>1322</v>
      </c>
      <c r="B23" s="55">
        <f>IF(B5="เปิดคู่กลาง",1,0)</f>
        <v>0</v>
      </c>
      <c r="C23" s="56">
        <f>IF(F9="สีอบขาว/ดำ",1230,IF(F9="เทาซาฮาร่า",VLOOKUP("F7855",ราคาสี!$A:$F,5,0),IF(F9="ลายไม้ stock",(VLOOKUP("F7855",ราคาสี!$A:$F,6,0)*mult_wood/mult_euro),1230+IF(F9="สีอบพิเศษ",rate_special,rate_woodbake)*6.64865)))</f>
        <v>1230</v>
      </c>
      <c r="D23" s="47">
        <f t="shared" si="0"/>
        <v>0</v>
      </c>
    </row>
    <row r="24" spans="1:4" ht="15" customHeight="1" x14ac:dyDescent="0.35">
      <c r="A24" s="33" t="s">
        <v>1203</v>
      </c>
      <c r="B24" s="55">
        <f>IF(B5="เปิดคู่กลาง",2,0)</f>
        <v>0</v>
      </c>
      <c r="C24" s="56">
        <f>IF(F9="สีอบขาว/ดำ",345,IF(F9="เทาซาฮาร่า",VLOOKUP("F7880",ราคาสี!$A:$F,5,0),IF(F9="ลายไม้ stock",(VLOOKUP("F7880",ราคาสี!$A:$F,6,0)*mult_wood/mult_euro),345+IF(F9="สีอบพิเศษ",rate_special,rate_woodbake)*1.86486)))</f>
        <v>345</v>
      </c>
      <c r="D24" s="47">
        <f t="shared" si="0"/>
        <v>0</v>
      </c>
    </row>
    <row r="25" spans="1:4" ht="15" customHeight="1" x14ac:dyDescent="0.35">
      <c r="A25" s="33" t="s">
        <v>1204</v>
      </c>
      <c r="B25" s="55">
        <f>IF(B5="เปิดคู่กลาง",2,0)</f>
        <v>0</v>
      </c>
      <c r="C25" s="56">
        <f>IF(F9="สีอบขาว/ดำ",355,IF(F9="เทาซาฮาร่า",VLOOKUP("F7879",ราคาสี!$A:$F,5,0),IF(F9="ลายไม้ stock",(VLOOKUP("F7879",ราคาสี!$A:$F,6,0)*mult_wood/mult_euro),355+IF(F9="สีอบพิเศษ",rate_special,rate_woodbake)*1.91892)))</f>
        <v>355</v>
      </c>
      <c r="D25" s="47">
        <f t="shared" si="0"/>
        <v>0</v>
      </c>
    </row>
    <row r="26" spans="1:4" ht="15" customHeight="1" x14ac:dyDescent="0.35">
      <c r="A26" s="33" t="s">
        <v>1259</v>
      </c>
      <c r="B26" s="55">
        <f>((B2/100)+(B4-1)*0.1)*(B3/100)</f>
        <v>18.600000000000001</v>
      </c>
      <c r="C26" s="56">
        <f>INDEX(ราคาวัสดุกลาง!$I$2:$I$106,MATCH(B9,ราคาวัสดุกลาง!$H$2:$H$106,0))</f>
        <v>264</v>
      </c>
      <c r="D26" s="47">
        <f t="shared" ref="D26:D35" si="1">B26*C26</f>
        <v>4910.4000000000005</v>
      </c>
    </row>
    <row r="27" spans="1:4" ht="15" customHeight="1" x14ac:dyDescent="0.35">
      <c r="A27" s="33" t="s">
        <v>1260</v>
      </c>
      <c r="B27" s="55">
        <f>2*$F$2</f>
        <v>6</v>
      </c>
      <c r="C27" s="56">
        <v>80</v>
      </c>
      <c r="D27" s="47">
        <f t="shared" si="1"/>
        <v>480</v>
      </c>
    </row>
    <row r="28" spans="1:4" ht="15" customHeight="1" x14ac:dyDescent="0.35">
      <c r="A28" s="33" t="s">
        <v>1261</v>
      </c>
      <c r="B28" s="55">
        <f>2*$F$3</f>
        <v>4</v>
      </c>
      <c r="C28" s="56">
        <v>99</v>
      </c>
      <c r="D28" s="47">
        <f t="shared" si="1"/>
        <v>396</v>
      </c>
    </row>
    <row r="29" spans="1:4" ht="15" customHeight="1" x14ac:dyDescent="0.35">
      <c r="A29" s="33" t="s">
        <v>1262</v>
      </c>
      <c r="B29" s="55">
        <f>$F$4</f>
        <v>2</v>
      </c>
      <c r="C29" s="56">
        <v>189</v>
      </c>
      <c r="D29" s="47">
        <f t="shared" si="1"/>
        <v>378</v>
      </c>
    </row>
    <row r="30" spans="1:4" ht="15" customHeight="1" x14ac:dyDescent="0.35">
      <c r="A30" s="33" t="s">
        <v>1323</v>
      </c>
      <c r="B30" s="55">
        <f>8*B4</f>
        <v>24</v>
      </c>
      <c r="C30" s="56">
        <v>2</v>
      </c>
      <c r="D30" s="47">
        <f t="shared" si="1"/>
        <v>48</v>
      </c>
    </row>
    <row r="31" spans="1:4" ht="15" customHeight="1" x14ac:dyDescent="0.35">
      <c r="A31" s="33" t="s">
        <v>1324</v>
      </c>
      <c r="B31" s="55">
        <f>4*B4</f>
        <v>12</v>
      </c>
      <c r="C31" s="56">
        <v>29</v>
      </c>
      <c r="D31" s="47">
        <f t="shared" si="1"/>
        <v>348</v>
      </c>
    </row>
    <row r="32" spans="1:4" ht="15" customHeight="1" x14ac:dyDescent="0.35">
      <c r="A32" s="33" t="s">
        <v>1263</v>
      </c>
      <c r="B32" s="55">
        <f>6*(B3/100)+9*(B2/100)+2*($F$5+$F$6)*(B3/100)</f>
        <v>96</v>
      </c>
      <c r="C32" s="56">
        <v>1.5</v>
      </c>
      <c r="D32" s="47">
        <f t="shared" si="1"/>
        <v>144</v>
      </c>
    </row>
    <row r="33" spans="1:5" ht="15" customHeight="1" x14ac:dyDescent="0.35">
      <c r="A33" s="33" t="s">
        <v>1264</v>
      </c>
      <c r="B33" s="55">
        <f>8+4*B4</f>
        <v>20</v>
      </c>
      <c r="C33" s="56">
        <v>1</v>
      </c>
      <c r="D33" s="47">
        <f t="shared" si="1"/>
        <v>20</v>
      </c>
    </row>
    <row r="34" spans="1:5" ht="15" customHeight="1" x14ac:dyDescent="0.35">
      <c r="A34" s="33" t="s">
        <v>1265</v>
      </c>
      <c r="B34" s="55">
        <f>ROUNDUP(2*((B2/100)+(B3/100))*2/12.5,0)</f>
        <v>3</v>
      </c>
      <c r="C34" s="56">
        <f>B8</f>
        <v>90</v>
      </c>
      <c r="D34" s="47">
        <f t="shared" si="1"/>
        <v>270</v>
      </c>
    </row>
    <row r="35" spans="1:5" ht="15" customHeight="1" x14ac:dyDescent="0.35">
      <c r="A35" s="57" t="s">
        <v>1266</v>
      </c>
      <c r="B35" s="57">
        <f>IF(OR(F9="สีอบพิเศษ",F9="สีลายไม้อบพิเศษ"),1,0)</f>
        <v>0</v>
      </c>
      <c r="C35" s="53">
        <v>2000</v>
      </c>
      <c r="D35" s="53">
        <f t="shared" si="1"/>
        <v>0</v>
      </c>
      <c r="E35" s="57" t="s">
        <v>1267</v>
      </c>
    </row>
    <row r="36" spans="1:5" ht="15" customHeight="1" x14ac:dyDescent="0.35">
      <c r="A36" s="58" t="s">
        <v>1268</v>
      </c>
      <c r="D36" s="59">
        <f>SUM(D11:D35)+D57+D64+D65+D66+D67</f>
        <v>28434.400000000001</v>
      </c>
    </row>
    <row r="37" spans="1:5" ht="15" customHeight="1" x14ac:dyDescent="0.35">
      <c r="A37" s="58" t="s">
        <v>1125</v>
      </c>
      <c r="D37" s="59">
        <f>IFERROR(D36/B6,0)</f>
        <v>1579.6888888888889</v>
      </c>
    </row>
    <row r="38" spans="1:5" ht="15" customHeight="1" x14ac:dyDescent="0.35">
      <c r="A38" s="60" t="s">
        <v>1271</v>
      </c>
      <c r="D38" s="61">
        <f>ROUNDUP(D36*(1+B7/100)/100,0)*100</f>
        <v>56900</v>
      </c>
    </row>
    <row r="39" spans="1:5" ht="15" customHeight="1" x14ac:dyDescent="0.35">
      <c r="A39" s="62" t="s">
        <v>1273</v>
      </c>
      <c r="D39" s="63">
        <f>IFERROR((D38-D36)/D36,0)</f>
        <v>1.0010972624708099</v>
      </c>
    </row>
    <row r="40" spans="1:5" ht="15" customHeight="1" x14ac:dyDescent="0.35">
      <c r="A40" s="69" t="s">
        <v>1275</v>
      </c>
      <c r="D40" s="28">
        <f>D38</f>
        <v>56900</v>
      </c>
    </row>
    <row r="42" spans="1:5" x14ac:dyDescent="0.35">
      <c r="A42" s="25" t="s">
        <v>1289</v>
      </c>
    </row>
    <row r="43" spans="1:5" x14ac:dyDescent="0.35">
      <c r="A43" s="64" t="s">
        <v>1290</v>
      </c>
      <c r="D43" s="26">
        <f>MAX(0,VLOOKUP("บานเลื่อน ยูโร",ค่าแรง!$A$12:$E$27,2,0)+VLOOKUP("บานเลื่อน ยูโร",ค่าแรง!$A$12:$E$27,3,0)*B6)</f>
        <v>805.2</v>
      </c>
    </row>
    <row r="44" spans="1:5" x14ac:dyDescent="0.35">
      <c r="A44" s="64" t="s">
        <v>1291</v>
      </c>
      <c r="D44" s="26">
        <f>MAX(0,VLOOKUP("บานเลื่อน ยูโร",ค่าแรง!$A$12:$E$27,4,0)+VLOOKUP("บานเลื่อน ยูโร",ค่าแรง!$A$12:$E$27,5,0)*B6)</f>
        <v>717.2</v>
      </c>
    </row>
    <row r="45" spans="1:5" x14ac:dyDescent="0.35">
      <c r="A45" s="64" t="s">
        <v>1292</v>
      </c>
      <c r="B45" s="27">
        <v>100</v>
      </c>
    </row>
    <row r="46" spans="1:5" x14ac:dyDescent="0.35">
      <c r="A46" s="25" t="s">
        <v>1293</v>
      </c>
      <c r="D46" s="28">
        <f>ROUNDUP((D36+D43+D68)*(1+B7/100)/100,0)*100</f>
        <v>58500</v>
      </c>
    </row>
    <row r="47" spans="1:5" x14ac:dyDescent="0.35">
      <c r="A47" s="25" t="s">
        <v>1294</v>
      </c>
      <c r="D47" s="28">
        <f>D46+ROUNDUP((D44+D69)*(1+B45/100)/100,0)*100</f>
        <v>60000</v>
      </c>
    </row>
    <row r="48" spans="1:5" x14ac:dyDescent="0.35">
      <c r="A48" s="25" t="s">
        <v>1295</v>
      </c>
      <c r="D48" s="29">
        <f>(D47-(D36+D43+D44+D68+D69))/(D36+D43+D44+D68+D69)</f>
        <v>1.0028841531805799</v>
      </c>
    </row>
    <row r="50" spans="1:8" x14ac:dyDescent="0.35">
      <c r="A50" s="154" t="s">
        <v>1325</v>
      </c>
      <c r="B50" s="155"/>
      <c r="C50" s="155"/>
      <c r="D50" s="155"/>
    </row>
    <row r="51" spans="1:8" x14ac:dyDescent="0.35">
      <c r="A51" s="20" t="s">
        <v>1297</v>
      </c>
      <c r="B51" s="156" t="s">
        <v>1298</v>
      </c>
      <c r="C51" s="155"/>
      <c r="D51" s="155"/>
      <c r="F51" s="20" t="s">
        <v>1299</v>
      </c>
      <c r="G51" s="20">
        <f>INDEX(ราคาออโต้!$C:$C,MATCH("Evecca (จีน)",ราคาออโต้!$B:$B,0))</f>
        <v>13480</v>
      </c>
    </row>
    <row r="52" spans="1:8" x14ac:dyDescent="0.35">
      <c r="A52" s="20" t="s">
        <v>1300</v>
      </c>
      <c r="B52" s="156" t="s">
        <v>562</v>
      </c>
      <c r="C52" s="155"/>
      <c r="D52" s="155"/>
      <c r="F52" s="20" t="s">
        <v>1301</v>
      </c>
      <c r="G52" s="20">
        <f>INDEX(ราคาออโต้!$C:$C,MATCH("สายพาน Evecca",ราคาออโต้!$B:$B,0))</f>
        <v>75</v>
      </c>
    </row>
    <row r="53" spans="1:8" x14ac:dyDescent="0.35">
      <c r="A53" s="20" t="s">
        <v>1302</v>
      </c>
      <c r="B53" s="156" t="s">
        <v>1298</v>
      </c>
      <c r="C53" s="155"/>
      <c r="D53" s="155"/>
      <c r="F53" s="20" t="s">
        <v>1303</v>
      </c>
      <c r="G53" s="20">
        <f>INDEX(ราคาออโต้!$D:$D,MATCH("Evecca (จีน)",ราคาออโต้!$B:$B,0))</f>
        <v>1700</v>
      </c>
    </row>
    <row r="54" spans="1:8" x14ac:dyDescent="0.35">
      <c r="A54" s="20" t="s">
        <v>1304</v>
      </c>
      <c r="B54" s="156" t="s">
        <v>1298</v>
      </c>
      <c r="C54" s="155"/>
      <c r="D54" s="155"/>
      <c r="F54" s="20" t="s">
        <v>1305</v>
      </c>
      <c r="G54" s="20">
        <f>INDEX(ราคาออโต้!$C:$C,MATCH("ออป Smart lock",ราคาออโต้!$B:$B,0))</f>
        <v>6500</v>
      </c>
    </row>
    <row r="55" spans="1:8" x14ac:dyDescent="0.35">
      <c r="A55" s="20" t="s">
        <v>1306</v>
      </c>
      <c r="B55" s="156" t="s">
        <v>1298</v>
      </c>
      <c r="C55" s="155"/>
      <c r="D55" s="155"/>
      <c r="F55" s="20" t="s">
        <v>1307</v>
      </c>
      <c r="G55" s="20">
        <f>INDEX(ราคาออโต้!$C:$C,MATCH("ช่างแซก",ราคาออโต้!$B:$B,0))</f>
        <v>8000</v>
      </c>
    </row>
    <row r="56" spans="1:8" x14ac:dyDescent="0.35">
      <c r="A56" s="155"/>
      <c r="B56" s="155"/>
      <c r="C56" s="155"/>
      <c r="D56" s="155"/>
      <c r="F56" s="20" t="s">
        <v>1308</v>
      </c>
      <c r="G56" s="20">
        <f>INDEX(ราคาออโต้!$C:$C,MATCH("เซฟตี้ตาแมว (บังคับช่างแซก)",ราคาออโต้!$B:$B,0))</f>
        <v>1000</v>
      </c>
    </row>
    <row r="57" spans="1:8" x14ac:dyDescent="0.35">
      <c r="A57" s="157" t="s">
        <v>1309</v>
      </c>
      <c r="B57" s="155"/>
      <c r="C57" s="155"/>
      <c r="D57" s="158">
        <f>IF(B51="ไม่มี",0,IF(B52="Evecca (จีน)",G51+ROUND(G52*B2*2/100,0)+G53+IF(B53="มี",G54,0),(G55+G56+ROUND(G57*B2/100,0)+IF(B54="มี",G58,0)+IF(B55="มี",G59,0))*IF(B5="เปิดคู่กลาง",1,MIN(B4,3))))</f>
        <v>0</v>
      </c>
      <c r="F57" s="20" t="s">
        <v>1310</v>
      </c>
      <c r="G57" s="20">
        <f>INDEX(ราคาออโต้!$C:$C,MATCH("ราง ช่างแซก",ราคาออโต้!$B:$B,0))</f>
        <v>950</v>
      </c>
    </row>
    <row r="58" spans="1:8" x14ac:dyDescent="0.35">
      <c r="F58" s="20" t="s">
        <v>1311</v>
      </c>
      <c r="G58" s="20">
        <f>INDEX(ราคาออโต้!$C:$C,MATCH("ออป Touch Switch (ช่างแซก)",ราคาออโต้!$B:$B,0))</f>
        <v>1000</v>
      </c>
    </row>
    <row r="59" spans="1:8" x14ac:dyDescent="0.35">
      <c r="F59" s="20" t="s">
        <v>1312</v>
      </c>
      <c r="G59" s="20">
        <f>INDEX(ราคาออโต้!$C:$C,MATCH("ออป Infrared (ช่างแซก)",ราคาออโต้!$B:$B,0))</f>
        <v>9000</v>
      </c>
    </row>
    <row r="61" spans="1:8" x14ac:dyDescent="0.35">
      <c r="A61" s="233" t="s">
        <v>1277</v>
      </c>
    </row>
    <row r="62" spans="1:8" x14ac:dyDescent="0.35">
      <c r="A62" s="25" t="s">
        <v>1279</v>
      </c>
      <c r="B62" s="287" t="s">
        <v>670</v>
      </c>
      <c r="C62" s="288" t="str">
        <f>IF(B62="ไม่มีมุ้ง","—",IF(H63=1,"✓ ใช้ได้","⚠ ใช้กับบานนี้ไม่ได้(ทุน=0)"))</f>
        <v>—</v>
      </c>
      <c r="D62" s="288" t="str">
        <f>IF(B62="ไม่มีมุ้ง","",H68&amp;" บาน")</f>
        <v/>
      </c>
      <c r="H62" s="289" t="str">
        <f>IFERROR(VLOOKUP(B62,ราคามุ้ง!$A$2:$O$15,3,0),"")</f>
        <v/>
      </c>
    </row>
    <row r="63" spans="1:8" x14ac:dyDescent="0.35">
      <c r="A63" s="30" t="s">
        <v>1280</v>
      </c>
      <c r="B63" s="287" t="s">
        <v>682</v>
      </c>
      <c r="C63" s="287" t="s">
        <v>1281</v>
      </c>
      <c r="H63" s="289">
        <f>IF(B62="ไม่มีมุ้ง",0,IF(OR(IFERROR(VLOOKUP(B62,ราคามุ้ง!$A$2:$O$15,4,0),"ALL")="ALL",ISNUMBER(SEARCH("ยูโร",IFERROR(VLOOKUP(B62,ราคามุ้ง!$A$2:$O$15,4,0),"")))),1,0))</f>
        <v>0</v>
      </c>
    </row>
    <row r="64" spans="1:8" x14ac:dyDescent="0.35">
      <c r="A64" s="30" t="s">
        <v>1282</v>
      </c>
      <c r="B64" s="290">
        <f>IF(AND(H63=1,H64=1),ROUND(H68*2*H67/6,2),0)</f>
        <v>0</v>
      </c>
      <c r="C64" s="291">
        <f>IF(B62="มุ้งเฟรมเล็ก",ราคามุ้ง!$B$19,IF(B62="มุ้งเฟรมใหญ่",ROUND(C11*mult_euro,0),IF(B62="มุ้งนิรภัย",ราคามุ้ง!$B$21,0)))</f>
        <v>0</v>
      </c>
      <c r="D64" s="292">
        <f>ROUND(B64*C64,0)</f>
        <v>0</v>
      </c>
      <c r="H64" s="289">
        <f>IF(OR(B62="มุ้งเฟรมเล็ก",B62="มุ้งเฟรมใหญ่",B62="มุ้งนิรภัย"),1,0)</f>
        <v>0</v>
      </c>
    </row>
    <row r="65" spans="1:11" x14ac:dyDescent="0.35">
      <c r="A65" s="30" t="s">
        <v>1283</v>
      </c>
      <c r="B65" s="293">
        <f>IF(AND(H63=1,H64=1),ROUND(H68*2*H66/6,2),0)</f>
        <v>0</v>
      </c>
      <c r="C65" s="291">
        <f>IF(B62="มุ้งเฟรมเล็ก",ราคามุ้ง!$B$19,IF(B62="มุ้งเฟรมใหญ่",ROUND(C11*mult_euro,0),IF(B62="มุ้งนิรภัย",ราคามุ้ง!$B$21,0)))</f>
        <v>0</v>
      </c>
      <c r="D65" s="291">
        <f>ROUND(B65*C65,0)</f>
        <v>0</v>
      </c>
      <c r="H65" s="289">
        <f>IFERROR(VLOOKUP(B63,ราคามุ้ง!$I$2:$J$5,2,0),0)</f>
        <v>23</v>
      </c>
    </row>
    <row r="66" spans="1:11" x14ac:dyDescent="0.35">
      <c r="A66" s="25" t="s">
        <v>1284</v>
      </c>
      <c r="B66" s="294">
        <f>IF(AND(H63=1,H64=1),ROUND(H68*2*(H66+H67),2),0)</f>
        <v>0</v>
      </c>
      <c r="C66" s="291">
        <f>ราคามุ้ง!$D$19</f>
        <v>5</v>
      </c>
      <c r="D66" s="292">
        <f>ROUND(B66*C66,0)</f>
        <v>0</v>
      </c>
      <c r="H66" s="295">
        <f>B2/(B4*100)</f>
        <v>2</v>
      </c>
    </row>
    <row r="67" spans="1:11" x14ac:dyDescent="0.35">
      <c r="A67" s="25" t="s">
        <v>1285</v>
      </c>
      <c r="B67" s="294">
        <f>IF(H63=0,0,ROUND(H68*H66*H67,2))</f>
        <v>0</v>
      </c>
      <c r="C67" s="291">
        <f>IF(B62="มุ้งนิรภัย",650,IF(OR(B62="มุ้งเฟรมเล็ก",B62="มุ้งเฟรมใหญ่"),H65,IF(H62="ซื้อสำเร็จ",IFERROR(VLOOKUP(B62,ราคามุ้ง!$A$2:$O$15,2,0),0),0)))</f>
        <v>0</v>
      </c>
      <c r="D67" s="292">
        <f>ROUND(B67*C67,0)</f>
        <v>0</v>
      </c>
      <c r="H67" s="294">
        <f>B3/100</f>
        <v>3</v>
      </c>
    </row>
    <row r="68" spans="1:11" x14ac:dyDescent="0.35">
      <c r="A68" s="25" t="s">
        <v>1286</v>
      </c>
      <c r="D68" s="292">
        <f>IF(H63=0,0,ROUND(H68*(VLOOKUP(B62,ราคามุ้ง!$A$2:$O$15,12,0)+VLOOKUP(B62,ราคามุ้ง!$A$2:$O$15,13,0)*H66*H67),0))</f>
        <v>0</v>
      </c>
      <c r="H68" s="288">
        <f>IF(AND(B5="อิสระ",B4=2),1,F2)</f>
        <v>3</v>
      </c>
    </row>
    <row r="69" spans="1:11" x14ac:dyDescent="0.35">
      <c r="A69" s="288" t="s">
        <v>1287</v>
      </c>
      <c r="D69" s="291">
        <f>IF(H63=0,0,ROUND(H68*(VLOOKUP(B62,ราคามุ้ง!$A$2:$O$15,14,0)+VLOOKUP(B62,ราคามุ้ง!$A$2:$O$15,15,0)*H66*H67),0))</f>
        <v>0</v>
      </c>
    </row>
    <row r="70" spans="1:11" x14ac:dyDescent="0.35">
      <c r="A70" s="333" t="s">
        <v>1326</v>
      </c>
      <c r="D70" s="334">
        <f>SUM(D64:D69)</f>
        <v>0</v>
      </c>
    </row>
    <row r="71" spans="1:11" x14ac:dyDescent="0.35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</row>
    <row r="72" spans="1:11" x14ac:dyDescent="0.35">
      <c r="A72" s="381"/>
      <c r="B72" s="153"/>
      <c r="C72" s="153"/>
      <c r="D72" s="153"/>
      <c r="E72" s="153"/>
      <c r="F72" s="153"/>
      <c r="G72" s="153"/>
      <c r="H72" s="153"/>
      <c r="I72" s="153"/>
      <c r="J72" s="153"/>
      <c r="K72" s="153"/>
    </row>
    <row r="73" spans="1:11" x14ac:dyDescent="0.35">
      <c r="A73" s="382"/>
      <c r="B73" s="383"/>
      <c r="C73" s="153"/>
      <c r="D73" s="153"/>
      <c r="E73" s="153"/>
      <c r="F73" s="153"/>
      <c r="G73" s="153"/>
      <c r="H73" s="153"/>
      <c r="I73" s="153"/>
      <c r="J73" s="153"/>
      <c r="K73" s="153"/>
    </row>
    <row r="74" spans="1:11" x14ac:dyDescent="0.35">
      <c r="A74" s="382"/>
      <c r="B74" s="383"/>
      <c r="C74" s="153"/>
      <c r="D74" s="153"/>
      <c r="E74" s="153"/>
      <c r="F74" s="153"/>
      <c r="G74" s="153"/>
      <c r="H74" s="153"/>
      <c r="I74" s="153"/>
      <c r="J74" s="153"/>
      <c r="K74" s="153"/>
    </row>
    <row r="75" spans="1:11" x14ac:dyDescent="0.35">
      <c r="A75" s="382"/>
      <c r="B75" s="383"/>
      <c r="C75" s="153"/>
      <c r="D75" s="153"/>
      <c r="E75" s="153"/>
      <c r="F75" s="153"/>
      <c r="G75" s="153"/>
      <c r="H75" s="153"/>
      <c r="I75" s="153"/>
      <c r="J75" s="153"/>
      <c r="K75" s="153"/>
    </row>
    <row r="76" spans="1:11" x14ac:dyDescent="0.35">
      <c r="A76" s="382"/>
      <c r="B76" s="384"/>
      <c r="C76" s="153"/>
      <c r="D76" s="153"/>
      <c r="E76" s="153"/>
      <c r="F76" s="153"/>
      <c r="G76" s="153"/>
      <c r="H76" s="153"/>
      <c r="I76" s="153"/>
      <c r="J76" s="153"/>
      <c r="K76" s="153"/>
    </row>
    <row r="77" spans="1:11" x14ac:dyDescent="0.35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</row>
    <row r="78" spans="1:11" x14ac:dyDescent="0.35">
      <c r="A78" s="375" t="s">
        <v>1269</v>
      </c>
    </row>
    <row r="79" spans="1:11" x14ac:dyDescent="0.35">
      <c r="A79" s="376" t="s">
        <v>1270</v>
      </c>
      <c r="B79" s="377">
        <f>D11+D13+D14+D15+D16+D17+D18+D19+D20+D21+D22+D23+D24+D25+D34</f>
        <v>20710</v>
      </c>
    </row>
    <row r="80" spans="1:11" x14ac:dyDescent="0.35">
      <c r="A80" s="378" t="s">
        <v>1272</v>
      </c>
      <c r="B80" s="379">
        <f>D12+D26</f>
        <v>5910.4000000000005</v>
      </c>
    </row>
    <row r="81" spans="1:2" x14ac:dyDescent="0.35">
      <c r="A81" s="378" t="s">
        <v>1274</v>
      </c>
      <c r="B81" s="379">
        <f>D27+D28+D29+D30+D31+D32+D33+D35</f>
        <v>1814</v>
      </c>
    </row>
    <row r="82" spans="1:2" x14ac:dyDescent="0.35">
      <c r="A82" s="378" t="s">
        <v>1276</v>
      </c>
      <c r="B82" s="380">
        <f>B79+B80+B81</f>
        <v>28434.400000000001</v>
      </c>
    </row>
  </sheetData>
  <mergeCells count="1">
    <mergeCell ref="A1:D1"/>
  </mergeCells>
  <dataValidations count="9">
    <dataValidation type="list" sqref="B5" xr:uid="{00000000-0002-0000-0E00-000000000000}">
      <formula1>"อิสระ,ลากจูง,เปิดคู่กลาง"</formula1>
      <formula2>0</formula2>
    </dataValidation>
    <dataValidation type="list" sqref="B9" xr:uid="{00000000-0002-0000-0E00-000001000000}">
      <formula1>GlassNames</formula1>
      <formula2>0</formula2>
    </dataValidation>
    <dataValidation type="list" sqref="F9" xr:uid="{00000000-0002-0000-0E00-000002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sqref="F7" xr:uid="{00000000-0002-0000-0E00-000003000000}">
      <formula1>"ภายนอก,ภายใน"</formula1>
      <formula2>0</formula2>
    </dataValidation>
    <dataValidation type="list" allowBlank="1" sqref="B51 B53:B55" xr:uid="{00000000-0002-0000-0E00-000004000000}">
      <formula1>"มี,ไม่มี"</formula1>
    </dataValidation>
    <dataValidation type="list" allowBlank="1" sqref="B52" xr:uid="{00000000-0002-0000-0E00-000005000000}">
      <formula1>"Evecca (จีน),ช่างแซก"</formula1>
    </dataValidation>
    <dataValidation type="list" allowBlank="1" sqref="B62" xr:uid="{00000000-0002-0000-0E00-000009000000}">
      <formula1>MungList</formula1>
    </dataValidation>
    <dataValidation type="list" allowBlank="1" sqref="B63" xr:uid="{00000000-0002-0000-0E00-00000A000000}">
      <formula1>ClothList</formula1>
    </dataValidation>
    <dataValidation type="list" allowBlank="1" sqref="C63" xr:uid="{00000000-0002-0000-0E00-00000B000000}">
      <formula1>"เทา,ดำ"</formula1>
    </dataValidation>
  </dataValidations>
  <hyperlinks>
    <hyperlink ref="G1" location="'สารบัญ'!A1" display="🏠 สารบัญ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AC81"/>
  <sheetViews>
    <sheetView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20.453125" customWidth="1"/>
    <col min="3" max="3" width="16.90625" customWidth="1"/>
    <col min="4" max="4" width="43.08984375" customWidth="1"/>
    <col min="5" max="5" width="46" customWidth="1"/>
    <col min="6" max="6" width="16.90625" customWidth="1"/>
    <col min="7" max="7" width="21.08984375" hidden="1" customWidth="1"/>
    <col min="8" max="24" width="13" customWidth="1"/>
    <col min="27" max="27" width="40.453125" hidden="1" customWidth="1"/>
    <col min="29" max="29" width="13" customWidth="1"/>
  </cols>
  <sheetData>
    <row r="1" spans="1:27" ht="24" customHeight="1" x14ac:dyDescent="0.35">
      <c r="A1" s="437" t="s">
        <v>1327</v>
      </c>
      <c r="B1" s="411"/>
      <c r="C1" s="411"/>
      <c r="D1" s="411"/>
      <c r="E1" s="411"/>
      <c r="F1" s="411"/>
      <c r="G1" s="388" t="s">
        <v>78</v>
      </c>
      <c r="H1" s="389"/>
      <c r="K1" s="319"/>
      <c r="AA1" t="s">
        <v>785</v>
      </c>
    </row>
    <row r="2" spans="1:27" ht="15" customHeight="1" x14ac:dyDescent="0.35">
      <c r="A2" s="30" t="s">
        <v>1328</v>
      </c>
      <c r="B2" s="27" t="s">
        <v>1243</v>
      </c>
      <c r="E2" s="30" t="str">
        <f>B2&amp;"-"&amp;B3</f>
        <v>อิสระ-2</v>
      </c>
      <c r="AA2" t="s">
        <v>810</v>
      </c>
    </row>
    <row r="3" spans="1:27" ht="15" customHeight="1" x14ac:dyDescent="0.35">
      <c r="A3" s="30" t="s">
        <v>1240</v>
      </c>
      <c r="B3" s="27">
        <v>2</v>
      </c>
      <c r="AA3" t="s">
        <v>813</v>
      </c>
    </row>
    <row r="4" spans="1:27" ht="15" customHeight="1" x14ac:dyDescent="0.35">
      <c r="A4" s="30" t="s">
        <v>1236</v>
      </c>
      <c r="B4" s="27">
        <v>200</v>
      </c>
      <c r="AA4" t="s">
        <v>815</v>
      </c>
    </row>
    <row r="5" spans="1:27" ht="15" customHeight="1" x14ac:dyDescent="0.35">
      <c r="A5" s="30" t="s">
        <v>1238</v>
      </c>
      <c r="B5" s="27">
        <v>200</v>
      </c>
      <c r="AA5" t="s">
        <v>817</v>
      </c>
    </row>
    <row r="6" spans="1:27" ht="15" customHeight="1" x14ac:dyDescent="0.35">
      <c r="A6" s="30" t="s">
        <v>1245</v>
      </c>
      <c r="B6" s="30">
        <f>(B4/100)*(B5/100)</f>
        <v>4</v>
      </c>
      <c r="AA6" t="s">
        <v>818</v>
      </c>
    </row>
    <row r="7" spans="1:27" ht="15" customHeight="1" x14ac:dyDescent="0.35">
      <c r="A7" s="30" t="s">
        <v>1329</v>
      </c>
      <c r="B7" s="27" t="s">
        <v>1330</v>
      </c>
      <c r="AA7" t="s">
        <v>819</v>
      </c>
    </row>
    <row r="8" spans="1:27" ht="15" customHeight="1" x14ac:dyDescent="0.35">
      <c r="A8" s="30" t="s">
        <v>1247</v>
      </c>
      <c r="B8" s="27">
        <v>100</v>
      </c>
      <c r="AA8" t="s">
        <v>821</v>
      </c>
    </row>
    <row r="9" spans="1:27" ht="15" customHeight="1" x14ac:dyDescent="0.35">
      <c r="A9" s="30" t="s">
        <v>1250</v>
      </c>
      <c r="B9" s="27">
        <v>90</v>
      </c>
      <c r="AA9" t="s">
        <v>822</v>
      </c>
    </row>
    <row r="10" spans="1:27" ht="15" customHeight="1" x14ac:dyDescent="0.35">
      <c r="A10" s="30" t="s">
        <v>1251</v>
      </c>
      <c r="B10" s="27" t="s">
        <v>785</v>
      </c>
      <c r="C10" s="53">
        <f>INDEX(ราคาวัสดุกลาง!$I$2:$I$106,MATCH(B10,ราคาวัสดุกลาง!$H$2:$H$106,0))</f>
        <v>403</v>
      </c>
      <c r="D10" s="30" t="s">
        <v>1252</v>
      </c>
      <c r="E10" s="30" t="s">
        <v>1253</v>
      </c>
      <c r="F10" s="27" t="s">
        <v>1254</v>
      </c>
      <c r="G10" s="30">
        <f>IF(F10="สีอบขาว/ดำ",180,IF(F10="เทาซาฮาร่า",ROUND(180*1.09,0),IF(F10="ลายไม้ stock",ROUND(180*1.6,0),IF(F10="สีอบพิเศษ",140,160))))</f>
        <v>180</v>
      </c>
      <c r="AA10" t="s">
        <v>825</v>
      </c>
    </row>
    <row r="11" spans="1:27" ht="15" customHeight="1" x14ac:dyDescent="0.35">
      <c r="A11" s="76" t="s">
        <v>482</v>
      </c>
      <c r="B11" s="76" t="s">
        <v>1255</v>
      </c>
      <c r="C11" s="76" t="s">
        <v>1256</v>
      </c>
      <c r="D11" s="76" t="s">
        <v>1257</v>
      </c>
      <c r="AA11" t="s">
        <v>827</v>
      </c>
    </row>
    <row r="12" spans="1:27" ht="15" customHeight="1" x14ac:dyDescent="0.35">
      <c r="A12" s="57" t="s">
        <v>1331</v>
      </c>
      <c r="B12" s="53">
        <f>IFERROR(INDEX($H$40:$H$48,MATCH($E$2,$G$40:$G$48,0)),0)</f>
        <v>1</v>
      </c>
      <c r="C12" s="53">
        <f>IF(F10="สีอบขาว/ดำ",733,IF(F10="เทาซาฮาร่า",733+rate_grey*4.7,733+IF(F10="สีอบพิเศษ",rate_special,rate_woodbake)*4.7))</f>
        <v>733</v>
      </c>
      <c r="D12" s="53">
        <f>B12*C12*mult_slim</f>
        <v>733</v>
      </c>
      <c r="AA12" t="s">
        <v>828</v>
      </c>
    </row>
    <row r="13" spans="1:27" ht="15" customHeight="1" x14ac:dyDescent="0.35">
      <c r="A13" s="57" t="s">
        <v>1332</v>
      </c>
      <c r="B13" s="53">
        <f>IFERROR(INDEX($I$40:$I$48,MATCH($E$2,$G$40:$G$48,0)),0)</f>
        <v>2</v>
      </c>
      <c r="C13" s="53">
        <f>IF(F10="สีอบขาว/ดำ",500,IF(F10="เทาซาฮาร่า",500+rate_grey*2.95,500+IF(F10="สีอบพิเศษ",rate_special,rate_woodbake)*2.95))</f>
        <v>500</v>
      </c>
      <c r="D13" s="53">
        <f>B13*C13*mult_slim</f>
        <v>1000</v>
      </c>
      <c r="AA13" t="s">
        <v>1186</v>
      </c>
    </row>
    <row r="14" spans="1:27" ht="15" customHeight="1" x14ac:dyDescent="0.35">
      <c r="A14" s="57" t="s">
        <v>1333</v>
      </c>
      <c r="B14" s="53">
        <f>IFERROR(INDEX($J$40:$J$48,MATCH($E$2,$G$40:$G$48,0)),0)</f>
        <v>1</v>
      </c>
      <c r="C14" s="53">
        <f>IF(F10="สีอบขาว/ดำ",343,IF(F10="เทาซาฮาร่า",343+rate_grey*1.57,343+IF(F10="สีอบพิเศษ",rate_special,rate_woodbake)*1.57))</f>
        <v>343</v>
      </c>
      <c r="D14" s="53">
        <f>B14*C14*mult_slim</f>
        <v>343</v>
      </c>
      <c r="AA14" t="s">
        <v>829</v>
      </c>
    </row>
    <row r="15" spans="1:27" ht="15" customHeight="1" x14ac:dyDescent="0.35">
      <c r="A15" s="57" t="s">
        <v>1334</v>
      </c>
      <c r="B15" s="57">
        <f>IFERROR(INDEX($K$40:$K$48,MATCH($E$2,$G$40:$G$48,0)),0)</f>
        <v>1</v>
      </c>
      <c r="C15" s="53">
        <f>IF(F10="สีอบขาว/ดำ",343,IF(F10="เทาซาฮาร่า",343+rate_grey*1.69,343+IF(F10="สีอบพิเศษ",rate_special,rate_woodbake)*1.69))</f>
        <v>343</v>
      </c>
      <c r="D15" s="53">
        <f>B15*C15*mult_slim</f>
        <v>343</v>
      </c>
      <c r="AA15" t="s">
        <v>831</v>
      </c>
    </row>
    <row r="16" spans="1:27" ht="15" customHeight="1" x14ac:dyDescent="0.35">
      <c r="A16" s="57" t="s">
        <v>1335</v>
      </c>
      <c r="B16" s="57">
        <f>IFERROR(INDEX($L$40:$L$48,MATCH($E$2,$G$40:$G$48,0)),0)</f>
        <v>1</v>
      </c>
      <c r="C16" s="53">
        <v>988</v>
      </c>
      <c r="D16" s="53">
        <f>B16*C16</f>
        <v>988</v>
      </c>
      <c r="AA16" t="s">
        <v>811</v>
      </c>
    </row>
    <row r="17" spans="1:27" ht="15" customHeight="1" x14ac:dyDescent="0.35">
      <c r="A17" s="57" t="s">
        <v>1336</v>
      </c>
      <c r="B17" s="57">
        <f>IFERROR(INDEX($M$40:$M$48,MATCH($E$2,$G$40:$G$48,0)),0)</f>
        <v>1</v>
      </c>
      <c r="C17" s="53">
        <f>IF(F10="สีอบขาว/ดำ",197,IF(F10="เทาซาฮาร่า",197+rate_grey*0.5,197+IF(F10="สีอบพิเศษ",rate_special,rate_woodbake)*0.5))</f>
        <v>197</v>
      </c>
      <c r="D17" s="53">
        <f>B17*C17*mult_slim</f>
        <v>197</v>
      </c>
      <c r="AA17" t="s">
        <v>791</v>
      </c>
    </row>
    <row r="18" spans="1:27" ht="15" customHeight="1" x14ac:dyDescent="0.35">
      <c r="A18" s="57" t="s">
        <v>1337</v>
      </c>
      <c r="B18" s="57">
        <f>IFERROR(INDEX($N$40:$N$48,MATCH($E$2,$G$40:$G$48,0)),0)</f>
        <v>1</v>
      </c>
      <c r="C18" s="53">
        <f>IF(F10="สีอบขาว/ดำ",233,IF(F10="เทาซาฮาร่า",233+rate_grey*0.8,233+IF(F10="สีอบพิเศษ",rate_special,rate_woodbake)*0.8))</f>
        <v>233</v>
      </c>
      <c r="D18" s="53">
        <f>B18*C18*mult_slim</f>
        <v>233</v>
      </c>
      <c r="AA18" t="s">
        <v>792</v>
      </c>
    </row>
    <row r="19" spans="1:27" ht="15" customHeight="1" x14ac:dyDescent="0.35">
      <c r="A19" s="57" t="s">
        <v>1338</v>
      </c>
      <c r="B19" s="57">
        <f>IFERROR(INDEX($O$40:$O$48,MATCH($E$2,$G$40:$G$48,0)),0)</f>
        <v>1</v>
      </c>
      <c r="C19" s="53">
        <f>IF(F10="สีอบขาว/ดำ",320,IF(F10="เทาซาฮาร่า",320+rate_grey*1,320+IF(F10="สีอบพิเศษ",rate_special,rate_woodbake)*1))</f>
        <v>320</v>
      </c>
      <c r="D19" s="53">
        <f>B19*C19*mult_slim</f>
        <v>320</v>
      </c>
      <c r="AA19" t="s">
        <v>1220</v>
      </c>
    </row>
    <row r="20" spans="1:27" ht="15" customHeight="1" x14ac:dyDescent="0.35">
      <c r="A20" s="57" t="s">
        <v>1339</v>
      </c>
      <c r="B20" s="57">
        <f>IFERROR(INDEX($P$40:$P$48,MATCH($E$2,$G$40:$G$48,0)),0)</f>
        <v>2</v>
      </c>
      <c r="C20" s="53">
        <f>IF(F10="สีอบขาว/ดำ",1400,IF(F10="เทาซาฮาร่า",1400+rate_grey*5.98,1400+IF(F10="สีอบพิเศษ",rate_special,rate_woodbake)*5.98))</f>
        <v>1400</v>
      </c>
      <c r="D20" s="53">
        <f>B20*C20*mult_slim</f>
        <v>2800</v>
      </c>
      <c r="AA20" t="s">
        <v>1221</v>
      </c>
    </row>
    <row r="21" spans="1:27" ht="15" customHeight="1" x14ac:dyDescent="0.35">
      <c r="A21" s="57" t="s">
        <v>1340</v>
      </c>
      <c r="B21" s="57">
        <f>IFERROR(INDEX($Q$40:$Q$48,MATCH($E$2,$G$40:$G$48,0)),0)</f>
        <v>2</v>
      </c>
      <c r="C21" s="53">
        <v>750</v>
      </c>
      <c r="D21" s="53">
        <f t="shared" ref="D21:D31" si="0">B21*C21</f>
        <v>1500</v>
      </c>
      <c r="AA21" t="s">
        <v>1222</v>
      </c>
    </row>
    <row r="22" spans="1:27" ht="15" customHeight="1" x14ac:dyDescent="0.35">
      <c r="A22" s="57" t="s">
        <v>1341</v>
      </c>
      <c r="B22" s="57">
        <f>IFERROR(INDEX($R$40:$R$48,MATCH($E$2,$G$40:$G$48,0)),0)</f>
        <v>1</v>
      </c>
      <c r="C22" s="53">
        <v>850</v>
      </c>
      <c r="D22" s="53">
        <f t="shared" si="0"/>
        <v>850</v>
      </c>
    </row>
    <row r="23" spans="1:27" ht="15" customHeight="1" x14ac:dyDescent="0.35">
      <c r="A23" s="57" t="s">
        <v>1342</v>
      </c>
      <c r="B23" s="57">
        <f>IFERROR(INDEX($T$40:$T$48,MATCH($E$2,$G$40:$G$48,0)),0)</f>
        <v>1</v>
      </c>
      <c r="C23" s="53">
        <v>100</v>
      </c>
      <c r="D23" s="53">
        <f t="shared" si="0"/>
        <v>100</v>
      </c>
    </row>
    <row r="24" spans="1:27" ht="15" customHeight="1" x14ac:dyDescent="0.35">
      <c r="A24" s="57" t="s">
        <v>1343</v>
      </c>
      <c r="B24" s="57">
        <f>IFERROR(INDEX($U$40:$U$48,MATCH($E$2,$G$40:$G$48,0)),0)</f>
        <v>8</v>
      </c>
      <c r="C24" s="53">
        <v>42</v>
      </c>
      <c r="D24" s="53">
        <f t="shared" si="0"/>
        <v>336</v>
      </c>
    </row>
    <row r="25" spans="1:27" ht="15" customHeight="1" x14ac:dyDescent="0.35">
      <c r="A25" s="57" t="s">
        <v>1344</v>
      </c>
      <c r="B25" s="57">
        <f>IFERROR(INDEX($V$40:$V$48,MATCH($E$2,$G$40:$G$48,0)),0)</f>
        <v>4</v>
      </c>
      <c r="C25" s="53">
        <v>100</v>
      </c>
      <c r="D25" s="53">
        <f t="shared" si="0"/>
        <v>400</v>
      </c>
    </row>
    <row r="26" spans="1:27" ht="15" customHeight="1" x14ac:dyDescent="0.35">
      <c r="A26" s="57" t="s">
        <v>1345</v>
      </c>
      <c r="B26" s="57">
        <f>IFERROR(INDEX($W$40:$W$48,MATCH($E$2,$G$40:$G$48,0)),0)</f>
        <v>2</v>
      </c>
      <c r="C26" s="53">
        <v>650</v>
      </c>
      <c r="D26" s="53">
        <f t="shared" si="0"/>
        <v>1300</v>
      </c>
    </row>
    <row r="27" spans="1:27" ht="15" customHeight="1" x14ac:dyDescent="0.35">
      <c r="A27" s="57" t="s">
        <v>1346</v>
      </c>
      <c r="B27" s="57">
        <f>IFERROR(INDEX($X$40:$X$48,MATCH($E$2,$G$40:$G$48,0)),0)</f>
        <v>0</v>
      </c>
      <c r="C27" s="53">
        <v>700</v>
      </c>
      <c r="D27" s="53">
        <f t="shared" si="0"/>
        <v>0</v>
      </c>
    </row>
    <row r="28" spans="1:27" ht="15" customHeight="1" x14ac:dyDescent="0.35">
      <c r="A28" s="57" t="s">
        <v>1347</v>
      </c>
      <c r="B28" s="57">
        <f>IFERROR(INDEX($S$40:$S$48,MATCH($E$2,$G$40:$G$48,0)),0)</f>
        <v>2</v>
      </c>
      <c r="C28" s="53">
        <f>IF(B7="มือจับล็อค",200,IF(B7="X-J",860,0))</f>
        <v>200</v>
      </c>
      <c r="D28" s="53">
        <f t="shared" si="0"/>
        <v>400</v>
      </c>
      <c r="E28" s="57" t="s">
        <v>1348</v>
      </c>
    </row>
    <row r="29" spans="1:27" ht="15" customHeight="1" x14ac:dyDescent="0.35">
      <c r="A29" s="57" t="s">
        <v>1349</v>
      </c>
      <c r="B29" s="57">
        <f>ROUNDUP(2*(B4+B5)/100*2/12.5,0)</f>
        <v>2</v>
      </c>
      <c r="C29" s="53">
        <f>B9</f>
        <v>90</v>
      </c>
      <c r="D29" s="53">
        <f t="shared" si="0"/>
        <v>180</v>
      </c>
    </row>
    <row r="30" spans="1:27" ht="15" customHeight="1" x14ac:dyDescent="0.35">
      <c r="A30" s="57" t="s">
        <v>1259</v>
      </c>
      <c r="B30" s="57">
        <f>B6</f>
        <v>4</v>
      </c>
      <c r="C30" s="53">
        <f>INDEX(ราคาวัสดุกลาง!$I$2:$I$106,MATCH(B10,ราคาวัสดุกลาง!$H$2:$H$106,0))</f>
        <v>403</v>
      </c>
      <c r="D30" s="53">
        <f t="shared" si="0"/>
        <v>1612</v>
      </c>
    </row>
    <row r="31" spans="1:27" ht="15" customHeight="1" x14ac:dyDescent="0.35">
      <c r="A31" s="57" t="s">
        <v>1266</v>
      </c>
      <c r="B31" s="57">
        <f>IF(OR(F10="สีอบพิเศษ",F10="สีลายไม้อบพิเศษ"),1,0)</f>
        <v>0</v>
      </c>
      <c r="C31" s="53">
        <v>2000</v>
      </c>
      <c r="D31" s="53">
        <f t="shared" si="0"/>
        <v>0</v>
      </c>
      <c r="E31" s="57" t="s">
        <v>1267</v>
      </c>
    </row>
    <row r="32" spans="1:27" ht="15" customHeight="1" x14ac:dyDescent="0.35">
      <c r="A32" s="69" t="s">
        <v>1268</v>
      </c>
      <c r="D32" s="70">
        <f>SUM(D12:D31)+D58+D63+D64+D65+D66</f>
        <v>13635</v>
      </c>
    </row>
    <row r="33" spans="1:24" ht="15" customHeight="1" x14ac:dyDescent="0.35">
      <c r="A33" s="69" t="s">
        <v>1125</v>
      </c>
      <c r="D33" s="70">
        <f>IFERROR(D32/B6,0)</f>
        <v>3408.75</v>
      </c>
    </row>
    <row r="34" spans="1:24" ht="15" customHeight="1" x14ac:dyDescent="0.35">
      <c r="A34" s="69" t="s">
        <v>1350</v>
      </c>
      <c r="D34" s="28">
        <f>ROUNDUP(D32*(1+B8/100)/100,0)*100</f>
        <v>27300</v>
      </c>
    </row>
    <row r="35" spans="1:24" ht="15" customHeight="1" x14ac:dyDescent="0.35">
      <c r="A35" s="69" t="s">
        <v>1275</v>
      </c>
      <c r="D35" s="28">
        <f>D34</f>
        <v>27300</v>
      </c>
    </row>
    <row r="36" spans="1:24" ht="15" customHeight="1" x14ac:dyDescent="0.35">
      <c r="A36" s="69" t="s">
        <v>1351</v>
      </c>
      <c r="D36" s="29">
        <f>IFERROR((D34-D32)/D32,0)</f>
        <v>1.0022002200220022</v>
      </c>
    </row>
    <row r="37" spans="1:24" ht="15" customHeight="1" x14ac:dyDescent="0.35">
      <c r="A37" s="57" t="s">
        <v>1352</v>
      </c>
    </row>
    <row r="39" spans="1:24" x14ac:dyDescent="0.35">
      <c r="A39" s="25" t="s">
        <v>1289</v>
      </c>
    </row>
    <row r="40" spans="1:24" x14ac:dyDescent="0.35">
      <c r="A40" s="64" t="s">
        <v>1290</v>
      </c>
      <c r="D40" s="26">
        <f>MAX(0,VLOOKUP("SlimLux",ค่าแรง!$A$12:$E$27,2,0)+VLOOKUP("SlimLux",ค่าแรง!$A$12:$E$27,3,0)*B6)</f>
        <v>765.6</v>
      </c>
    </row>
    <row r="41" spans="1:24" ht="15" customHeight="1" x14ac:dyDescent="0.35">
      <c r="A41" s="64" t="s">
        <v>1291</v>
      </c>
      <c r="D41" s="26">
        <f>MAX(0,VLOOKUP("SlimLux",ค่าแรง!$A$12:$E$27,4,0)+VLOOKUP("SlimLux",ค่าแรง!$A$12:$E$27,5,0)*B6)</f>
        <v>765.6</v>
      </c>
      <c r="G41" s="85" t="s">
        <v>1353</v>
      </c>
      <c r="H41" s="86">
        <v>1</v>
      </c>
      <c r="I41" s="86">
        <v>2</v>
      </c>
      <c r="J41" s="86">
        <v>1</v>
      </c>
      <c r="K41" s="87">
        <v>1</v>
      </c>
      <c r="L41" s="87">
        <v>1</v>
      </c>
      <c r="M41" s="132">
        <v>1</v>
      </c>
      <c r="N41" s="132">
        <v>1</v>
      </c>
      <c r="O41" s="132">
        <v>1</v>
      </c>
      <c r="P41" s="132">
        <v>2</v>
      </c>
      <c r="Q41" s="132">
        <v>2</v>
      </c>
      <c r="R41" s="132">
        <v>1</v>
      </c>
      <c r="S41" s="132">
        <v>2</v>
      </c>
      <c r="T41" s="132">
        <v>1</v>
      </c>
      <c r="U41" s="132">
        <v>8</v>
      </c>
      <c r="V41" s="132">
        <v>4</v>
      </c>
      <c r="W41" s="132">
        <v>2</v>
      </c>
      <c r="X41" s="132">
        <v>0</v>
      </c>
    </row>
    <row r="42" spans="1:24" ht="15" customHeight="1" x14ac:dyDescent="0.35">
      <c r="A42" s="64" t="s">
        <v>1292</v>
      </c>
      <c r="B42" s="27">
        <v>100</v>
      </c>
      <c r="G42" s="85" t="s">
        <v>1354</v>
      </c>
      <c r="H42" s="86">
        <v>1</v>
      </c>
      <c r="I42" s="86">
        <v>3</v>
      </c>
      <c r="J42" s="86">
        <v>1</v>
      </c>
      <c r="K42" s="87">
        <v>2</v>
      </c>
      <c r="L42" s="87">
        <v>2</v>
      </c>
      <c r="M42" s="132">
        <v>2</v>
      </c>
      <c r="N42" s="132">
        <v>1</v>
      </c>
      <c r="O42" s="132">
        <v>1</v>
      </c>
      <c r="P42" s="132">
        <v>2</v>
      </c>
      <c r="Q42" s="132">
        <v>2</v>
      </c>
      <c r="R42" s="132">
        <v>1</v>
      </c>
      <c r="S42" s="132">
        <v>1</v>
      </c>
      <c r="T42" s="132">
        <v>1</v>
      </c>
      <c r="U42" s="132">
        <v>12</v>
      </c>
      <c r="V42" s="132">
        <v>6</v>
      </c>
      <c r="W42" s="132">
        <v>2</v>
      </c>
      <c r="X42" s="132">
        <v>1</v>
      </c>
    </row>
    <row r="43" spans="1:24" ht="15" customHeight="1" x14ac:dyDescent="0.35">
      <c r="A43" s="25" t="s">
        <v>1293</v>
      </c>
      <c r="D43" s="28">
        <f>ROUNDUP((D32+D40+D67)*(1+B8/100)/100,0)*100</f>
        <v>28900</v>
      </c>
      <c r="G43" s="85" t="s">
        <v>1355</v>
      </c>
      <c r="H43" s="86">
        <v>2</v>
      </c>
      <c r="I43" s="86">
        <v>4</v>
      </c>
      <c r="J43" s="86">
        <v>1</v>
      </c>
      <c r="K43" s="87">
        <v>3</v>
      </c>
      <c r="L43" s="87">
        <v>3</v>
      </c>
      <c r="M43" s="132">
        <v>2</v>
      </c>
      <c r="N43" s="132">
        <v>2</v>
      </c>
      <c r="O43" s="132">
        <v>2</v>
      </c>
      <c r="P43" s="132">
        <v>2</v>
      </c>
      <c r="Q43" s="132">
        <v>2</v>
      </c>
      <c r="R43" s="132">
        <v>1</v>
      </c>
      <c r="S43" s="132">
        <v>1</v>
      </c>
      <c r="T43" s="132">
        <v>1</v>
      </c>
      <c r="U43" s="132">
        <v>16</v>
      </c>
      <c r="V43" s="132">
        <v>8</v>
      </c>
      <c r="W43" s="132">
        <v>2</v>
      </c>
      <c r="X43" s="132">
        <v>1</v>
      </c>
    </row>
    <row r="44" spans="1:24" ht="15" customHeight="1" x14ac:dyDescent="0.35">
      <c r="A44" s="25" t="s">
        <v>1294</v>
      </c>
      <c r="D44" s="28">
        <f>D43+ROUNDUP((D41+D68)*(1+B42/100)/100,0)*100</f>
        <v>30500</v>
      </c>
      <c r="G44" s="85" t="s">
        <v>1356</v>
      </c>
      <c r="H44" s="86">
        <v>2</v>
      </c>
      <c r="I44" s="86">
        <v>5</v>
      </c>
      <c r="J44" s="86">
        <v>1</v>
      </c>
      <c r="K44" s="87">
        <v>4</v>
      </c>
      <c r="L44" s="87">
        <v>4</v>
      </c>
      <c r="M44" s="132">
        <v>2</v>
      </c>
      <c r="N44" s="132">
        <v>3</v>
      </c>
      <c r="O44" s="132">
        <v>2</v>
      </c>
      <c r="P44" s="132">
        <v>3</v>
      </c>
      <c r="Q44" s="132">
        <v>2</v>
      </c>
      <c r="R44" s="132">
        <v>2</v>
      </c>
      <c r="S44" s="132">
        <v>1</v>
      </c>
      <c r="T44" s="132">
        <v>1</v>
      </c>
      <c r="U44" s="132">
        <v>20</v>
      </c>
      <c r="V44" s="132">
        <v>10</v>
      </c>
      <c r="W44" s="132">
        <v>2</v>
      </c>
      <c r="X44" s="132">
        <v>1</v>
      </c>
    </row>
    <row r="45" spans="1:24" ht="15" customHeight="1" x14ac:dyDescent="0.35">
      <c r="A45" s="25" t="s">
        <v>1295</v>
      </c>
      <c r="D45" s="29">
        <f>(D44-(D32+D40+D41+D67+D68))/(D32+D40+D41+D67+D68)</f>
        <v>1.011050889477918</v>
      </c>
      <c r="G45" s="85" t="s">
        <v>1357</v>
      </c>
      <c r="H45" s="86">
        <v>1</v>
      </c>
      <c r="I45" s="86">
        <v>3</v>
      </c>
      <c r="J45" s="86">
        <v>1</v>
      </c>
      <c r="K45" s="87">
        <v>1</v>
      </c>
      <c r="L45" s="87">
        <v>2</v>
      </c>
      <c r="M45" s="132">
        <v>1</v>
      </c>
      <c r="N45" s="132">
        <v>1</v>
      </c>
      <c r="O45" s="132">
        <v>1</v>
      </c>
      <c r="P45" s="132">
        <v>2</v>
      </c>
      <c r="Q45" s="132">
        <v>1</v>
      </c>
      <c r="R45" s="132">
        <v>1</v>
      </c>
      <c r="S45" s="132">
        <v>1</v>
      </c>
      <c r="T45" s="132">
        <v>1</v>
      </c>
      <c r="U45" s="132">
        <v>8</v>
      </c>
      <c r="V45" s="132">
        <v>4</v>
      </c>
      <c r="W45" s="132">
        <v>1</v>
      </c>
      <c r="X45" s="132">
        <v>1</v>
      </c>
    </row>
    <row r="46" spans="1:24" ht="15" customHeight="1" x14ac:dyDescent="0.35">
      <c r="G46" s="85" t="s">
        <v>1358</v>
      </c>
      <c r="H46" s="86">
        <v>2</v>
      </c>
      <c r="I46" s="86">
        <v>4</v>
      </c>
      <c r="J46" s="86">
        <v>1</v>
      </c>
      <c r="K46" s="87">
        <v>2</v>
      </c>
      <c r="L46" s="87">
        <v>3</v>
      </c>
      <c r="M46" s="132">
        <v>2</v>
      </c>
      <c r="N46" s="132">
        <v>2</v>
      </c>
      <c r="O46" s="132">
        <v>2</v>
      </c>
      <c r="P46" s="132">
        <v>2</v>
      </c>
      <c r="Q46" s="132">
        <v>1</v>
      </c>
      <c r="R46" s="132">
        <v>1</v>
      </c>
      <c r="S46" s="132">
        <v>1</v>
      </c>
      <c r="T46" s="132">
        <v>1</v>
      </c>
      <c r="U46" s="132">
        <v>12</v>
      </c>
      <c r="V46" s="132">
        <v>6</v>
      </c>
      <c r="W46" s="132">
        <v>1</v>
      </c>
      <c r="X46" s="132">
        <v>1</v>
      </c>
    </row>
    <row r="47" spans="1:24" ht="15" customHeight="1" x14ac:dyDescent="0.35">
      <c r="G47" s="85" t="s">
        <v>1359</v>
      </c>
      <c r="H47" s="86">
        <v>2</v>
      </c>
      <c r="I47" s="86">
        <v>5</v>
      </c>
      <c r="J47" s="86">
        <v>1</v>
      </c>
      <c r="K47" s="87">
        <v>3</v>
      </c>
      <c r="L47" s="87">
        <v>4</v>
      </c>
      <c r="M47" s="132">
        <v>2</v>
      </c>
      <c r="N47" s="132">
        <v>2</v>
      </c>
      <c r="O47" s="132">
        <v>2</v>
      </c>
      <c r="P47" s="132">
        <v>2</v>
      </c>
      <c r="Q47" s="132">
        <v>1</v>
      </c>
      <c r="R47" s="132">
        <v>2</v>
      </c>
      <c r="S47" s="132">
        <v>1</v>
      </c>
      <c r="T47" s="132">
        <v>1</v>
      </c>
      <c r="U47" s="132">
        <v>16</v>
      </c>
      <c r="V47" s="132">
        <v>8</v>
      </c>
      <c r="W47" s="132">
        <v>1</v>
      </c>
      <c r="X47" s="132">
        <v>1</v>
      </c>
    </row>
    <row r="48" spans="1:24" ht="15" customHeight="1" x14ac:dyDescent="0.35">
      <c r="G48" s="85" t="s">
        <v>1360</v>
      </c>
      <c r="H48" s="86">
        <v>2</v>
      </c>
      <c r="I48" s="86">
        <v>4</v>
      </c>
      <c r="J48" s="86">
        <v>2</v>
      </c>
      <c r="K48" s="87">
        <v>2</v>
      </c>
      <c r="L48" s="87">
        <v>2</v>
      </c>
      <c r="M48" s="132">
        <v>1</v>
      </c>
      <c r="N48" s="132">
        <v>2</v>
      </c>
      <c r="O48" s="132">
        <v>2</v>
      </c>
      <c r="P48" s="132">
        <v>2</v>
      </c>
      <c r="Q48" s="132">
        <v>2</v>
      </c>
      <c r="R48" s="132">
        <v>1</v>
      </c>
      <c r="S48" s="132">
        <v>2</v>
      </c>
      <c r="T48" s="132">
        <v>1</v>
      </c>
      <c r="U48" s="132">
        <v>8</v>
      </c>
      <c r="V48" s="132">
        <v>4</v>
      </c>
      <c r="W48" s="132">
        <v>2</v>
      </c>
      <c r="X48" s="132">
        <v>0</v>
      </c>
    </row>
    <row r="49" spans="1:29" ht="15" customHeight="1" x14ac:dyDescent="0.35">
      <c r="G49" s="85" t="s">
        <v>1361</v>
      </c>
      <c r="H49" s="86">
        <v>2</v>
      </c>
      <c r="I49" s="86">
        <v>6</v>
      </c>
      <c r="J49" s="86">
        <v>2</v>
      </c>
      <c r="K49" s="87">
        <v>4</v>
      </c>
      <c r="L49" s="87">
        <v>4</v>
      </c>
      <c r="M49" s="132">
        <v>2</v>
      </c>
      <c r="N49" s="132">
        <v>3</v>
      </c>
      <c r="O49" s="132">
        <v>2</v>
      </c>
      <c r="P49" s="132">
        <v>2</v>
      </c>
      <c r="Q49" s="132">
        <v>2</v>
      </c>
      <c r="R49" s="132">
        <v>1</v>
      </c>
      <c r="S49" s="132">
        <v>2</v>
      </c>
      <c r="T49" s="132">
        <v>1</v>
      </c>
      <c r="U49" s="132">
        <v>16</v>
      </c>
      <c r="V49" s="132">
        <v>8</v>
      </c>
      <c r="W49" s="132">
        <v>2</v>
      </c>
      <c r="X49" s="132">
        <v>1</v>
      </c>
    </row>
    <row r="51" spans="1:29" x14ac:dyDescent="0.35">
      <c r="A51" s="154" t="s">
        <v>1325</v>
      </c>
      <c r="B51" s="155"/>
      <c r="C51" s="155"/>
      <c r="D51" s="155"/>
    </row>
    <row r="52" spans="1:29" x14ac:dyDescent="0.35">
      <c r="A52" s="20" t="s">
        <v>1297</v>
      </c>
      <c r="B52" s="156" t="s">
        <v>1298</v>
      </c>
      <c r="C52" s="155"/>
      <c r="D52" s="155"/>
    </row>
    <row r="53" spans="1:29" x14ac:dyDescent="0.35">
      <c r="A53" s="20" t="s">
        <v>1300</v>
      </c>
      <c r="B53" s="156" t="s">
        <v>1362</v>
      </c>
      <c r="C53" s="155"/>
      <c r="D53" s="155"/>
    </row>
    <row r="54" spans="1:29" x14ac:dyDescent="0.35">
      <c r="A54" s="20" t="s">
        <v>1363</v>
      </c>
      <c r="B54" s="156" t="s">
        <v>1364</v>
      </c>
      <c r="C54" s="155"/>
      <c r="D54" s="155"/>
    </row>
    <row r="55" spans="1:29" x14ac:dyDescent="0.35">
      <c r="A55" s="20" t="s">
        <v>1304</v>
      </c>
      <c r="B55" s="156" t="s">
        <v>1298</v>
      </c>
      <c r="C55" s="155"/>
      <c r="D55" s="155"/>
    </row>
    <row r="56" spans="1:29" x14ac:dyDescent="0.35">
      <c r="A56" s="20" t="s">
        <v>1306</v>
      </c>
      <c r="B56" s="156" t="s">
        <v>1298</v>
      </c>
      <c r="C56" s="155"/>
      <c r="D56" s="155"/>
    </row>
    <row r="57" spans="1:29" x14ac:dyDescent="0.35">
      <c r="A57" s="155"/>
      <c r="B57" s="155"/>
      <c r="C57" s="155"/>
      <c r="D57" s="155"/>
    </row>
    <row r="58" spans="1:29" x14ac:dyDescent="0.35">
      <c r="A58" s="157" t="s">
        <v>1309</v>
      </c>
      <c r="B58" s="155"/>
      <c r="C58" s="155"/>
      <c r="D58" s="158">
        <f>IF(B52="ไม่มี",0,IF(B53="ชุด SlimLux",INDEX(ราคาออโต้!$C:$C,MATCH("ชุด SlimLux (บานแรก)",ราคาออโต้!$B:$B,0))+INDEX(ราคาออโต้!$C:$C,MATCH("บานเพิ่ม",ราคาออโต้!$B:$B,0))*(B3-1)+ROUND(INDEX(ราคาออโต้!$C:$C,MATCH("ราง SlimLux",ราคาออโต้!$B:$B,0))*B4/100*B3,0)+IF(B54="สแกนหน้า",INDEX(ราคาออโต้!$C:$C,MATCH("ออป สแกนหน้า (บังคับเลือก1)",ราคาออโต้!$B:$B,0)),INDEX(ราคาออโต้!$C:$C,MATCH("ออป Touch Switch (บังคับเลือก1)",ราคาออโต้!$B:$B,0)))+INDEX(ราคาออโต้!$D:$D,MATCH("ชุด SlimLux (บานแรก)",ราคาออโต้!$B:$B,0)),INDEX(ราคาออโต้!$C:$C,MATCH("ช่างแซก",ราคาออโต้!$B:$B,0))+INDEX(ราคาออโต้!$C:$C,MATCH("เซฟตี้ตาแมว (บังคับช่างแซก)",ราคาออโต้!$B:$B,0))+ROUND(INDEX(ราคาออโต้!$C:$C,MATCH("ราง ช่างแซก",ราคาออโต้!$B:$B,0))*B4/100,0)+IF(B55="มี",INDEX(ราคาออโต้!$C:$C,MATCH("ออป Touch Switch (ช่างแซก)",ราคาออโต้!$B:$B,0)),0)+IF(B56="มี",INDEX(ราคาออโต้!$C:$C,MATCH("ออป Infrared (ช่างแซก)",ราคาออโต้!$B:$B,0)),0)))</f>
        <v>0</v>
      </c>
    </row>
    <row r="60" spans="1:29" x14ac:dyDescent="0.35">
      <c r="A60" s="233" t="s">
        <v>1277</v>
      </c>
    </row>
    <row r="61" spans="1:29" x14ac:dyDescent="0.35">
      <c r="A61" s="25" t="s">
        <v>1279</v>
      </c>
      <c r="B61" s="287" t="s">
        <v>670</v>
      </c>
      <c r="C61" s="288" t="str">
        <f>IF(B61="ไม่มีมุ้ง","—",IF(AC62=1,"✓ ใช้ได้","⚠ ใช้กับบานนี้ไม่ได้(ทุน=0)"))</f>
        <v>—</v>
      </c>
      <c r="D61" s="288" t="str">
        <f>IF(B61="ไม่มีมุ้ง","",AC67&amp;" บาน")</f>
        <v/>
      </c>
      <c r="AC61" s="289" t="str">
        <f>IFERROR(VLOOKUP(B61,ราคามุ้ง!$A$2:$O$15,3,0),"")</f>
        <v/>
      </c>
    </row>
    <row r="62" spans="1:29" x14ac:dyDescent="0.35">
      <c r="A62" s="30" t="s">
        <v>1280</v>
      </c>
      <c r="B62" s="287" t="s">
        <v>682</v>
      </c>
      <c r="C62" s="287" t="s">
        <v>1281</v>
      </c>
      <c r="AC62" s="289">
        <f>IF(B61="ไม่มีมุ้ง",0,IF(OR(IFERROR(VLOOKUP(B61,ราคามุ้ง!$A$2:$O$15,4,0),"ALL")="ALL",ISNUMBER(SEARCH("SlimLux",IFERROR(VLOOKUP(B61,ราคามุ้ง!$A$2:$O$15,4,0),"")))),1,0))</f>
        <v>0</v>
      </c>
    </row>
    <row r="63" spans="1:29" x14ac:dyDescent="0.35">
      <c r="A63" s="30" t="s">
        <v>1282</v>
      </c>
      <c r="B63" s="290">
        <f>IF(AND(AC62=1,AC63=1),ROUND(AC67*2*AC66/6,2),0)</f>
        <v>0</v>
      </c>
      <c r="C63" s="291">
        <f>IF(B61="มุ้งเฟรมเล็ก",ราคามุ้ง!$B$19,IF(B61="มุ้งเฟรมใหญ่",0,IF(B61="มุ้งนิรภัย",ราคามุ้ง!$B$21,0)))</f>
        <v>0</v>
      </c>
      <c r="D63" s="292">
        <f>ROUND(B63*C63,0)</f>
        <v>0</v>
      </c>
      <c r="AC63" s="289">
        <f>IF(OR(B61="มุ้งเฟรมเล็ก",B61="มุ้งเฟรมใหญ่",B61="มุ้งนิรภัย"),1,0)</f>
        <v>0</v>
      </c>
    </row>
    <row r="64" spans="1:29" x14ac:dyDescent="0.35">
      <c r="A64" s="30" t="s">
        <v>1283</v>
      </c>
      <c r="B64" s="293">
        <f>IF(AND(AC62=1,AC63=1),ROUND(AC67*2*AC65/6,2),0)</f>
        <v>0</v>
      </c>
      <c r="C64" s="291">
        <f>IF(B61="มุ้งเฟรมเล็ก",ราคามุ้ง!$B$19,IF(B61="มุ้งเฟรมใหญ่",0,IF(B61="มุ้งนิรภัย",ราคามุ้ง!$B$21,0)))</f>
        <v>0</v>
      </c>
      <c r="D64" s="291">
        <f>ROUND(B64*C64,0)</f>
        <v>0</v>
      </c>
      <c r="AC64" s="289">
        <f>IFERROR(VLOOKUP(B62,ราคามุ้ง!$I$2:$J$5,2,0),0)</f>
        <v>23</v>
      </c>
    </row>
    <row r="65" spans="1:29" x14ac:dyDescent="0.35">
      <c r="A65" s="25" t="s">
        <v>1284</v>
      </c>
      <c r="B65" s="294">
        <f>IF(AND(AC62=1,AC63=1),ROUND(AC67*2*(AC65+AC66),2),0)</f>
        <v>0</v>
      </c>
      <c r="C65" s="291">
        <f>ราคามุ้ง!$D$19</f>
        <v>5</v>
      </c>
      <c r="D65" s="292">
        <f>ROUND(B65*C65,0)</f>
        <v>0</v>
      </c>
      <c r="AC65" s="295">
        <f>IF(AC67&gt;0,B4/(AC67*100),0)</f>
        <v>2</v>
      </c>
    </row>
    <row r="66" spans="1:29" x14ac:dyDescent="0.35">
      <c r="A66" s="25" t="s">
        <v>1285</v>
      </c>
      <c r="B66" s="294">
        <f>IF(AC62=0,0,ROUND(AC67*AC65*AC66,2))</f>
        <v>0</v>
      </c>
      <c r="C66" s="291">
        <f>IF(B61="มุ้งนิรภัย",650,IF(OR(B61="มุ้งเฟรมเล็ก",B61="มุ้งเฟรมใหญ่"),AC64,IF(AC61="ซื้อสำเร็จ",IFERROR(VLOOKUP(B61,ราคามุ้ง!$A$2:$O$15,2,0),0),0)))</f>
        <v>0</v>
      </c>
      <c r="D66" s="292">
        <f>ROUND(B66*C66,0)</f>
        <v>0</v>
      </c>
      <c r="AC66" s="294">
        <f>B5/100</f>
        <v>2</v>
      </c>
    </row>
    <row r="67" spans="1:29" x14ac:dyDescent="0.35">
      <c r="A67" s="25" t="s">
        <v>1286</v>
      </c>
      <c r="D67" s="292">
        <f>IF(AC62=0,0,ROUND(AC67*(VLOOKUP(B61,ราคามุ้ง!$A$2:$O$15,12,0)+VLOOKUP(B61,ราคามุ้ง!$A$2:$O$15,13,0)*AC65*AC66),0))</f>
        <v>0</v>
      </c>
      <c r="AC67" s="288">
        <f>IF(AND(B2="อิสระ",B3=2),1,IF(B2="อิสระ",B3,IF(B2="ลากจูง",B3-1,B3-2)))</f>
        <v>1</v>
      </c>
    </row>
    <row r="68" spans="1:29" x14ac:dyDescent="0.35">
      <c r="A68" s="288" t="s">
        <v>1287</v>
      </c>
      <c r="D68" s="291">
        <f>IF(AC62=0,0,ROUND(AC67*(VLOOKUP(B61,ราคามุ้ง!$A$2:$O$15,14,0)+VLOOKUP(B61,ราคามุ้ง!$A$2:$O$15,15,0)*AC65*AC66),0))</f>
        <v>0</v>
      </c>
    </row>
    <row r="69" spans="1:29" x14ac:dyDescent="0.35">
      <c r="A69" s="333" t="s">
        <v>1326</v>
      </c>
      <c r="D69" s="334">
        <f>SUM(D63:D68)</f>
        <v>0</v>
      </c>
    </row>
    <row r="70" spans="1:29" x14ac:dyDescent="0.35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</row>
    <row r="71" spans="1:29" x14ac:dyDescent="0.35">
      <c r="A71" s="381"/>
      <c r="B71" s="153"/>
      <c r="C71" s="153"/>
      <c r="D71" s="153"/>
      <c r="E71" s="153"/>
      <c r="F71" s="153"/>
      <c r="G71" s="153"/>
      <c r="H71" s="153"/>
      <c r="I71" s="153"/>
      <c r="J71" s="153"/>
      <c r="K71" s="153"/>
    </row>
    <row r="72" spans="1:29" x14ac:dyDescent="0.35">
      <c r="A72" s="382"/>
      <c r="B72" s="383"/>
      <c r="C72" s="153"/>
      <c r="D72" s="153"/>
      <c r="E72" s="153"/>
      <c r="F72" s="153"/>
      <c r="G72" s="153"/>
      <c r="H72" s="153"/>
      <c r="I72" s="153"/>
      <c r="J72" s="153"/>
      <c r="K72" s="153"/>
    </row>
    <row r="73" spans="1:29" x14ac:dyDescent="0.35">
      <c r="A73" s="382"/>
      <c r="B73" s="383"/>
      <c r="C73" s="153"/>
      <c r="D73" s="153"/>
      <c r="E73" s="153"/>
      <c r="F73" s="153"/>
      <c r="G73" s="153"/>
      <c r="H73" s="153"/>
      <c r="I73" s="153"/>
      <c r="J73" s="153"/>
      <c r="K73" s="153"/>
    </row>
    <row r="74" spans="1:29" x14ac:dyDescent="0.35">
      <c r="A74" s="382"/>
      <c r="B74" s="383"/>
      <c r="C74" s="153"/>
      <c r="D74" s="153"/>
      <c r="E74" s="153"/>
      <c r="F74" s="153"/>
      <c r="G74" s="153"/>
      <c r="H74" s="153"/>
      <c r="I74" s="153"/>
      <c r="J74" s="153"/>
      <c r="K74" s="153"/>
    </row>
    <row r="75" spans="1:29" x14ac:dyDescent="0.35">
      <c r="A75" s="382"/>
      <c r="B75" s="384"/>
      <c r="C75" s="153"/>
      <c r="D75" s="153"/>
      <c r="E75" s="153"/>
      <c r="F75" s="153"/>
      <c r="G75" s="153"/>
      <c r="H75" s="153"/>
      <c r="I75" s="153"/>
      <c r="J75" s="153"/>
      <c r="K75" s="153"/>
    </row>
    <row r="76" spans="1:29" x14ac:dyDescent="0.35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</row>
    <row r="77" spans="1:29" x14ac:dyDescent="0.35">
      <c r="A77" s="375" t="s">
        <v>1269</v>
      </c>
    </row>
    <row r="78" spans="1:29" x14ac:dyDescent="0.35">
      <c r="A78" s="376" t="s">
        <v>1270</v>
      </c>
      <c r="B78" s="377">
        <f>D12+D13+D14+D15+D16+D17+D18+D19+D20</f>
        <v>6957</v>
      </c>
    </row>
    <row r="79" spans="1:29" x14ac:dyDescent="0.35">
      <c r="A79" s="378" t="s">
        <v>1272</v>
      </c>
      <c r="B79" s="379">
        <f>D30</f>
        <v>1612</v>
      </c>
    </row>
    <row r="80" spans="1:29" x14ac:dyDescent="0.35">
      <c r="A80" s="378" t="s">
        <v>1274</v>
      </c>
      <c r="B80" s="379">
        <f>D21+D22+D23+D24+D25+D26+D27+D28+D29+D31</f>
        <v>5066</v>
      </c>
    </row>
    <row r="81" spans="1:2" x14ac:dyDescent="0.35">
      <c r="A81" s="378" t="s">
        <v>1276</v>
      </c>
      <c r="B81" s="380">
        <f>B78+B79+B80</f>
        <v>13635</v>
      </c>
    </row>
  </sheetData>
  <mergeCells count="1">
    <mergeCell ref="A1:F1"/>
  </mergeCells>
  <dataValidations count="11">
    <dataValidation type="list" sqref="B2" xr:uid="{00000000-0002-0000-0F00-000000000000}">
      <formula1>"อิสระ,ลากจูง,เปิดคู่กลาง"</formula1>
      <formula2>0</formula2>
    </dataValidation>
    <dataValidation type="list" sqref="B3" xr:uid="{00000000-0002-0000-0F00-000001000000}">
      <formula1>"2,3,4,5,6"</formula1>
      <formula2>0</formula2>
    </dataValidation>
    <dataValidation type="list" sqref="B7" xr:uid="{00000000-0002-0000-0F00-000002000000}">
      <formula1>"มือจับล็อค,X-J,ลูกค้าเตรียมเอง"</formula1>
      <formula2>0</formula2>
    </dataValidation>
    <dataValidation type="list" allowBlank="1" sqref="B52 B55:B56" xr:uid="{00000000-0002-0000-0F00-000003000000}">
      <formula1>"มี,ไม่มี"</formula1>
    </dataValidation>
    <dataValidation type="list" allowBlank="1" sqref="B53" xr:uid="{00000000-0002-0000-0F00-000004000000}">
      <formula1>"ชุด SlimLux,ช่างแซก"</formula1>
    </dataValidation>
    <dataValidation type="list" allowBlank="1" sqref="B54" xr:uid="{00000000-0002-0000-0F00-000005000000}">
      <formula1>"สแกนหน้า,Touch"</formula1>
    </dataValidation>
    <dataValidation type="list" allowBlank="1" sqref="F10" xr:uid="{00000000-0002-0000-0F00-000008000000}">
      <formula1>"สีอบขาว/ดำ,เทาซาฮาร่า,สีอบพิเศษ,สีลายไม้อบพิเศษ"</formula1>
    </dataValidation>
    <dataValidation type="list" allowBlank="1" sqref="B10" xr:uid="{00000000-0002-0000-0F00-000009000000}">
      <formula1>SlimLuxGlass</formula1>
    </dataValidation>
    <dataValidation type="list" allowBlank="1" sqref="B61" xr:uid="{00000000-0002-0000-0F00-00000A000000}">
      <formula1>MungList</formula1>
    </dataValidation>
    <dataValidation type="list" allowBlank="1" sqref="B62" xr:uid="{00000000-0002-0000-0F00-00000B000000}">
      <formula1>ClothList</formula1>
    </dataValidation>
    <dataValidation type="list" allowBlank="1" sqref="C62" xr:uid="{00000000-0002-0000-0F00-00000C000000}">
      <formula1>"เทา,ดำ"</formula1>
    </dataValidation>
  </dataValidations>
  <hyperlinks>
    <hyperlink ref="G1" location="'สารบัญ'!A1" display="🏠 สารบัญ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K45"/>
  <sheetViews>
    <sheetView workbookViewId="0"/>
  </sheetViews>
  <sheetFormatPr defaultRowHeight="14.5" x14ac:dyDescent="0.35"/>
  <cols>
    <col min="1" max="1" width="46" customWidth="1"/>
    <col min="2" max="3" width="16.90625" customWidth="1"/>
    <col min="4" max="4" width="17.453125" customWidth="1"/>
    <col min="5" max="5" width="27.90625" customWidth="1"/>
    <col min="6" max="6" width="10" customWidth="1"/>
    <col min="7" max="7" width="13" customWidth="1"/>
  </cols>
  <sheetData>
    <row r="1" spans="1:8" x14ac:dyDescent="0.35">
      <c r="A1" s="438" t="s">
        <v>1365</v>
      </c>
      <c r="B1" s="411"/>
      <c r="C1" s="411"/>
      <c r="D1" s="411"/>
      <c r="E1" s="319"/>
      <c r="G1" s="388" t="s">
        <v>78</v>
      </c>
      <c r="H1" s="389"/>
    </row>
    <row r="2" spans="1:8" x14ac:dyDescent="0.35">
      <c r="A2" s="25" t="s">
        <v>1366</v>
      </c>
      <c r="B2" s="147">
        <v>360</v>
      </c>
      <c r="E2" s="198" t="s">
        <v>1367</v>
      </c>
      <c r="F2">
        <f>B2/B4</f>
        <v>180</v>
      </c>
    </row>
    <row r="3" spans="1:8" x14ac:dyDescent="0.35">
      <c r="A3" s="25" t="s">
        <v>1368</v>
      </c>
      <c r="B3" s="147">
        <v>240</v>
      </c>
      <c r="E3" s="198" t="s">
        <v>1369</v>
      </c>
      <c r="F3">
        <f>(B2/100)*(B3/100)</f>
        <v>8.64</v>
      </c>
    </row>
    <row r="4" spans="1:8" x14ac:dyDescent="0.35">
      <c r="A4" s="25" t="s">
        <v>1240</v>
      </c>
      <c r="B4" s="147">
        <v>2</v>
      </c>
      <c r="E4" s="198" t="s">
        <v>1370</v>
      </c>
      <c r="F4">
        <f>ROUNDUP(B2*2/600,0)</f>
        <v>2</v>
      </c>
    </row>
    <row r="5" spans="1:8" x14ac:dyDescent="0.35">
      <c r="A5" s="25" t="s">
        <v>1371</v>
      </c>
      <c r="B5" s="147" t="s">
        <v>1254</v>
      </c>
      <c r="E5" s="198" t="s">
        <v>1372</v>
      </c>
      <c r="F5">
        <f>INDEX(ราคาวัสดุกลาง!$I$2:$I$106,MATCH(B6,ราคาวัสดุกลาง!$H$2:$H$106,0))</f>
        <v>264</v>
      </c>
    </row>
    <row r="6" spans="1:8" x14ac:dyDescent="0.35">
      <c r="A6" s="25" t="s">
        <v>1251</v>
      </c>
      <c r="B6" s="147" t="s">
        <v>778</v>
      </c>
      <c r="E6" s="198" t="s">
        <v>1373</v>
      </c>
      <c r="F6">
        <f>IF(OR(B5="สีอบพิเศษ",B5="สีลายไม้อบพิเศษ"),1,0)</f>
        <v>0</v>
      </c>
    </row>
    <row r="7" spans="1:8" x14ac:dyDescent="0.35">
      <c r="A7" s="25" t="s">
        <v>1247</v>
      </c>
      <c r="B7" s="147">
        <v>100</v>
      </c>
      <c r="E7" s="198" t="s">
        <v>1374</v>
      </c>
      <c r="F7">
        <f>IF(B5="สีอบขาว/ดำ",885,IF(B5="เทาซาฮาร่า",VLOOKUP("B20051",ราคาสี!$A:$F,5,0),IF(B5="ลายไม้ stock",VLOOKUP("B20051",ราคาสี!$A:$F,6,0),885+IF(B5="สีอบพิเศษ",rate_special,rate_woodbake)*4.91667)))</f>
        <v>885</v>
      </c>
    </row>
    <row r="8" spans="1:8" x14ac:dyDescent="0.35">
      <c r="A8" s="25" t="s">
        <v>1250</v>
      </c>
      <c r="B8" s="147">
        <v>90</v>
      </c>
      <c r="E8" s="198" t="s">
        <v>1375</v>
      </c>
      <c r="F8">
        <f>IF(B5="สีอบขาว/ดำ",mult_mtong,IF(B5="เทาซาฮาร่า",mult_mtong+rate_grey/192,IF(B5="ลายไม้ stock",mult_mtong+rate_woodstock/192,IF(B5="สีอบพิเศษ",mult_mtong+rate_special/192,mult_mtong+rate_woodbake/192))))</f>
        <v>1</v>
      </c>
    </row>
    <row r="10" spans="1:8" x14ac:dyDescent="0.35">
      <c r="A10" s="306" t="s">
        <v>1376</v>
      </c>
      <c r="B10" s="306" t="s">
        <v>1255</v>
      </c>
      <c r="C10" s="306" t="s">
        <v>1256</v>
      </c>
      <c r="D10" s="306" t="s">
        <v>1377</v>
      </c>
    </row>
    <row r="11" spans="1:8" x14ac:dyDescent="0.35">
      <c r="A11" s="20" t="s">
        <v>1378</v>
      </c>
      <c r="B11" s="307">
        <f>F4*B4</f>
        <v>4</v>
      </c>
      <c r="C11" s="308">
        <v>2010</v>
      </c>
      <c r="D11" s="311">
        <f t="shared" ref="D11:D22" si="0">B11*C11</f>
        <v>8040</v>
      </c>
    </row>
    <row r="12" spans="1:8" x14ac:dyDescent="0.35">
      <c r="A12" s="20" t="s">
        <v>1379</v>
      </c>
      <c r="B12" s="307">
        <f>B4</f>
        <v>2</v>
      </c>
      <c r="C12" s="308">
        <v>1170</v>
      </c>
      <c r="D12" s="311">
        <f t="shared" si="0"/>
        <v>2340</v>
      </c>
    </row>
    <row r="13" spans="1:8" x14ac:dyDescent="0.35">
      <c r="A13" s="20" t="s">
        <v>1380</v>
      </c>
      <c r="B13" s="307">
        <f>ROUNDUP(B3/600,0)</f>
        <v>1</v>
      </c>
      <c r="C13" s="308">
        <f>ROUND(905*$F$8/5,0)*5</f>
        <v>905</v>
      </c>
      <c r="D13" s="311">
        <f t="shared" si="0"/>
        <v>905</v>
      </c>
    </row>
    <row r="14" spans="1:8" x14ac:dyDescent="0.35">
      <c r="A14" s="20" t="s">
        <v>1381</v>
      </c>
      <c r="B14" s="307">
        <f>ROUNDUP(B2*2/600,0)</f>
        <v>2</v>
      </c>
      <c r="C14" s="308">
        <f>ROUND(1220*$F$8/5,0)*5</f>
        <v>1220</v>
      </c>
      <c r="D14" s="311">
        <f t="shared" si="0"/>
        <v>2440</v>
      </c>
    </row>
    <row r="15" spans="1:8" x14ac:dyDescent="0.35">
      <c r="A15" s="20" t="s">
        <v>1382</v>
      </c>
      <c r="B15" s="307">
        <f>ROUNDUP(2*(B2+B4*B3)/600,0)</f>
        <v>3</v>
      </c>
      <c r="C15" s="308">
        <f>ROUND(F7*mult_sms/5,0)*5</f>
        <v>885</v>
      </c>
      <c r="D15" s="311">
        <f t="shared" si="0"/>
        <v>2655</v>
      </c>
    </row>
    <row r="16" spans="1:8" x14ac:dyDescent="0.35">
      <c r="A16" s="20" t="s">
        <v>1259</v>
      </c>
      <c r="B16" s="307">
        <f>F3</f>
        <v>8.64</v>
      </c>
      <c r="C16" s="308">
        <f>F5</f>
        <v>264</v>
      </c>
      <c r="D16" s="311">
        <f t="shared" si="0"/>
        <v>2280.96</v>
      </c>
    </row>
    <row r="17" spans="1:4" x14ac:dyDescent="0.35">
      <c r="A17" s="20" t="s">
        <v>1383</v>
      </c>
      <c r="B17" s="307">
        <f>ROUNDUP(B3/600,0)</f>
        <v>1</v>
      </c>
      <c r="C17" s="308">
        <f>ROUND(300*$F$8/5,0)*5</f>
        <v>300</v>
      </c>
      <c r="D17" s="311">
        <f t="shared" si="0"/>
        <v>300</v>
      </c>
    </row>
    <row r="18" spans="1:4" x14ac:dyDescent="0.35">
      <c r="A18" s="20" t="s">
        <v>1384</v>
      </c>
      <c r="B18" s="307">
        <f>2*ROUNDUP(B2*2/600,0)</f>
        <v>4</v>
      </c>
      <c r="C18" s="308">
        <f>ROUND(280*$F$8/5,0)*5</f>
        <v>280</v>
      </c>
      <c r="D18" s="311">
        <f t="shared" si="0"/>
        <v>1120</v>
      </c>
    </row>
    <row r="19" spans="1:4" x14ac:dyDescent="0.35">
      <c r="A19" s="20" t="s">
        <v>1261</v>
      </c>
      <c r="B19" s="307">
        <f>2*B4</f>
        <v>4</v>
      </c>
      <c r="C19" s="308">
        <v>99</v>
      </c>
      <c r="D19" s="311">
        <f t="shared" si="0"/>
        <v>396</v>
      </c>
    </row>
    <row r="20" spans="1:4" x14ac:dyDescent="0.35">
      <c r="A20" s="20" t="s">
        <v>1385</v>
      </c>
      <c r="B20" s="307">
        <f>B4</f>
        <v>2</v>
      </c>
      <c r="C20" s="308">
        <v>189</v>
      </c>
      <c r="D20" s="311">
        <f t="shared" si="0"/>
        <v>378</v>
      </c>
    </row>
    <row r="21" spans="1:4" x14ac:dyDescent="0.35">
      <c r="A21" s="20" t="s">
        <v>1265</v>
      </c>
      <c r="B21" s="307">
        <f>ROUNDUP(2*(B2+B3)/100*2/12.5,0)</f>
        <v>2</v>
      </c>
      <c r="C21" s="308">
        <f>B8</f>
        <v>90</v>
      </c>
      <c r="D21" s="311">
        <f t="shared" si="0"/>
        <v>180</v>
      </c>
    </row>
    <row r="22" spans="1:4" x14ac:dyDescent="0.35">
      <c r="A22" s="20" t="s">
        <v>1386</v>
      </c>
      <c r="B22" s="307">
        <f>F6</f>
        <v>0</v>
      </c>
      <c r="C22" s="308">
        <v>2000</v>
      </c>
      <c r="D22" s="311">
        <f t="shared" si="0"/>
        <v>0</v>
      </c>
    </row>
    <row r="23" spans="1:4" x14ac:dyDescent="0.35">
      <c r="A23" s="309" t="s">
        <v>1268</v>
      </c>
      <c r="D23" s="312">
        <f>SUM(D11:D22)</f>
        <v>21034.959999999999</v>
      </c>
    </row>
    <row r="24" spans="1:4" x14ac:dyDescent="0.35">
      <c r="A24" s="25" t="s">
        <v>1125</v>
      </c>
      <c r="D24" s="313">
        <f>IFERROR(ROUND(D23/F3,0),0)</f>
        <v>2435</v>
      </c>
    </row>
    <row r="25" spans="1:4" x14ac:dyDescent="0.35">
      <c r="A25" s="25" t="s">
        <v>1271</v>
      </c>
      <c r="D25" s="314">
        <f>ROUNDUP(D23*(1+B7/100)/100,0)*100</f>
        <v>42100</v>
      </c>
    </row>
    <row r="26" spans="1:4" x14ac:dyDescent="0.35">
      <c r="A26" s="25" t="s">
        <v>1275</v>
      </c>
      <c r="D26" s="314">
        <f>D25*F3</f>
        <v>363744</v>
      </c>
    </row>
    <row r="27" spans="1:4" x14ac:dyDescent="0.35">
      <c r="A27" s="25" t="s">
        <v>1273</v>
      </c>
      <c r="D27" s="310">
        <f>IFERROR((D25-D23/F3)/(D23/F3),0)</f>
        <v>16.292355202957364</v>
      </c>
    </row>
    <row r="28" spans="1:4" x14ac:dyDescent="0.35">
      <c r="A28" s="222" t="s">
        <v>1387</v>
      </c>
    </row>
    <row r="30" spans="1:4" x14ac:dyDescent="0.35">
      <c r="A30" s="315" t="s">
        <v>1388</v>
      </c>
    </row>
    <row r="31" spans="1:4" x14ac:dyDescent="0.35">
      <c r="A31" s="25" t="s">
        <v>711</v>
      </c>
      <c r="D31" s="316">
        <f>MAX(0,VLOOKUP("บานเลื่อนรางบน",ค่าแรง!$A$12:$E$28,2,0)+VLOOKUP("บานเลื่อนรางบน",ค่าแรง!$A$12:$E$28,3,0)*F3)</f>
        <v>661.05600000000004</v>
      </c>
    </row>
    <row r="32" spans="1:4" x14ac:dyDescent="0.35">
      <c r="A32" s="25" t="s">
        <v>654</v>
      </c>
      <c r="D32" s="316">
        <f>MAX(0,VLOOKUP("บานเลื่อนรางบน",ค่าแรง!$A$12:$E$28,4,0)+VLOOKUP("บานเลื่อนรางบน",ค่าแรง!$A$12:$E$28,5,0)*F3)</f>
        <v>837.05600000000004</v>
      </c>
    </row>
    <row r="33" spans="1:11" x14ac:dyDescent="0.35">
      <c r="A33" s="25" t="s">
        <v>1389</v>
      </c>
      <c r="D33" s="316">
        <f>ROUNDUP((D23+D31+D32)*(1+B7/100)/100,0)*100</f>
        <v>45100</v>
      </c>
    </row>
    <row r="34" spans="1:11" x14ac:dyDescent="0.3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x14ac:dyDescent="0.35">
      <c r="A35" s="381"/>
      <c r="B35" s="153"/>
      <c r="C35" s="153"/>
      <c r="D35" s="153"/>
      <c r="E35" s="153"/>
      <c r="F35" s="153"/>
      <c r="G35" s="153"/>
      <c r="H35" s="153"/>
      <c r="I35" s="153"/>
      <c r="J35" s="153"/>
      <c r="K35" s="153"/>
    </row>
    <row r="36" spans="1:11" x14ac:dyDescent="0.35">
      <c r="A36" s="382"/>
      <c r="B36" s="383"/>
      <c r="C36" s="153"/>
      <c r="D36" s="153"/>
      <c r="E36" s="153"/>
      <c r="F36" s="153"/>
      <c r="G36" s="153"/>
      <c r="H36" s="153"/>
      <c r="I36" s="153"/>
      <c r="J36" s="153"/>
      <c r="K36" s="153"/>
    </row>
    <row r="37" spans="1:11" x14ac:dyDescent="0.35">
      <c r="A37" s="382"/>
      <c r="B37" s="383"/>
      <c r="C37" s="153"/>
      <c r="D37" s="153"/>
      <c r="E37" s="153"/>
      <c r="F37" s="153"/>
      <c r="G37" s="153"/>
      <c r="H37" s="153"/>
      <c r="I37" s="153"/>
      <c r="J37" s="153"/>
      <c r="K37" s="153"/>
    </row>
    <row r="38" spans="1:11" x14ac:dyDescent="0.35">
      <c r="A38" s="382"/>
      <c r="B38" s="383"/>
      <c r="C38" s="153"/>
      <c r="D38" s="153"/>
      <c r="E38" s="153"/>
      <c r="F38" s="153"/>
      <c r="G38" s="153"/>
      <c r="H38" s="153"/>
      <c r="I38" s="153"/>
      <c r="J38" s="153"/>
      <c r="K38" s="153"/>
    </row>
    <row r="39" spans="1:11" x14ac:dyDescent="0.35">
      <c r="A39" s="382"/>
      <c r="B39" s="384"/>
      <c r="C39" s="153"/>
      <c r="D39" s="153"/>
      <c r="E39" s="153"/>
      <c r="F39" s="153"/>
      <c r="G39" s="153"/>
      <c r="H39" s="153"/>
      <c r="I39" s="153"/>
      <c r="J39" s="153"/>
      <c r="K39" s="153"/>
    </row>
    <row r="40" spans="1:11" x14ac:dyDescent="0.3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</row>
    <row r="41" spans="1:11" x14ac:dyDescent="0.35">
      <c r="A41" s="375" t="s">
        <v>1269</v>
      </c>
    </row>
    <row r="42" spans="1:11" x14ac:dyDescent="0.35">
      <c r="A42" s="376" t="s">
        <v>1270</v>
      </c>
      <c r="B42" s="377">
        <f>D11+D12+D13+D14+D15+D18+D21</f>
        <v>17680</v>
      </c>
    </row>
    <row r="43" spans="1:11" x14ac:dyDescent="0.35">
      <c r="A43" s="378" t="s">
        <v>1272</v>
      </c>
      <c r="B43" s="379">
        <f>D16</f>
        <v>2280.96</v>
      </c>
    </row>
    <row r="44" spans="1:11" x14ac:dyDescent="0.35">
      <c r="A44" s="378" t="s">
        <v>1274</v>
      </c>
      <c r="B44" s="379">
        <f>D17+D19+D20+D22</f>
        <v>1074</v>
      </c>
    </row>
    <row r="45" spans="1:11" x14ac:dyDescent="0.35">
      <c r="A45" s="378" t="s">
        <v>1276</v>
      </c>
      <c r="B45" s="380">
        <f>B42+B43+B44</f>
        <v>21034.959999999999</v>
      </c>
    </row>
  </sheetData>
  <mergeCells count="1">
    <mergeCell ref="A1:D1"/>
  </mergeCells>
  <dataValidations count="2">
    <dataValidation type="list" sqref="B5" xr:uid="{00000000-0002-0000-1000-000000000000}">
      <formula1>"สีอบขาว/ดำ,เทาซาฮาร่า,ลายไม้ stock,สีอบพิเศษ,สีลายไม้อบพิเศษ"</formula1>
    </dataValidation>
    <dataValidation type="list" sqref="B6" xr:uid="{00000000-0002-0000-1000-000001000000}">
      <formula1>GlassNames</formula1>
    </dataValidation>
  </dataValidations>
  <hyperlinks>
    <hyperlink ref="G1" location="'สารบัญ'!A1" display="🏠 สารบัญ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K6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5.90625" customWidth="1"/>
    <col min="3" max="3" width="16.90625" customWidth="1"/>
    <col min="4" max="4" width="43.08984375" customWidth="1"/>
    <col min="5" max="5" width="46" customWidth="1"/>
    <col min="6" max="6" width="16.90625" customWidth="1"/>
    <col min="7" max="8" width="13" customWidth="1"/>
  </cols>
  <sheetData>
    <row r="1" spans="1:8" ht="24" customHeight="1" x14ac:dyDescent="0.35">
      <c r="A1" s="437" t="s">
        <v>1390</v>
      </c>
      <c r="B1" s="411"/>
      <c r="C1" s="411"/>
      <c r="D1" s="411"/>
      <c r="E1" s="319"/>
      <c r="G1" s="388" t="s">
        <v>78</v>
      </c>
      <c r="H1" s="389"/>
    </row>
    <row r="3" spans="1:8" ht="15" customHeight="1" x14ac:dyDescent="0.35">
      <c r="A3" s="31" t="s">
        <v>1236</v>
      </c>
      <c r="B3" s="32">
        <v>150</v>
      </c>
    </row>
    <row r="4" spans="1:8" ht="15" customHeight="1" x14ac:dyDescent="0.35">
      <c r="A4" s="31" t="s">
        <v>1238</v>
      </c>
      <c r="B4" s="32">
        <v>200</v>
      </c>
    </row>
    <row r="5" spans="1:8" ht="15" customHeight="1" x14ac:dyDescent="0.35">
      <c r="A5" s="31" t="s">
        <v>1240</v>
      </c>
      <c r="B5" s="32">
        <v>1</v>
      </c>
    </row>
    <row r="6" spans="1:8" ht="15" customHeight="1" x14ac:dyDescent="0.35">
      <c r="A6" s="31" t="s">
        <v>1391</v>
      </c>
      <c r="B6" s="43" t="s">
        <v>1392</v>
      </c>
    </row>
    <row r="7" spans="1:8" ht="15" customHeight="1" x14ac:dyDescent="0.35">
      <c r="A7" s="51" t="s">
        <v>1245</v>
      </c>
      <c r="B7" s="52">
        <f>(B3/100)*(B4/100)</f>
        <v>3</v>
      </c>
    </row>
    <row r="8" spans="1:8" ht="15" customHeight="1" x14ac:dyDescent="0.35">
      <c r="A8" s="31" t="s">
        <v>1247</v>
      </c>
      <c r="B8" s="43">
        <v>100</v>
      </c>
    </row>
    <row r="9" spans="1:8" ht="15" customHeight="1" x14ac:dyDescent="0.35">
      <c r="A9" s="31" t="s">
        <v>1250</v>
      </c>
      <c r="B9" s="32">
        <v>90</v>
      </c>
    </row>
    <row r="10" spans="1:8" ht="15" customHeight="1" x14ac:dyDescent="0.35">
      <c r="A10" s="30" t="s">
        <v>1251</v>
      </c>
      <c r="B10" s="27" t="s">
        <v>778</v>
      </c>
      <c r="C10" s="53">
        <f>INDEX(ราคาวัสดุกลาง!$I$2:$I$106,MATCH(B10,ราคาวัสดุกลาง!$H$2:$H$106,0))</f>
        <v>264</v>
      </c>
      <c r="D10" s="30" t="s">
        <v>1252</v>
      </c>
      <c r="E10" s="30" t="s">
        <v>1253</v>
      </c>
      <c r="F10" s="27" t="s">
        <v>1254</v>
      </c>
      <c r="G10" s="30">
        <f>IF(F10="สีอบขาว/ดำ",180,IF(F10="เทาซาฮาร่า",ROUND(180*1.09,0),IF(F10="ลายไม้ stock",ROUND(180*1.6,0),IF(F10="สีอบพิเศษ",140,160))))</f>
        <v>180</v>
      </c>
    </row>
    <row r="11" spans="1:8" ht="15" customHeight="1" x14ac:dyDescent="0.35">
      <c r="A11" s="54" t="s">
        <v>482</v>
      </c>
      <c r="B11" s="54" t="s">
        <v>1255</v>
      </c>
      <c r="C11" s="54" t="s">
        <v>1256</v>
      </c>
      <c r="D11" s="54" t="s">
        <v>1257</v>
      </c>
    </row>
    <row r="12" spans="1:8" ht="15" customHeight="1" x14ac:dyDescent="0.35">
      <c r="A12" s="33" t="s">
        <v>1393</v>
      </c>
      <c r="B12" s="55">
        <f>ROUNDUP((B3+2*B4)/640,0)</f>
        <v>1</v>
      </c>
      <c r="C12" s="56">
        <f>IF(F10="สีอบขาว/ดำ",1100,IF(F10="เทาซาฮาร่า",VLOOKUP("F7859",ราคาสี!$A:$F,5,0),IF(F10="ลายไม้ stock",(VLOOKUP("F7859",ราคาสี!$A:$F,6,0)*mult_wood/mult_euro),1100+IF(F10="สีอบพิเศษ",rate_special,rate_woodbake)*6.11111)))</f>
        <v>1100</v>
      </c>
      <c r="D12" s="47">
        <f t="shared" ref="D12:D18" si="0">B12*C12*mult_euro</f>
        <v>1100</v>
      </c>
    </row>
    <row r="13" spans="1:8" ht="15" customHeight="1" x14ac:dyDescent="0.35">
      <c r="A13" s="33" t="s">
        <v>1394</v>
      </c>
      <c r="B13" s="55">
        <f>IF(B6="มี",ROUNDUP(B3/640,0),0)</f>
        <v>1</v>
      </c>
      <c r="C13" s="56">
        <f>IF(F10="สีอบขาว/ดำ",1400,IF(F10="เทาซาฮาร่า",VLOOKUP("F7938B",ราคาสี!$A:$F,5,0),IF(F10="ลายไม้ stock",(VLOOKUP("F7938B",ราคาสี!$A:$F,6,0)*mult_wood/mult_euro),1400+IF(F10="สีอบพิเศษ",rate_special,rate_woodbake)*7.77778)))</f>
        <v>1400</v>
      </c>
      <c r="D13" s="47">
        <f t="shared" si="0"/>
        <v>1400</v>
      </c>
    </row>
    <row r="14" spans="1:8" ht="15" customHeight="1" x14ac:dyDescent="0.35">
      <c r="A14" s="33" t="s">
        <v>1395</v>
      </c>
      <c r="B14" s="55">
        <f>IF(B6="มี",ROUNDUP(B3/640,0),0)</f>
        <v>1</v>
      </c>
      <c r="C14" s="56">
        <f>IF(F10="สีอบขาว/ดำ",575,IF(F10="เทาซาฮาร่า",VLOOKUP("F7960",ราคาสี!$A:$F,5,0),IF(F10="ลายไม้ stock",(VLOOKUP("F7960",ราคาสี!$A:$F,6,0)*mult_wood/mult_euro),575+IF(F10="สีอบพิเศษ",rate_special,rate_woodbake)*3.19444)))</f>
        <v>575</v>
      </c>
      <c r="D14" s="47">
        <f t="shared" si="0"/>
        <v>575</v>
      </c>
    </row>
    <row r="15" spans="1:8" ht="15" customHeight="1" x14ac:dyDescent="0.35">
      <c r="A15" s="33" t="s">
        <v>1396</v>
      </c>
      <c r="B15" s="55">
        <f>IF(B6="ไม่มี",ROUNDUP(B3/640,0),0)</f>
        <v>0</v>
      </c>
      <c r="C15" s="56">
        <f>IF(F10="สีอบขาว/ดำ",435,IF(F10="เทาซาฮาร่า",435+rate_grey*2.41667,IF(F10="ลายไม้ stock",645,435+IF(F10="สีอบพิเศษ",rate_special,rate_woodbake)*2.41667)))</f>
        <v>435</v>
      </c>
      <c r="D15" s="47">
        <f t="shared" si="0"/>
        <v>0</v>
      </c>
    </row>
    <row r="16" spans="1:8" ht="15" customHeight="1" x14ac:dyDescent="0.35">
      <c r="A16" s="33" t="s">
        <v>1397</v>
      </c>
      <c r="B16" s="55">
        <f>ROUNDUP((2*B5*B4+2*B3)/640,0)</f>
        <v>2</v>
      </c>
      <c r="C16" s="56">
        <f>IF(F10="สีอบขาว/ดำ",1995,IF(F10="เทาซาฮาร่า",1995+rate_grey*11.08333,IF(F10="ลายไม้ stock",3170,1995+IF(F10="สีอบพิเศษ",rate_special,rate_woodbake)*11.08333)))</f>
        <v>1995</v>
      </c>
      <c r="D16" s="47">
        <f t="shared" si="0"/>
        <v>3990</v>
      </c>
    </row>
    <row r="17" spans="1:5" ht="15" customHeight="1" x14ac:dyDescent="0.35">
      <c r="A17" s="33" t="s">
        <v>1398</v>
      </c>
      <c r="B17" s="55">
        <f>ROUNDUP((2*B5*B4+2*B3)/640,0)</f>
        <v>2</v>
      </c>
      <c r="C17" s="56">
        <f>IF(F10="สีอบขาว/ดำ",360,IF(F10="เทาซาฮาร่า",360+rate_grey*2,IF(F10="ลายไม้ stock",570,360+IF(F10="สีอบพิเศษ",rate_special,rate_woodbake)*2)))</f>
        <v>360</v>
      </c>
      <c r="D17" s="47">
        <f t="shared" si="0"/>
        <v>720</v>
      </c>
    </row>
    <row r="18" spans="1:5" ht="15" customHeight="1" x14ac:dyDescent="0.35">
      <c r="A18" s="33" t="s">
        <v>1399</v>
      </c>
      <c r="B18" s="55">
        <f>IF(B5&gt;1,1,0)</f>
        <v>0</v>
      </c>
      <c r="C18" s="56">
        <f>IF(F10="สีอบขาว/ดำ",775,IF(F10="เทาซาฮาร่า",775+rate_grey*4.30556,IF(F10="ลายไม้ stock",1080,775+IF(F10="สีอบพิเศษ",rate_special,rate_woodbake)*4.30556)))</f>
        <v>775</v>
      </c>
      <c r="D18" s="47">
        <f t="shared" si="0"/>
        <v>0</v>
      </c>
    </row>
    <row r="19" spans="1:5" ht="15" customHeight="1" x14ac:dyDescent="0.35">
      <c r="A19" s="33" t="s">
        <v>1400</v>
      </c>
      <c r="B19" s="55">
        <f>IF(OR(B4&gt;300,B3/B5&gt;120),5,4)*B5</f>
        <v>5</v>
      </c>
      <c r="C19" s="56">
        <v>117</v>
      </c>
      <c r="D19" s="47">
        <f t="shared" ref="D19:D26" si="1">B19*C19</f>
        <v>585</v>
      </c>
    </row>
    <row r="20" spans="1:5" ht="15" customHeight="1" x14ac:dyDescent="0.35">
      <c r="A20" s="33" t="s">
        <v>1401</v>
      </c>
      <c r="B20" s="55">
        <f>1</f>
        <v>1</v>
      </c>
      <c r="C20" s="56">
        <v>1045</v>
      </c>
      <c r="D20" s="47">
        <f t="shared" si="1"/>
        <v>1045</v>
      </c>
    </row>
    <row r="21" spans="1:5" ht="15" customHeight="1" x14ac:dyDescent="0.35">
      <c r="A21" s="33" t="s">
        <v>1402</v>
      </c>
      <c r="B21" s="55">
        <f>MAX(B5-1,0)</f>
        <v>0</v>
      </c>
      <c r="C21" s="56">
        <v>450</v>
      </c>
      <c r="D21" s="47">
        <f t="shared" si="1"/>
        <v>0</v>
      </c>
    </row>
    <row r="22" spans="1:5" ht="15" customHeight="1" x14ac:dyDescent="0.35">
      <c r="A22" s="33" t="s">
        <v>1403</v>
      </c>
      <c r="B22" s="55">
        <f>IF(B6="มี",8,6)</f>
        <v>8</v>
      </c>
      <c r="C22" s="56">
        <v>1</v>
      </c>
      <c r="D22" s="47">
        <f t="shared" si="1"/>
        <v>8</v>
      </c>
    </row>
    <row r="23" spans="1:5" ht="15" customHeight="1" x14ac:dyDescent="0.35">
      <c r="A23" s="33" t="s">
        <v>1404</v>
      </c>
      <c r="B23" s="55">
        <f>ROUND(2*(B3+B4)/100*B5,0)</f>
        <v>7</v>
      </c>
      <c r="C23" s="56">
        <v>11</v>
      </c>
      <c r="D23" s="47">
        <f t="shared" si="1"/>
        <v>77</v>
      </c>
    </row>
    <row r="24" spans="1:5" ht="15" customHeight="1" x14ac:dyDescent="0.35">
      <c r="A24" s="33" t="s">
        <v>1259</v>
      </c>
      <c r="B24" s="55">
        <f>B7</f>
        <v>3</v>
      </c>
      <c r="C24" s="56">
        <f>INDEX(ราคาวัสดุกลาง!$I$2:$I$106,MATCH(B10,ราคาวัสดุกลาง!$H$2:$H$106,0))</f>
        <v>264</v>
      </c>
      <c r="D24" s="47">
        <f t="shared" si="1"/>
        <v>792</v>
      </c>
    </row>
    <row r="25" spans="1:5" ht="15" customHeight="1" x14ac:dyDescent="0.35">
      <c r="A25" s="33" t="s">
        <v>1265</v>
      </c>
      <c r="B25" s="55">
        <f>ROUNDUP(2*(B3+B4)/100*2/12.5,0)</f>
        <v>2</v>
      </c>
      <c r="C25" s="56">
        <f>B9</f>
        <v>90</v>
      </c>
      <c r="D25" s="47">
        <f t="shared" si="1"/>
        <v>180</v>
      </c>
    </row>
    <row r="26" spans="1:5" ht="15" customHeight="1" x14ac:dyDescent="0.35">
      <c r="A26" s="57" t="s">
        <v>1266</v>
      </c>
      <c r="B26" s="57">
        <f>IF(OR(F10="สีอบพิเศษ",F10="สีลายไม้อบพิเศษ"),1,0)</f>
        <v>0</v>
      </c>
      <c r="C26" s="53">
        <v>2000</v>
      </c>
      <c r="D26" s="53">
        <f t="shared" si="1"/>
        <v>0</v>
      </c>
      <c r="E26" s="57" t="s">
        <v>1267</v>
      </c>
    </row>
    <row r="27" spans="1:5" ht="15" customHeight="1" x14ac:dyDescent="0.35">
      <c r="A27" s="58" t="s">
        <v>1268</v>
      </c>
      <c r="D27" s="59">
        <f>SUM(D12:D26)+D46+D47+D48+D49</f>
        <v>10472</v>
      </c>
    </row>
    <row r="28" spans="1:5" ht="15" customHeight="1" x14ac:dyDescent="0.35">
      <c r="A28" s="58" t="s">
        <v>1125</v>
      </c>
      <c r="D28" s="59">
        <f>IFERROR(D27/B7,0)</f>
        <v>3490.6666666666665</v>
      </c>
    </row>
    <row r="29" spans="1:5" ht="15" customHeight="1" x14ac:dyDescent="0.35">
      <c r="A29" s="60" t="s">
        <v>1271</v>
      </c>
      <c r="D29" s="61">
        <f>ROUNDUP(D27*(1+B8/100)/100,0)*100</f>
        <v>21000</v>
      </c>
    </row>
    <row r="30" spans="1:5" ht="15" customHeight="1" x14ac:dyDescent="0.35">
      <c r="A30" s="60" t="s">
        <v>1275</v>
      </c>
      <c r="D30" s="61">
        <f>D29</f>
        <v>21000</v>
      </c>
    </row>
    <row r="31" spans="1:5" ht="15" customHeight="1" x14ac:dyDescent="0.35">
      <c r="A31" s="62" t="s">
        <v>1351</v>
      </c>
      <c r="D31" s="63">
        <f>IFERROR((D29-D27)/D27,0)</f>
        <v>1.0053475935828877</v>
      </c>
    </row>
    <row r="32" spans="1:5" ht="15" customHeight="1" x14ac:dyDescent="0.35">
      <c r="A32" s="433"/>
      <c r="B32" s="411"/>
      <c r="C32" s="411"/>
      <c r="D32" s="433"/>
    </row>
    <row r="33" spans="1:8" ht="15" customHeight="1" x14ac:dyDescent="0.35">
      <c r="A33" s="411"/>
      <c r="B33" s="411"/>
      <c r="C33" s="411"/>
      <c r="D33" s="433"/>
    </row>
    <row r="34" spans="1:8" ht="15" customHeight="1" x14ac:dyDescent="0.35">
      <c r="A34" s="6"/>
      <c r="B34" s="7"/>
      <c r="C34" s="7"/>
      <c r="D34" s="8"/>
    </row>
    <row r="35" spans="1:8" x14ac:dyDescent="0.35">
      <c r="A35" s="25" t="s">
        <v>1289</v>
      </c>
    </row>
    <row r="36" spans="1:8" x14ac:dyDescent="0.35">
      <c r="A36" s="64" t="s">
        <v>1290</v>
      </c>
      <c r="D36" s="26">
        <f>MAX(0,VLOOKUP("บานเปิด (ยูโร)",ค่าแรง!$A$12:$E$27,2,0)+VLOOKUP("บานเปิด (ยูโร)",ค่าแรง!$A$12:$E$27,3,0)*B7)</f>
        <v>574.20000000000005</v>
      </c>
    </row>
    <row r="37" spans="1:8" x14ac:dyDescent="0.35">
      <c r="A37" s="64" t="s">
        <v>1291</v>
      </c>
      <c r="D37" s="26">
        <f>MAX(0,VLOOKUP("บานเปิด (ยูโร)",ค่าแรง!$A$12:$E$27,4,0)+VLOOKUP("บานเปิด (ยูโร)",ค่าแรง!$A$12:$E$27,5,0)*B7)</f>
        <v>486.2</v>
      </c>
    </row>
    <row r="38" spans="1:8" x14ac:dyDescent="0.35">
      <c r="A38" s="64" t="s">
        <v>1292</v>
      </c>
      <c r="B38" s="27">
        <v>100</v>
      </c>
    </row>
    <row r="39" spans="1:8" x14ac:dyDescent="0.35">
      <c r="A39" s="25" t="s">
        <v>1293</v>
      </c>
      <c r="D39" s="28">
        <f>ROUNDUP((D27+D36+D50)*(1+B8/100)/100,0)*100</f>
        <v>22100</v>
      </c>
    </row>
    <row r="40" spans="1:8" x14ac:dyDescent="0.35">
      <c r="A40" s="25" t="s">
        <v>1294</v>
      </c>
      <c r="D40" s="28">
        <f>D39+ROUNDUP((D37+D51)*(1+B38/100)/100,0)*100</f>
        <v>23100</v>
      </c>
    </row>
    <row r="41" spans="1:8" x14ac:dyDescent="0.35">
      <c r="A41" s="25" t="s">
        <v>1295</v>
      </c>
      <c r="D41" s="29">
        <f>(D40-(D27+D36+D37+D50+D51))/(D27+D36+D37+D50+D51)</f>
        <v>1.0030522701259059</v>
      </c>
    </row>
    <row r="43" spans="1:8" x14ac:dyDescent="0.35">
      <c r="A43" s="233" t="s">
        <v>1277</v>
      </c>
    </row>
    <row r="44" spans="1:8" x14ac:dyDescent="0.35">
      <c r="A44" s="25" t="s">
        <v>1279</v>
      </c>
      <c r="B44" s="287" t="s">
        <v>670</v>
      </c>
      <c r="C44" t="str">
        <f>IF(B44="ไม่มีมุ้ง","—",IF(H45=1,"✓ ใช้ได้","⚠ ใช้กับบานนี้ไม่ได้(ทุน=0)"))</f>
        <v>—</v>
      </c>
      <c r="D44" t="str">
        <f>IF(B44="ไม่มีมุ้ง","",H50&amp;" บาน")</f>
        <v/>
      </c>
      <c r="H44" s="222" t="str">
        <f>IFERROR(VLOOKUP(B44,ราคามุ้ง!$A$2:$O$15,3,0),"")</f>
        <v/>
      </c>
    </row>
    <row r="45" spans="1:8" x14ac:dyDescent="0.35">
      <c r="A45" s="30" t="s">
        <v>1280</v>
      </c>
      <c r="B45" s="287" t="s">
        <v>682</v>
      </c>
      <c r="C45" s="287" t="s">
        <v>1281</v>
      </c>
      <c r="H45" s="222">
        <f>IF(B44="ไม่มีมุ้ง",0,IF(OR(IFERROR(VLOOKUP(B44,ราคามุ้ง!$A$2:$O$15,4,0),"ALL")="ALL",ISNUMBER(SEARCH("เปิด",IFERROR(VLOOKUP(B44,ราคามุ้ง!$A$2:$O$15,4,0),"")))),1,0))</f>
        <v>0</v>
      </c>
    </row>
    <row r="46" spans="1:8" x14ac:dyDescent="0.35">
      <c r="A46" s="30" t="s">
        <v>1282</v>
      </c>
      <c r="B46" s="294">
        <f>IF(AND(H45=1,H46=1),ROUND(H50*2*H49/6,2),0)</f>
        <v>0</v>
      </c>
      <c r="C46" s="291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6" s="123">
        <f>ROUND(B46*C46,0)</f>
        <v>0</v>
      </c>
      <c r="H46" s="222">
        <f>IF(OR(B44="มุ้งเฟรมเล็ก",B44="มุ้งเฟรมใหญ่",B44="มุ้งนิรภัย"),1,0)</f>
        <v>0</v>
      </c>
    </row>
    <row r="47" spans="1:8" x14ac:dyDescent="0.35">
      <c r="A47" s="30" t="s">
        <v>1283</v>
      </c>
      <c r="B47" s="294">
        <f>IF(AND(H45=1,H46=1),ROUND(H50*2*H48/6,2),0)</f>
        <v>0</v>
      </c>
      <c r="C47" s="291">
        <f>IF(B44="มุ้งเฟรมเล็ก",ราคามุ้ง!$B$19,IF(B44="มุ้งเฟรมใหญ่",ROUND(C16*mult_euro,0),IF(B44="มุ้งนิรภัย",ราคามุ้ง!$B$21,0)))</f>
        <v>0</v>
      </c>
      <c r="D47" s="123">
        <f>ROUND(B47*C47,0)</f>
        <v>0</v>
      </c>
      <c r="H47" s="222">
        <f>IFERROR(VLOOKUP(B45,ราคามุ้ง!$I$2:$J$5,2,0),0)</f>
        <v>23</v>
      </c>
    </row>
    <row r="48" spans="1:8" x14ac:dyDescent="0.35">
      <c r="A48" s="30" t="s">
        <v>1284</v>
      </c>
      <c r="B48" s="294">
        <f>IF(AND(H45=1,H46=1),ROUND(H50*2*(H48+H49),2),0)</f>
        <v>0</v>
      </c>
      <c r="C48" s="291">
        <f>ราคามุ้ง!$D$19</f>
        <v>5</v>
      </c>
      <c r="D48" s="123">
        <f>ROUND(B48*C48,0)</f>
        <v>0</v>
      </c>
      <c r="H48" s="222">
        <f>B3/(B5*100)</f>
        <v>1.5</v>
      </c>
    </row>
    <row r="49" spans="1:11" x14ac:dyDescent="0.35">
      <c r="A49" s="30" t="s">
        <v>1285</v>
      </c>
      <c r="B49" s="294">
        <f>IF(H45=0,0,ROUND(H50*H48*H49,2))</f>
        <v>0</v>
      </c>
      <c r="C49" s="291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123">
        <f>ROUND(B49*C49,0)</f>
        <v>0</v>
      </c>
      <c r="H49" s="222">
        <f>B4/100</f>
        <v>2</v>
      </c>
    </row>
    <row r="50" spans="1:11" x14ac:dyDescent="0.35">
      <c r="A50" s="30" t="s">
        <v>1286</v>
      </c>
      <c r="D50" s="123">
        <f>IF(H45=0,0,ROUND(H50*(VLOOKUP(B44,ราคามุ้ง!$A$2:$O$15,12,0)+VLOOKUP(B44,ราคามุ้ง!$A$2:$O$15,13,0)*H48*H49),0))</f>
        <v>0</v>
      </c>
      <c r="H50" s="222">
        <f>B5</f>
        <v>1</v>
      </c>
    </row>
    <row r="51" spans="1:11" x14ac:dyDescent="0.35">
      <c r="A51" s="30" t="s">
        <v>1287</v>
      </c>
      <c r="D51" s="123">
        <f>IF(H45=0,0,ROUND(H50*(VLOOKUP(B44,ราคามุ้ง!$A$2:$O$15,14,0)+VLOOKUP(B44,ราคามุ้ง!$A$2:$O$15,15,0)*H48*H49),0))</f>
        <v>0</v>
      </c>
    </row>
    <row r="52" spans="1:11" x14ac:dyDescent="0.35">
      <c r="A52" s="333" t="s">
        <v>1326</v>
      </c>
      <c r="D52" s="334">
        <f>SUM(D46:D51)</f>
        <v>0</v>
      </c>
    </row>
    <row r="53" spans="1:11" x14ac:dyDescent="0.35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</row>
    <row r="54" spans="1:11" x14ac:dyDescent="0.35">
      <c r="A54" s="381"/>
      <c r="B54" s="153"/>
      <c r="C54" s="153"/>
      <c r="D54" s="153"/>
      <c r="E54" s="153"/>
      <c r="F54" s="153"/>
      <c r="G54" s="153"/>
      <c r="H54" s="153"/>
      <c r="I54" s="153"/>
      <c r="J54" s="153"/>
      <c r="K54" s="153"/>
    </row>
    <row r="55" spans="1:11" x14ac:dyDescent="0.35">
      <c r="A55" s="382"/>
      <c r="B55" s="38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x14ac:dyDescent="0.35">
      <c r="A56" s="382"/>
      <c r="B56" s="383"/>
      <c r="C56" s="153"/>
      <c r="D56" s="153"/>
      <c r="E56" s="153"/>
      <c r="F56" s="153"/>
      <c r="G56" s="153"/>
      <c r="H56" s="153"/>
      <c r="I56" s="153"/>
      <c r="J56" s="153"/>
      <c r="K56" s="153"/>
    </row>
    <row r="57" spans="1:11" x14ac:dyDescent="0.35">
      <c r="A57" s="382"/>
      <c r="B57" s="383"/>
      <c r="C57" s="153"/>
      <c r="D57" s="153"/>
      <c r="E57" s="153"/>
      <c r="F57" s="153"/>
      <c r="G57" s="153"/>
      <c r="H57" s="153"/>
      <c r="I57" s="153"/>
      <c r="J57" s="153"/>
      <c r="K57" s="153"/>
    </row>
    <row r="58" spans="1:11" x14ac:dyDescent="0.35">
      <c r="A58" s="382"/>
      <c r="B58" s="384"/>
      <c r="C58" s="153"/>
      <c r="D58" s="153"/>
      <c r="E58" s="153"/>
      <c r="F58" s="153"/>
      <c r="G58" s="153"/>
      <c r="H58" s="153"/>
      <c r="I58" s="153"/>
      <c r="J58" s="153"/>
      <c r="K58" s="153"/>
    </row>
    <row r="59" spans="1:11" x14ac:dyDescent="0.35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x14ac:dyDescent="0.35">
      <c r="A60" s="375" t="s">
        <v>1269</v>
      </c>
    </row>
    <row r="61" spans="1:11" x14ac:dyDescent="0.35">
      <c r="A61" s="376" t="s">
        <v>1270</v>
      </c>
      <c r="B61" s="377">
        <f>D12+D13+D14+D15+D16+D17+D18+D20+D21+D22+D25</f>
        <v>9018</v>
      </c>
    </row>
    <row r="62" spans="1:11" x14ac:dyDescent="0.35">
      <c r="A62" s="378" t="s">
        <v>1272</v>
      </c>
      <c r="B62" s="379">
        <f>D24</f>
        <v>792</v>
      </c>
    </row>
    <row r="63" spans="1:11" x14ac:dyDescent="0.35">
      <c r="A63" s="378" t="s">
        <v>1274</v>
      </c>
      <c r="B63" s="379">
        <f>D19+D23+D26</f>
        <v>662</v>
      </c>
    </row>
    <row r="64" spans="1:11" x14ac:dyDescent="0.35">
      <c r="A64" s="378" t="s">
        <v>1276</v>
      </c>
      <c r="B64" s="380">
        <f>B61+B62+B63</f>
        <v>10472</v>
      </c>
    </row>
  </sheetData>
  <mergeCells count="2">
    <mergeCell ref="A1:D1"/>
    <mergeCell ref="A32:D33"/>
  </mergeCells>
  <dataValidations count="6">
    <dataValidation type="list" sqref="B6" xr:uid="{00000000-0002-0000-1100-000000000000}">
      <formula1>"มี,ไม่มี"</formula1>
      <formula2>0</formula2>
    </dataValidation>
    <dataValidation type="list" sqref="B10" xr:uid="{00000000-0002-0000-1100-000001000000}">
      <formula1>GlassNames</formula1>
      <formula2>0</formula2>
    </dataValidation>
    <dataValidation type="list" sqref="F10" xr:uid="{00000000-0002-0000-1100-000002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allowBlank="1" sqref="B44" xr:uid="{00000000-0002-0000-1100-000003000000}">
      <formula1>MungList</formula1>
    </dataValidation>
    <dataValidation type="list" allowBlank="1" sqref="B45" xr:uid="{00000000-0002-0000-1100-000004000000}">
      <formula1>ClothList</formula1>
    </dataValidation>
    <dataValidation type="list" allowBlank="1" sqref="C45" xr:uid="{00000000-0002-0000-1100-000005000000}">
      <formula1>"เทา,ดำ"</formula1>
    </dataValidation>
  </dataValidations>
  <hyperlinks>
    <hyperlink ref="G1" location="'สารบัญ'!A1" display="🏠 สารบัญ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K77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8.90625" customWidth="1"/>
    <col min="3" max="3" width="16.90625" customWidth="1"/>
    <col min="4" max="4" width="43.08984375" customWidth="1"/>
    <col min="5" max="5" width="46" customWidth="1"/>
    <col min="6" max="6" width="16.90625" customWidth="1"/>
    <col min="7" max="8" width="13" customWidth="1"/>
  </cols>
  <sheetData>
    <row r="1" spans="1:8" ht="24" customHeight="1" x14ac:dyDescent="0.35">
      <c r="A1" s="437" t="s">
        <v>1405</v>
      </c>
      <c r="B1" s="411"/>
      <c r="C1" s="411"/>
      <c r="D1" s="411"/>
      <c r="E1" s="319"/>
      <c r="G1" s="388" t="s">
        <v>78</v>
      </c>
      <c r="H1" s="389"/>
    </row>
    <row r="3" spans="1:8" ht="15" customHeight="1" x14ac:dyDescent="0.35">
      <c r="A3" s="31" t="s">
        <v>1236</v>
      </c>
      <c r="B3" s="32">
        <v>40</v>
      </c>
    </row>
    <row r="4" spans="1:8" ht="15" customHeight="1" x14ac:dyDescent="0.35">
      <c r="A4" s="31" t="s">
        <v>1238</v>
      </c>
      <c r="B4" s="32">
        <v>40</v>
      </c>
    </row>
    <row r="5" spans="1:8" ht="15" customHeight="1" x14ac:dyDescent="0.35">
      <c r="A5" s="31" t="s">
        <v>1240</v>
      </c>
      <c r="B5" s="32">
        <v>1</v>
      </c>
    </row>
    <row r="6" spans="1:8" ht="15" customHeight="1" x14ac:dyDescent="0.35">
      <c r="A6" s="151"/>
      <c r="B6" s="152"/>
    </row>
    <row r="7" spans="1:8" ht="15" customHeight="1" x14ac:dyDescent="0.35">
      <c r="A7" s="51" t="s">
        <v>1245</v>
      </c>
      <c r="B7" s="52">
        <f>(B3/100)*(B4/100)</f>
        <v>0.16000000000000003</v>
      </c>
    </row>
    <row r="8" spans="1:8" ht="15" customHeight="1" x14ac:dyDescent="0.35">
      <c r="A8" s="31" t="s">
        <v>1247</v>
      </c>
      <c r="B8" s="43">
        <v>100</v>
      </c>
    </row>
    <row r="9" spans="1:8" ht="15" customHeight="1" x14ac:dyDescent="0.35">
      <c r="A9" s="31" t="s">
        <v>1250</v>
      </c>
      <c r="B9" s="32">
        <v>90</v>
      </c>
    </row>
    <row r="10" spans="1:8" ht="15" customHeight="1" x14ac:dyDescent="0.35">
      <c r="A10" s="30" t="s">
        <v>1251</v>
      </c>
      <c r="B10" s="27" t="s">
        <v>778</v>
      </c>
      <c r="C10" s="53">
        <f>INDEX(ราคาวัสดุกลาง!$I$2:$I$106,MATCH(B10,ราคาวัสดุกลาง!$H$2:$H$106,0))</f>
        <v>264</v>
      </c>
      <c r="D10" s="30" t="s">
        <v>1252</v>
      </c>
      <c r="E10" s="30" t="s">
        <v>1253</v>
      </c>
      <c r="F10" s="27" t="s">
        <v>1254</v>
      </c>
      <c r="G10" s="30">
        <f>IF(F10="สีอบขาว/ดำ",180,IF(F10="เทาซาฮาร่า",ROUND(180*1.09,0),IF(F10="ลายไม้ stock",ROUND(180*1.6,0),IF(F10="สีอบพิเศษ",140,160))))</f>
        <v>180</v>
      </c>
    </row>
    <row r="11" spans="1:8" ht="15" customHeight="1" x14ac:dyDescent="0.35">
      <c r="A11" s="54" t="s">
        <v>482</v>
      </c>
      <c r="B11" s="54" t="s">
        <v>1255</v>
      </c>
      <c r="C11" s="54" t="s">
        <v>1256</v>
      </c>
      <c r="D11" s="54" t="s">
        <v>1257</v>
      </c>
    </row>
    <row r="12" spans="1:8" ht="15" customHeight="1" x14ac:dyDescent="0.35">
      <c r="A12" s="33" t="s">
        <v>1393</v>
      </c>
      <c r="B12" s="55">
        <f>ROUNDUP((B3+2*B4)/640,0)</f>
        <v>1</v>
      </c>
      <c r="C12" s="56">
        <f>IF(F10="สีอบขาว/ดำ",1100,IF(F10="เทาซาฮาร่า",VLOOKUP("F7859",ราคาสี!$A:$F,5,0),IF(F10="ลายไม้ stock",(VLOOKUP("F7859",ราคาสี!$A:$F,6,0)*mult_wood/mult_euro),1100+IF(F10="สีอบพิเศษ",rate_special,rate_woodbake)*6.11111)))</f>
        <v>1100</v>
      </c>
      <c r="D12" s="47">
        <f>B12*C12*mult_euro</f>
        <v>1100</v>
      </c>
    </row>
    <row r="13" spans="1:8" ht="15" customHeight="1" x14ac:dyDescent="0.35">
      <c r="A13" s="33" t="s">
        <v>1406</v>
      </c>
      <c r="B13" s="55">
        <f>ROUNDUP(B3/640,0)</f>
        <v>1</v>
      </c>
      <c r="C13" s="56">
        <f>IF(F10="สีอบขาว/ดำ",1400,IF(F10="เทาซาฮาร่า",VLOOKUP("F7939B",ราคาสี!$A:$F,5,0),IF(F10="ลายไม้ stock",(VLOOKUP("F7939B",ราคาสี!$A:$F,6,0)*mult_wood/mult_euro),1400+IF(F10="สีอบพิเศษ",rate_special,rate_woodbake)*7.77778)))</f>
        <v>1400</v>
      </c>
      <c r="D13" s="47">
        <f>B13*C13*mult_euro</f>
        <v>1400</v>
      </c>
    </row>
    <row r="14" spans="1:8" ht="15" customHeight="1" x14ac:dyDescent="0.35">
      <c r="A14" s="33" t="s">
        <v>1407</v>
      </c>
      <c r="B14" s="55">
        <f>ROUNDUP((2*B5*B4+2*B3)/640,0)</f>
        <v>1</v>
      </c>
      <c r="C14" s="56">
        <f>IF(F10="สีอบขาว/ดำ",1480,IF(F10="เทาซาฮาร่า",VLOOKUP("F7943B",ราคาสี!$A:$F,5,0),IF(F10="ลายไม้ stock",(VLOOKUP("F7943B",ราคาสี!$A:$F,6,0)*mult_wood/mult_euro),1480+IF(F10="สีอบพิเศษ",rate_special,rate_woodbake)*8.22222)))</f>
        <v>1480</v>
      </c>
      <c r="D14" s="47">
        <f>B14*C14*mult_euro</f>
        <v>1480</v>
      </c>
    </row>
    <row r="15" spans="1:8" ht="15" customHeight="1" x14ac:dyDescent="0.35">
      <c r="A15" s="33" t="s">
        <v>1398</v>
      </c>
      <c r="B15" s="55">
        <f>ROUNDUP((2*B5*B4+2*B3)/640,0)</f>
        <v>1</v>
      </c>
      <c r="C15" s="56">
        <f>IF(F10="สีอบขาว/ดำ",360,IF(F10="เทาซาฮาร่า",360+rate_grey*2,IF(F10="ลายไม้ stock",570,360+IF(F10="สีอบพิเศษ",rate_special,rate_woodbake)*2)))</f>
        <v>360</v>
      </c>
      <c r="D15" s="47">
        <f>B15*C15*mult_euro</f>
        <v>360</v>
      </c>
    </row>
    <row r="16" spans="1:8" ht="15" customHeight="1" x14ac:dyDescent="0.35">
      <c r="A16" s="33" t="s">
        <v>1399</v>
      </c>
      <c r="B16" s="55">
        <f>IF(B5&gt;1,1,0)</f>
        <v>0</v>
      </c>
      <c r="C16" s="56">
        <f>IF(F10="สีอบขาว/ดำ",775,IF(F10="เทาซาฮาร่า",775+rate_grey*4.30556,IF(F10="ลายไม้ stock",1080,775+IF(F10="สีอบพิเศษ",rate_special,rate_woodbake)*4.30556)))</f>
        <v>775</v>
      </c>
      <c r="D16" s="47">
        <f>B16*C16*mult_euro</f>
        <v>0</v>
      </c>
    </row>
    <row r="17" spans="1:5" ht="15" customHeight="1" x14ac:dyDescent="0.35">
      <c r="A17" s="33" t="s">
        <v>1347</v>
      </c>
      <c r="B17" s="55">
        <f>1</f>
        <v>1</v>
      </c>
      <c r="C17" s="56">
        <v>140</v>
      </c>
      <c r="D17" s="47">
        <f t="shared" ref="D17:D32" si="0">B17*C17</f>
        <v>140</v>
      </c>
    </row>
    <row r="18" spans="1:5" ht="15" customHeight="1" x14ac:dyDescent="0.35">
      <c r="A18" s="33" t="s">
        <v>1408</v>
      </c>
      <c r="B18" s="55">
        <f>2*B5</f>
        <v>2</v>
      </c>
      <c r="C18" s="56">
        <v>200</v>
      </c>
      <c r="D18" s="47">
        <f t="shared" si="0"/>
        <v>400</v>
      </c>
    </row>
    <row r="19" spans="1:5" ht="15" customHeight="1" x14ac:dyDescent="0.35">
      <c r="A19" s="33" t="s">
        <v>1409</v>
      </c>
      <c r="B19" s="55">
        <f>B5</f>
        <v>1</v>
      </c>
      <c r="C19" s="56">
        <v>150</v>
      </c>
      <c r="D19" s="47">
        <f t="shared" si="0"/>
        <v>150</v>
      </c>
    </row>
    <row r="20" spans="1:5" ht="15" customHeight="1" x14ac:dyDescent="0.35">
      <c r="A20" s="33" t="s">
        <v>1410</v>
      </c>
      <c r="B20" s="55">
        <f>2</f>
        <v>2</v>
      </c>
      <c r="C20" s="56">
        <v>15</v>
      </c>
      <c r="D20" s="47">
        <f t="shared" si="0"/>
        <v>30</v>
      </c>
    </row>
    <row r="21" spans="1:5" ht="15" customHeight="1" x14ac:dyDescent="0.35">
      <c r="A21" s="33" t="s">
        <v>1411</v>
      </c>
      <c r="B21" s="55">
        <f>2</f>
        <v>2</v>
      </c>
      <c r="C21" s="56">
        <v>17</v>
      </c>
      <c r="D21" s="47">
        <f t="shared" si="0"/>
        <v>34</v>
      </c>
    </row>
    <row r="22" spans="1:5" ht="15" customHeight="1" x14ac:dyDescent="0.35">
      <c r="A22" s="33" t="s">
        <v>1412</v>
      </c>
      <c r="B22" s="55">
        <f>2*B5</f>
        <v>2</v>
      </c>
      <c r="C22" s="56">
        <v>63</v>
      </c>
      <c r="D22" s="47">
        <f t="shared" si="0"/>
        <v>126</v>
      </c>
    </row>
    <row r="23" spans="1:5" ht="15" customHeight="1" x14ac:dyDescent="0.35">
      <c r="A23" s="33" t="s">
        <v>1413</v>
      </c>
      <c r="B23" s="55">
        <f>2*B5</f>
        <v>2</v>
      </c>
      <c r="C23" s="56">
        <v>45</v>
      </c>
      <c r="D23" s="47">
        <f t="shared" si="0"/>
        <v>90</v>
      </c>
    </row>
    <row r="24" spans="1:5" ht="15" customHeight="1" x14ac:dyDescent="0.35">
      <c r="A24" s="33" t="s">
        <v>1414</v>
      </c>
      <c r="B24" s="55">
        <f>4*B5</f>
        <v>4</v>
      </c>
      <c r="C24" s="56">
        <v>12</v>
      </c>
      <c r="D24" s="47">
        <f t="shared" si="0"/>
        <v>48</v>
      </c>
    </row>
    <row r="25" spans="1:5" ht="15" customHeight="1" x14ac:dyDescent="0.35">
      <c r="A25" s="33" t="s">
        <v>1415</v>
      </c>
      <c r="B25" s="55">
        <f>12*B5</f>
        <v>12</v>
      </c>
      <c r="C25" s="56">
        <v>5</v>
      </c>
      <c r="D25" s="47">
        <f t="shared" si="0"/>
        <v>60</v>
      </c>
    </row>
    <row r="26" spans="1:5" ht="15" customHeight="1" x14ac:dyDescent="0.35">
      <c r="A26" s="33" t="s">
        <v>1416</v>
      </c>
      <c r="B26" s="55">
        <f>8</f>
        <v>8</v>
      </c>
      <c r="C26" s="56">
        <v>1</v>
      </c>
      <c r="D26" s="47">
        <f t="shared" si="0"/>
        <v>8</v>
      </c>
    </row>
    <row r="27" spans="1:5" ht="15" customHeight="1" x14ac:dyDescent="0.35">
      <c r="A27" s="33" t="s">
        <v>1417</v>
      </c>
      <c r="B27" s="55">
        <f>ROUND(2*(B3+B4)/100,1)</f>
        <v>1.6</v>
      </c>
      <c r="C27" s="56">
        <v>11</v>
      </c>
      <c r="D27" s="47">
        <f t="shared" si="0"/>
        <v>17.600000000000001</v>
      </c>
    </row>
    <row r="28" spans="1:5" ht="15" customHeight="1" x14ac:dyDescent="0.35">
      <c r="A28" s="33" t="s">
        <v>1418</v>
      </c>
      <c r="B28" s="55">
        <f>ROUND(4*(B3+B4)/100,1)</f>
        <v>3.2</v>
      </c>
      <c r="C28" s="56">
        <v>5</v>
      </c>
      <c r="D28" s="47">
        <f t="shared" si="0"/>
        <v>16</v>
      </c>
    </row>
    <row r="29" spans="1:5" ht="15" customHeight="1" x14ac:dyDescent="0.35">
      <c r="A29" s="33" t="s">
        <v>1419</v>
      </c>
      <c r="B29" s="55">
        <f>2</f>
        <v>2</v>
      </c>
      <c r="C29" s="56">
        <v>14</v>
      </c>
      <c r="D29" s="47">
        <f t="shared" si="0"/>
        <v>28</v>
      </c>
    </row>
    <row r="30" spans="1:5" ht="15" customHeight="1" x14ac:dyDescent="0.35">
      <c r="A30" s="33" t="s">
        <v>1259</v>
      </c>
      <c r="B30" s="55">
        <f>B7</f>
        <v>0.16000000000000003</v>
      </c>
      <c r="C30" s="56">
        <f>INDEX(ราคาวัสดุกลาง!$I$2:$I$106,MATCH(B10,ราคาวัสดุกลาง!$H$2:$H$106,0))</f>
        <v>264</v>
      </c>
      <c r="D30" s="47">
        <f t="shared" si="0"/>
        <v>42.240000000000009</v>
      </c>
    </row>
    <row r="31" spans="1:5" ht="15" customHeight="1" x14ac:dyDescent="0.35">
      <c r="A31" s="33" t="s">
        <v>1265</v>
      </c>
      <c r="B31" s="55">
        <f>ROUNDUP(2*(B3+B4)/100*2/12.5,0)</f>
        <v>1</v>
      </c>
      <c r="C31" s="56">
        <f>B9</f>
        <v>90</v>
      </c>
      <c r="D31" s="47">
        <f t="shared" si="0"/>
        <v>90</v>
      </c>
    </row>
    <row r="32" spans="1:5" ht="15" customHeight="1" x14ac:dyDescent="0.35">
      <c r="A32" s="57" t="s">
        <v>1266</v>
      </c>
      <c r="B32" s="57">
        <f>IF(OR(F10="สีอบพิเศษ",F10="สีลายไม้อบพิเศษ"),1,0)</f>
        <v>0</v>
      </c>
      <c r="C32" s="53">
        <v>2000</v>
      </c>
      <c r="D32" s="53">
        <f t="shared" si="0"/>
        <v>0</v>
      </c>
      <c r="E32" s="57" t="s">
        <v>1267</v>
      </c>
    </row>
    <row r="33" spans="1:4" ht="15" customHeight="1" x14ac:dyDescent="0.35">
      <c r="A33" s="58" t="s">
        <v>1268</v>
      </c>
      <c r="D33" s="59">
        <f>SUM(D12:D32)+D54+D59+D60+D61+D62</f>
        <v>5619.84</v>
      </c>
    </row>
    <row r="34" spans="1:4" ht="15" customHeight="1" x14ac:dyDescent="0.35">
      <c r="A34" s="58" t="s">
        <v>1125</v>
      </c>
      <c r="D34" s="59">
        <f>IFERROR(D33/B7,0)</f>
        <v>35123.999999999993</v>
      </c>
    </row>
    <row r="35" spans="1:4" ht="15" customHeight="1" x14ac:dyDescent="0.35">
      <c r="A35" s="60" t="s">
        <v>1271</v>
      </c>
      <c r="D35" s="61">
        <f>ROUNDUP(D33*(1+B8/100)/100,0)*100</f>
        <v>11300</v>
      </c>
    </row>
    <row r="36" spans="1:4" ht="15" customHeight="1" x14ac:dyDescent="0.35">
      <c r="A36" s="60" t="s">
        <v>1275</v>
      </c>
      <c r="D36" s="61">
        <f>D35</f>
        <v>11300</v>
      </c>
    </row>
    <row r="37" spans="1:4" ht="15" customHeight="1" x14ac:dyDescent="0.35">
      <c r="A37" s="62" t="s">
        <v>1351</v>
      </c>
      <c r="D37" s="63">
        <f>IFERROR((D35-D33)/D33,0)</f>
        <v>1.0107334016626808</v>
      </c>
    </row>
    <row r="38" spans="1:4" ht="15" customHeight="1" x14ac:dyDescent="0.35">
      <c r="A38" s="433"/>
      <c r="B38" s="411"/>
      <c r="C38" s="411"/>
      <c r="D38" s="433"/>
    </row>
    <row r="39" spans="1:4" ht="15" customHeight="1" x14ac:dyDescent="0.35">
      <c r="A39" s="411"/>
      <c r="B39" s="411"/>
      <c r="C39" s="411"/>
      <c r="D39" s="433"/>
    </row>
    <row r="40" spans="1:4" ht="15" customHeight="1" x14ac:dyDescent="0.35">
      <c r="A40" s="6"/>
      <c r="B40" s="7"/>
      <c r="C40" s="7"/>
      <c r="D40" s="8"/>
    </row>
    <row r="41" spans="1:4" x14ac:dyDescent="0.35">
      <c r="A41" s="25" t="s">
        <v>1289</v>
      </c>
    </row>
    <row r="42" spans="1:4" x14ac:dyDescent="0.35">
      <c r="A42" s="64" t="s">
        <v>1290</v>
      </c>
      <c r="D42" s="26">
        <f>MAX(0,VLOOKUP("บานกระทุ้ง (ยูโร)",ค่าแรง!$A$12:$E$27,2,0)+VLOOKUP("บานกระทุ้ง (ยูโร)",ค่าแรง!$A$12:$E$27,3,0)*B7)</f>
        <v>530.46400000000006</v>
      </c>
    </row>
    <row r="43" spans="1:4" x14ac:dyDescent="0.35">
      <c r="A43" s="64" t="s">
        <v>1291</v>
      </c>
      <c r="D43" s="26">
        <f>MAX(0,VLOOKUP("บานกระทุ้ง (ยูโร)",ค่าแรง!$A$12:$E$27,4,0)+VLOOKUP("บานกระทุ้ง (ยูโร)",ค่าแรง!$A$12:$E$27,5,0)*B7)</f>
        <v>266.464</v>
      </c>
    </row>
    <row r="44" spans="1:4" x14ac:dyDescent="0.35">
      <c r="A44" s="64" t="s">
        <v>1292</v>
      </c>
      <c r="B44" s="27">
        <v>100</v>
      </c>
    </row>
    <row r="45" spans="1:4" x14ac:dyDescent="0.35">
      <c r="A45" s="25" t="s">
        <v>1293</v>
      </c>
      <c r="D45" s="28">
        <f>ROUNDUP((D33+D42+D63)*(1+B8/100)/100,0)*100</f>
        <v>12400</v>
      </c>
    </row>
    <row r="46" spans="1:4" x14ac:dyDescent="0.35">
      <c r="A46" s="25" t="s">
        <v>1294</v>
      </c>
      <c r="D46" s="28">
        <f>D45+ROUNDUP((D43+D64)*(1+B44/100)/100,0)*100</f>
        <v>13000</v>
      </c>
    </row>
    <row r="47" spans="1:4" x14ac:dyDescent="0.35">
      <c r="A47" s="25" t="s">
        <v>1295</v>
      </c>
      <c r="D47" s="29">
        <f>(D46-(D33+D42+D43+D63+D64))/(D33+D42+D43+D63+D64)</f>
        <v>1.0259420318764836</v>
      </c>
    </row>
    <row r="49" spans="1:8" x14ac:dyDescent="0.35">
      <c r="A49" s="154" t="s">
        <v>1325</v>
      </c>
      <c r="B49" s="155"/>
      <c r="C49" s="155"/>
      <c r="D49" s="155"/>
    </row>
    <row r="50" spans="1:8" x14ac:dyDescent="0.35">
      <c r="A50" s="20" t="s">
        <v>1297</v>
      </c>
      <c r="B50" s="156" t="s">
        <v>1298</v>
      </c>
      <c r="C50" s="155"/>
      <c r="D50" s="155"/>
    </row>
    <row r="51" spans="1:8" x14ac:dyDescent="0.35">
      <c r="A51" s="20" t="s">
        <v>1300</v>
      </c>
      <c r="B51" s="156" t="s">
        <v>557</v>
      </c>
      <c r="C51" s="155"/>
      <c r="D51" s="155"/>
    </row>
    <row r="52" spans="1:8" x14ac:dyDescent="0.35">
      <c r="A52" s="20" t="s">
        <v>1420</v>
      </c>
      <c r="B52" s="128">
        <f>B5</f>
        <v>1</v>
      </c>
      <c r="C52" s="155"/>
      <c r="D52" s="155"/>
    </row>
    <row r="53" spans="1:8" x14ac:dyDescent="0.35">
      <c r="A53" s="155"/>
      <c r="B53" s="155"/>
      <c r="C53" s="155"/>
      <c r="D53" s="155"/>
    </row>
    <row r="54" spans="1:8" x14ac:dyDescent="0.35">
      <c r="A54" s="157" t="s">
        <v>1309</v>
      </c>
      <c r="B54" s="155"/>
      <c r="C54" s="155"/>
      <c r="D54" s="158">
        <f>IF(B50="ไม่มี",0,B52*INDEX(ราคาออโต้!$C:$C,MATCH(B51,ราคาออโต้!$B:$B,0))+INDEX(ราคาออโต้!$D:$D,MATCH(B51,ราคาออโต้!$B:$B,0))+IF(AND(B52&gt;=2,OR(B51="โช็ค เปิด 50",B51="โช็ค เปิด 80")),INDEX(ราคาออโต้!$C:$C,MATCH("อุปกรณ์พิเศษ (โช็ค 2 ตัว)",ราคาออโต้!$B:$B,0)),0))</f>
        <v>0</v>
      </c>
    </row>
    <row r="56" spans="1:8" x14ac:dyDescent="0.35">
      <c r="A56" s="233" t="s">
        <v>1277</v>
      </c>
    </row>
    <row r="57" spans="1:8" x14ac:dyDescent="0.35">
      <c r="A57" s="25" t="s">
        <v>1279</v>
      </c>
      <c r="B57" s="287" t="s">
        <v>670</v>
      </c>
      <c r="C57" t="str">
        <f>IF(B57="ไม่มีมุ้ง","—",IF(H58=1,"✓ ใช้ได้","⚠ ใช้กับบานนี้ไม่ได้(ทุน=0)"))</f>
        <v>—</v>
      </c>
      <c r="D57" t="str">
        <f>IF(B57="ไม่มีมุ้ง","",H63&amp;" บาน")</f>
        <v/>
      </c>
      <c r="H57" s="222" t="str">
        <f>IFERROR(VLOOKUP(B57,ราคามุ้ง!$A$2:$O$15,3,0),"")</f>
        <v/>
      </c>
    </row>
    <row r="58" spans="1:8" x14ac:dyDescent="0.35">
      <c r="A58" s="30" t="s">
        <v>1280</v>
      </c>
      <c r="B58" s="287" t="s">
        <v>682</v>
      </c>
      <c r="C58" s="287" t="s">
        <v>1281</v>
      </c>
      <c r="H58" s="222">
        <f>IF(B57="ไม่มีมุ้ง",0,IF(OR(IFERROR(VLOOKUP(B57,ราคามุ้ง!$A$2:$O$15,4,0),"ALL")="ALL",ISNUMBER(SEARCH("กระทุ้ง",IFERROR(VLOOKUP(B57,ราคามุ้ง!$A$2:$O$15,4,0),"")))),1,0))</f>
        <v>0</v>
      </c>
    </row>
    <row r="59" spans="1:8" x14ac:dyDescent="0.35">
      <c r="A59" s="30" t="s">
        <v>1282</v>
      </c>
      <c r="B59" s="294">
        <f>IF(AND(H58=1,H59=1),ROUND(H63*2*H62/6,2),0)</f>
        <v>0</v>
      </c>
      <c r="C59" s="291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59" s="123">
        <f>ROUND(B59*C59,0)</f>
        <v>0</v>
      </c>
      <c r="H59" s="222">
        <f>IF(OR(B57="มุ้งเฟรมเล็ก",B57="มุ้งเฟรมใหญ่",B57="มุ้งนิรภัย"),1,0)</f>
        <v>0</v>
      </c>
    </row>
    <row r="60" spans="1:8" x14ac:dyDescent="0.35">
      <c r="A60" s="30" t="s">
        <v>1283</v>
      </c>
      <c r="B60" s="294">
        <f>IF(AND(H58=1,H59=1),ROUND(H63*2*H61/6,2),0)</f>
        <v>0</v>
      </c>
      <c r="C60" s="291">
        <f>IF(B57="มุ้งเฟรมเล็ก",ราคามุ้ง!$B$19,IF(B57="มุ้งเฟรมใหญ่",ROUND(C14*mult_euro,0),IF(B57="มุ้งนิรภัย",ราคามุ้ง!$B$21,0)))</f>
        <v>0</v>
      </c>
      <c r="D60" s="123">
        <f>ROUND(B60*C60,0)</f>
        <v>0</v>
      </c>
      <c r="H60" s="222">
        <f>IFERROR(VLOOKUP(B58,ราคามุ้ง!$I$2:$J$5,2,0),0)</f>
        <v>23</v>
      </c>
    </row>
    <row r="61" spans="1:8" x14ac:dyDescent="0.35">
      <c r="A61" s="30" t="s">
        <v>1284</v>
      </c>
      <c r="B61" s="294">
        <f>IF(AND(H58=1,H59=1),ROUND(H63*2*(H61+H62),2),0)</f>
        <v>0</v>
      </c>
      <c r="C61" s="291">
        <f>ราคามุ้ง!$D$19</f>
        <v>5</v>
      </c>
      <c r="D61" s="123">
        <f>ROUND(B61*C61,0)</f>
        <v>0</v>
      </c>
      <c r="H61" s="222">
        <f>B3/(B5*100)</f>
        <v>0.4</v>
      </c>
    </row>
    <row r="62" spans="1:8" x14ac:dyDescent="0.35">
      <c r="A62" s="30" t="s">
        <v>1285</v>
      </c>
      <c r="B62" s="294">
        <f>IF(H58=0,0,ROUND(H63*H61*H62,2))</f>
        <v>0</v>
      </c>
      <c r="C62" s="291">
        <f>IF(B57="มุ้งนิรภัย",650,IF(OR(B57="มุ้งเฟรมเล็ก",B57="มุ้งเฟรมใหญ่"),H60,IF(H57="ซื้อสำเร็จ",IFERROR(VLOOKUP(B57,ราคามุ้ง!$A$2:$O$15,2,0),0),0)))</f>
        <v>0</v>
      </c>
      <c r="D62" s="123">
        <f>ROUND(B62*C62,0)</f>
        <v>0</v>
      </c>
      <c r="H62" s="222">
        <f>B4/100</f>
        <v>0.4</v>
      </c>
    </row>
    <row r="63" spans="1:8" x14ac:dyDescent="0.35">
      <c r="A63" s="30" t="s">
        <v>1286</v>
      </c>
      <c r="D63" s="123">
        <f>IF(H58=0,0,ROUND(H63*(VLOOKUP(B57,ราคามุ้ง!$A$2:$O$15,12,0)+VLOOKUP(B57,ราคามุ้ง!$A$2:$O$15,13,0)*H61*H62),0))</f>
        <v>0</v>
      </c>
      <c r="H63" s="222">
        <f>B5</f>
        <v>1</v>
      </c>
    </row>
    <row r="64" spans="1:8" x14ac:dyDescent="0.35">
      <c r="A64" s="30" t="s">
        <v>1287</v>
      </c>
      <c r="D64" s="123">
        <f>IF(H58=0,0,ROUND(H63*(VLOOKUP(B57,ราคามุ้ง!$A$2:$O$15,14,0)+VLOOKUP(B57,ราคามุ้ง!$A$2:$O$15,15,0)*H61*H62),0))</f>
        <v>0</v>
      </c>
    </row>
    <row r="65" spans="1:11" x14ac:dyDescent="0.35">
      <c r="A65" s="333" t="s">
        <v>1326</v>
      </c>
      <c r="D65" s="334">
        <f>SUM(D59:D64)</f>
        <v>0</v>
      </c>
    </row>
    <row r="66" spans="1:11" x14ac:dyDescent="0.35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</row>
    <row r="67" spans="1:11" x14ac:dyDescent="0.35">
      <c r="A67" s="381"/>
      <c r="B67" s="153"/>
      <c r="C67" s="153"/>
      <c r="D67" s="153"/>
      <c r="E67" s="153"/>
      <c r="F67" s="153"/>
      <c r="G67" s="153"/>
      <c r="H67" s="153"/>
      <c r="I67" s="153"/>
      <c r="J67" s="153"/>
      <c r="K67" s="153"/>
    </row>
    <row r="68" spans="1:11" x14ac:dyDescent="0.35">
      <c r="A68" s="382"/>
      <c r="B68" s="383"/>
      <c r="C68" s="153"/>
      <c r="D68" s="153"/>
      <c r="E68" s="153"/>
      <c r="F68" s="153"/>
      <c r="G68" s="153"/>
      <c r="H68" s="153"/>
      <c r="I68" s="153"/>
      <c r="J68" s="153"/>
      <c r="K68" s="153"/>
    </row>
    <row r="69" spans="1:11" x14ac:dyDescent="0.35">
      <c r="A69" s="382"/>
      <c r="B69" s="383"/>
      <c r="C69" s="153"/>
      <c r="D69" s="153"/>
      <c r="E69" s="153"/>
      <c r="F69" s="153"/>
      <c r="G69" s="153"/>
      <c r="H69" s="153"/>
      <c r="I69" s="153"/>
      <c r="J69" s="153"/>
      <c r="K69" s="153"/>
    </row>
    <row r="70" spans="1:11" x14ac:dyDescent="0.35">
      <c r="A70" s="382"/>
      <c r="B70" s="383"/>
      <c r="C70" s="153"/>
      <c r="D70" s="153"/>
      <c r="E70" s="153"/>
      <c r="F70" s="153"/>
      <c r="G70" s="153"/>
      <c r="H70" s="153"/>
      <c r="I70" s="153"/>
      <c r="J70" s="153"/>
      <c r="K70" s="153"/>
    </row>
    <row r="71" spans="1:11" x14ac:dyDescent="0.35">
      <c r="A71" s="382"/>
      <c r="B71" s="384"/>
      <c r="C71" s="153"/>
      <c r="D71" s="153"/>
      <c r="E71" s="153"/>
      <c r="F71" s="153"/>
      <c r="G71" s="153"/>
      <c r="H71" s="153"/>
      <c r="I71" s="153"/>
      <c r="J71" s="153"/>
      <c r="K71" s="153"/>
    </row>
    <row r="72" spans="1:11" x14ac:dyDescent="0.35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</row>
    <row r="73" spans="1:11" x14ac:dyDescent="0.35">
      <c r="A73" s="375" t="s">
        <v>1269</v>
      </c>
    </row>
    <row r="74" spans="1:11" x14ac:dyDescent="0.35">
      <c r="A74" s="376" t="s">
        <v>1270</v>
      </c>
      <c r="B74" s="377">
        <f>D12+D13+D14+D15+D16+D23+D31</f>
        <v>4520</v>
      </c>
    </row>
    <row r="75" spans="1:11" x14ac:dyDescent="0.35">
      <c r="A75" s="378" t="s">
        <v>1272</v>
      </c>
      <c r="B75" s="379">
        <f>D27+D30</f>
        <v>59.840000000000011</v>
      </c>
    </row>
    <row r="76" spans="1:11" x14ac:dyDescent="0.35">
      <c r="A76" s="378" t="s">
        <v>1274</v>
      </c>
      <c r="B76" s="379">
        <f>D17+D18+D19+D20+D21+D22+D24+D25+D26+D28+D29+D32</f>
        <v>1040</v>
      </c>
    </row>
    <row r="77" spans="1:11" x14ac:dyDescent="0.35">
      <c r="A77" s="378" t="s">
        <v>1276</v>
      </c>
      <c r="B77" s="380">
        <f>B74+B75+B76</f>
        <v>5619.84</v>
      </c>
    </row>
  </sheetData>
  <mergeCells count="2">
    <mergeCell ref="A1:D1"/>
    <mergeCell ref="A38:D39"/>
  </mergeCells>
  <dataValidations count="8">
    <dataValidation type="list" sqref="B10" xr:uid="{00000000-0002-0000-1200-000000000000}">
      <formula1>GlassNames</formula1>
      <formula2>0</formula2>
    </dataValidation>
    <dataValidation type="list" sqref="F10" xr:uid="{00000000-0002-0000-1200-000001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allowBlank="1" sqref="B50" xr:uid="{00000000-0002-0000-1200-000002000000}">
      <formula1>"มี,ไม่มี"</formula1>
    </dataValidation>
    <dataValidation type="list" allowBlank="1" sqref="B51" xr:uid="{00000000-0002-0000-1200-000003000000}">
      <formula1>"โช็ค เปิด 50,โช็ค เปิด 80,โซ่เดี่ยว 50,โซ่คู่ 50"</formula1>
    </dataValidation>
    <dataValidation type="list" allowBlank="1" sqref="B52" xr:uid="{00000000-0002-0000-1200-000004000000}">
      <formula1>"1,2"</formula1>
    </dataValidation>
    <dataValidation type="list" allowBlank="1" sqref="B57" xr:uid="{00000000-0002-0000-1200-000005000000}">
      <formula1>MungList</formula1>
    </dataValidation>
    <dataValidation type="list" allowBlank="1" sqref="B58" xr:uid="{00000000-0002-0000-1200-000006000000}">
      <formula1>ClothList</formula1>
    </dataValidation>
    <dataValidation type="list" allowBlank="1" sqref="C58" xr:uid="{00000000-0002-0000-1200-000007000000}">
      <formula1>"เทา,ดำ"</formula1>
    </dataValidation>
  </dataValidations>
  <hyperlinks>
    <hyperlink ref="G1" location="'สารบัญ'!A1" display="🏠 สารบัญ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O140"/>
  <sheetViews>
    <sheetView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45.90625" customWidth="1"/>
    <col min="3" max="3" width="20.453125" customWidth="1"/>
    <col min="4" max="4" width="43.08984375" customWidth="1"/>
    <col min="5" max="5" width="46" customWidth="1"/>
    <col min="6" max="6" width="16.90625" customWidth="1"/>
    <col min="7" max="7" width="34.453125" hidden="1" customWidth="1"/>
    <col min="8" max="8" width="34.453125" customWidth="1"/>
    <col min="9" max="9" width="13" customWidth="1"/>
    <col min="10" max="10" width="29.7265625" customWidth="1"/>
    <col min="11" max="11" width="13" customWidth="1"/>
    <col min="12" max="12" width="46" customWidth="1"/>
    <col min="13" max="13" width="15.90625" customWidth="1"/>
  </cols>
  <sheetData>
    <row r="1" spans="1:15" ht="24" customHeight="1" x14ac:dyDescent="0.35">
      <c r="A1" s="437" t="s">
        <v>1421</v>
      </c>
      <c r="B1" s="411"/>
      <c r="C1" s="411"/>
      <c r="D1" s="411"/>
      <c r="E1" s="411"/>
      <c r="F1" s="411"/>
      <c r="G1" s="388" t="s">
        <v>78</v>
      </c>
      <c r="H1" s="389"/>
      <c r="J1" s="319"/>
    </row>
    <row r="2" spans="1:15" ht="15" customHeight="1" x14ac:dyDescent="0.35">
      <c r="A2" s="30" t="s">
        <v>1236</v>
      </c>
      <c r="B2" s="27">
        <v>180</v>
      </c>
      <c r="G2" s="74" t="s">
        <v>1422</v>
      </c>
      <c r="H2" s="74" t="s">
        <v>1422</v>
      </c>
      <c r="I2" s="30">
        <v>5958</v>
      </c>
    </row>
    <row r="3" spans="1:15" ht="15" customHeight="1" x14ac:dyDescent="0.35">
      <c r="A3" s="30" t="s">
        <v>1238</v>
      </c>
      <c r="B3" s="27">
        <v>280</v>
      </c>
      <c r="G3" s="74" t="s">
        <v>1423</v>
      </c>
      <c r="H3" s="74" t="s">
        <v>1423</v>
      </c>
      <c r="I3" s="30">
        <v>5958</v>
      </c>
    </row>
    <row r="4" spans="1:15" ht="15" customHeight="1" x14ac:dyDescent="0.35">
      <c r="A4" s="30" t="s">
        <v>1424</v>
      </c>
      <c r="B4" s="27">
        <f>IFERROR(VALUE(LEFT(B5,FIND("บาน",B5)-1)),2)</f>
        <v>2</v>
      </c>
      <c r="G4" s="74" t="s">
        <v>1425</v>
      </c>
      <c r="H4" s="74" t="s">
        <v>1425</v>
      </c>
      <c r="I4" s="30">
        <v>5958</v>
      </c>
    </row>
    <row r="5" spans="1:15" ht="15" customHeight="1" x14ac:dyDescent="0.35">
      <c r="A5" s="30" t="s">
        <v>1426</v>
      </c>
      <c r="B5" s="75" t="s">
        <v>1422</v>
      </c>
      <c r="G5" s="74" t="s">
        <v>1427</v>
      </c>
      <c r="H5" s="74" t="s">
        <v>1427</v>
      </c>
      <c r="I5" s="30">
        <v>7504</v>
      </c>
    </row>
    <row r="6" spans="1:15" ht="15" customHeight="1" x14ac:dyDescent="0.35">
      <c r="A6" s="30" t="s">
        <v>1428</v>
      </c>
      <c r="B6" s="27" t="s">
        <v>1429</v>
      </c>
      <c r="G6" s="74" t="s">
        <v>1430</v>
      </c>
      <c r="H6" s="74" t="s">
        <v>1430</v>
      </c>
      <c r="I6" s="30">
        <v>9112</v>
      </c>
    </row>
    <row r="7" spans="1:15" ht="15" customHeight="1" x14ac:dyDescent="0.35">
      <c r="A7" s="30" t="s">
        <v>1245</v>
      </c>
      <c r="B7" s="30">
        <f>(B2/100)*(B3/100)</f>
        <v>5.04</v>
      </c>
      <c r="G7" s="74" t="s">
        <v>1431</v>
      </c>
      <c r="H7" s="74" t="s">
        <v>1431</v>
      </c>
      <c r="I7" s="30">
        <v>9112</v>
      </c>
    </row>
    <row r="8" spans="1:15" ht="15" customHeight="1" x14ac:dyDescent="0.35">
      <c r="A8" s="30" t="s">
        <v>1247</v>
      </c>
      <c r="B8" s="27">
        <v>100</v>
      </c>
      <c r="G8" s="74" t="s">
        <v>1432</v>
      </c>
      <c r="H8" s="74" t="s">
        <v>1432</v>
      </c>
      <c r="I8" s="30">
        <v>7504</v>
      </c>
    </row>
    <row r="9" spans="1:15" ht="15" customHeight="1" x14ac:dyDescent="0.35">
      <c r="A9" s="30" t="s">
        <v>1250</v>
      </c>
      <c r="B9" s="27">
        <v>90</v>
      </c>
      <c r="G9" s="74" t="s">
        <v>1433</v>
      </c>
      <c r="H9" s="74" t="s">
        <v>1433</v>
      </c>
      <c r="I9" s="30">
        <v>10308</v>
      </c>
    </row>
    <row r="10" spans="1:15" ht="15" customHeight="1" x14ac:dyDescent="0.35">
      <c r="A10" s="30" t="s">
        <v>1251</v>
      </c>
      <c r="B10" s="27" t="s">
        <v>778</v>
      </c>
      <c r="C10" s="53">
        <f>INDEX(ราคาวัสดุกลาง!$I$2:$I$106,MATCH(B10,ราคาวัสดุกลาง!$H$2:$H$106,0))</f>
        <v>264</v>
      </c>
      <c r="D10" s="30" t="s">
        <v>1252</v>
      </c>
      <c r="E10" s="30" t="s">
        <v>1253</v>
      </c>
      <c r="F10" s="27" t="s">
        <v>1254</v>
      </c>
      <c r="G10" s="74">
        <f>IF(F10="สีอบขาว/ดำ",180,IF(F10="เทาซาฮาร่า",ROUND(180*1.09,0),IF(F10="ลายไม้ stock",ROUND(180*1.6,0),IF(F10="สีอบพิเศษ",140,160))))</f>
        <v>180</v>
      </c>
      <c r="H10" s="74" t="s">
        <v>1434</v>
      </c>
      <c r="I10" s="30">
        <v>9658</v>
      </c>
    </row>
    <row r="11" spans="1:15" ht="15" customHeight="1" x14ac:dyDescent="0.35">
      <c r="A11" s="76" t="s">
        <v>482</v>
      </c>
      <c r="B11" s="76" t="s">
        <v>1255</v>
      </c>
      <c r="C11" s="76" t="s">
        <v>1256</v>
      </c>
      <c r="D11" s="76" t="s">
        <v>1257</v>
      </c>
      <c r="G11" s="77" t="s">
        <v>1435</v>
      </c>
      <c r="H11" s="77" t="s">
        <v>1435</v>
      </c>
      <c r="I11" s="76">
        <v>11916</v>
      </c>
    </row>
    <row r="12" spans="1:15" ht="15" customHeight="1" x14ac:dyDescent="0.35">
      <c r="A12" s="57" t="s">
        <v>1436</v>
      </c>
      <c r="B12" s="57">
        <f>IF(FLOOR(6.4/(B2/100),1)&gt;=1,ROUNDUP(1/FLOOR(6.4/(B2/100),1),0),ROUNDUP((B2/100)/6.4,0))</f>
        <v>1</v>
      </c>
      <c r="C12" s="53">
        <f>IF(F10="สีอบขาว/ดำ",2105,IF(F10="เทาซาฮาร่า",VLOOKUP("B24001",ราคาสี!$A:$F,5,0),IF(F10="ลายไม้ stock",(VLOOKUP("B24001",ราคาสี!$A:$F,6,0)*mult_wood/mult_euro),2105+IF(F10="สีอบพิเศษ",rate_special,rate_woodbake)*11.69444)))</f>
        <v>2105</v>
      </c>
      <c r="D12" s="53">
        <f t="shared" ref="D12:D20" si="0">B12*C12*mult_euro</f>
        <v>2105</v>
      </c>
      <c r="G12" s="78" t="s">
        <v>1437</v>
      </c>
      <c r="H12" s="78" t="s">
        <v>1437</v>
      </c>
      <c r="I12" s="53">
        <v>9658</v>
      </c>
      <c r="L12" s="439" t="s">
        <v>1438</v>
      </c>
      <c r="M12" s="411"/>
      <c r="N12" s="411"/>
      <c r="O12" s="411"/>
    </row>
    <row r="13" spans="1:15" ht="15" customHeight="1" x14ac:dyDescent="0.35">
      <c r="A13" s="57" t="s">
        <v>1439</v>
      </c>
      <c r="B13" s="57">
        <f>IF(FLOOR(6.4/(B2/100),1)&gt;=1,ROUNDUP(1/FLOOR(6.4/(B2/100),1),0),ROUNDUP((B2/100)/6.4,0))</f>
        <v>1</v>
      </c>
      <c r="C13" s="53">
        <f>IF(F10="สีอบขาว/ดำ",320,IF(F10="เทาซาฮาร่า",VLOOKUP("B24002",ราคาสี!$A:$F,5,0),IF(F10="ลายไม้ stock",(VLOOKUP("B24002",ราคาสี!$A:$F,6,0)*mult_wood/mult_euro),320+IF(F10="สีอบพิเศษ",rate_special,rate_woodbake)*1.77778)))</f>
        <v>320</v>
      </c>
      <c r="D13" s="53">
        <f t="shared" si="0"/>
        <v>320</v>
      </c>
      <c r="G13" s="78" t="s">
        <v>1440</v>
      </c>
      <c r="H13" s="78" t="s">
        <v>1440</v>
      </c>
      <c r="I13" s="53">
        <v>10308</v>
      </c>
      <c r="L13" s="359" t="s">
        <v>1279</v>
      </c>
      <c r="M13" s="408" t="s">
        <v>670</v>
      </c>
    </row>
    <row r="14" spans="1:15" ht="15" customHeight="1" x14ac:dyDescent="0.35">
      <c r="A14" s="57" t="s">
        <v>1441</v>
      </c>
      <c r="B14" s="57">
        <f>IF(FLOOR(6.4/(B2/100),1)&gt;=1,ROUNDUP(1/FLOOR(6.4/(B2/100),1),0),ROUNDUP((B2/100)/6.4,0))</f>
        <v>1</v>
      </c>
      <c r="C14" s="53">
        <f>IF(B6="ธรณีหลังเต่า",IF(F10="สีอบขาว/ดำ",905,IF(F10="เทาซาฮาร่า",VLOOKUP("B24018",ราคาสี!$A:$F,5,0),IF(F10="ลายไม้ stock",(VLOOKUP("B24018",ราคาสี!$A:$F,6,0)*mult_wood/mult_euro),905+IF(F10="สีอบพิเศษ",rate_special,rate_woodbake)*5.0278))),IF(B6="รางยู",IF(F10="สีอบขาว/ดำ",305,IF(F10="เทาซาฮาร่า",VLOOKUP("B24017",ราคาสี!$A:$F,5,0),IF(F10="ลายไม้ stock",(VLOOKUP("B24017",ราคาสี!$A:$F,6,0)*mult_wood/mult_euro),305+IF(F10="สีอบพิเศษ",rate_special,rate_woodbake)*1.6944))),IF(F10="สีอบขาว/ดำ",1445,IF(F10="เทาซาฮาร่า",VLOOKUP("B24003",ราคาสี!$A:$F,5,0),IF(F10="ลายไม้ stock",(VLOOKUP("B24003",ราคาสี!$A:$F,6,0)*mult_wood/mult_euro),1445+IF(F10="สีอบพิเศษ",rate_special,rate_woodbake)*8.0278)))))</f>
        <v>1445</v>
      </c>
      <c r="D14" s="53">
        <f t="shared" si="0"/>
        <v>1445</v>
      </c>
      <c r="G14" s="78" t="s">
        <v>1442</v>
      </c>
      <c r="H14" s="78" t="s">
        <v>1442</v>
      </c>
      <c r="I14" s="53">
        <v>12034</v>
      </c>
      <c r="L14" s="359" t="s">
        <v>1443</v>
      </c>
      <c r="M14" s="359">
        <f>IF(M13="ไม่มีมุ้ง",0,ROUND((VLOOKUP(M13,ราคามุ้ง!$A:$F,2,0)+VLOOKUP(M13,ราคามุ้ง!$A:$F,6,0))*B7,0))</f>
        <v>0</v>
      </c>
    </row>
    <row r="15" spans="1:15" ht="15" customHeight="1" x14ac:dyDescent="0.35">
      <c r="A15" s="57" t="s">
        <v>1444</v>
      </c>
      <c r="B15" s="57">
        <f>IF(FLOOR(6.4/(B2/100),1)&gt;=1,ROUNDUP(1/FLOOR(6.4/(B2/100),1),0),ROUNDUP((B2/100)/6.4,0))</f>
        <v>1</v>
      </c>
      <c r="C15" s="53">
        <f>IF(F10="สีอบขาว/ดำ",570,IF(F10="เทาซาฮาร่า",VLOOKUP("B24004",ราคาสี!$A:$F,5,0),IF(F10="ลายไม้ stock",(VLOOKUP("B24004",ราคาสี!$A:$F,6,0)*mult_wood/mult_euro),570+IF(F10="สีอบพิเศษ",rate_special,rate_woodbake)*3.16667)))</f>
        <v>570</v>
      </c>
      <c r="D15" s="53">
        <f t="shared" si="0"/>
        <v>570</v>
      </c>
      <c r="G15" s="78" t="s">
        <v>1445</v>
      </c>
      <c r="H15" s="78" t="s">
        <v>1445</v>
      </c>
      <c r="I15" s="53">
        <v>13462</v>
      </c>
    </row>
    <row r="16" spans="1:15" ht="15" customHeight="1" x14ac:dyDescent="0.35">
      <c r="A16" s="57" t="s">
        <v>1446</v>
      </c>
      <c r="B16" s="57">
        <f>IF(FLOOR(6.4/(B3/100),1)&gt;=1,ROUNDUP(2/FLOOR(6.4/(B3/100),1),0),ROUNDUP((B3/100)/6.4,0)*2)</f>
        <v>1</v>
      </c>
      <c r="C16" s="53">
        <f>IF(F10="สีอบขาว/ดำ",1000,IF(F10="เทาซาฮาร่า",VLOOKUP("B24005",ราคาสี!$A:$F,5,0),IF(F10="ลายไม้ stock",(VLOOKUP("B24005",ราคาสี!$A:$F,6,0)*mult_wood/mult_euro),1000+IF(F10="สีอบพิเศษ",rate_special,rate_woodbake)*5.55556)))</f>
        <v>1000</v>
      </c>
      <c r="D16" s="53">
        <f t="shared" si="0"/>
        <v>1000</v>
      </c>
      <c r="G16" s="78" t="s">
        <v>1447</v>
      </c>
      <c r="H16" s="78" t="s">
        <v>1447</v>
      </c>
      <c r="I16" s="53">
        <v>13462</v>
      </c>
    </row>
    <row r="17" spans="1:11" ht="15" customHeight="1" x14ac:dyDescent="0.35">
      <c r="A17" s="57" t="s">
        <v>1448</v>
      </c>
      <c r="B17" s="57">
        <f>IF(FLOOR(6.4/(B3/100),1)&gt;=1,ROUNDUP(2/FLOOR(6.4/(B3/100),1),0),ROUNDUP((B3/100)/6.4,0)*2)</f>
        <v>1</v>
      </c>
      <c r="C17" s="53">
        <f>IF(F10="สีอบขาว/ดำ",280,IF(F10="เทาซาฮาร่า",VLOOKUP("B24006",ราคาสี!$A:$F,5,0),IF(F10="ลายไม้ stock",(VLOOKUP("B24006",ราคาสี!$A:$F,6,0)*mult_wood/mult_euro),280+IF(F10="สีอบพิเศษ",rate_special,rate_woodbake)*1.55556)))</f>
        <v>280</v>
      </c>
      <c r="D17" s="53">
        <f t="shared" si="0"/>
        <v>280</v>
      </c>
      <c r="G17" s="78" t="s">
        <v>1449</v>
      </c>
      <c r="H17" s="78" t="s">
        <v>1449</v>
      </c>
      <c r="I17" s="53">
        <v>13462</v>
      </c>
    </row>
    <row r="18" spans="1:11" ht="15" customHeight="1" x14ac:dyDescent="0.35">
      <c r="A18" s="57" t="s">
        <v>1450</v>
      </c>
      <c r="B18" s="57">
        <f>ROUNDUP(2*((B3/100)*B4+(B2/100))/6.4,0)</f>
        <v>3</v>
      </c>
      <c r="C18" s="53">
        <f>IF(F10="สีอบขาว/ดำ",1210,IF(F10="เทาซาฮาร่า",VLOOKUP("B24007",ราคาสี!$A:$F,5,0),IF(F10="ลายไม้ stock",(VLOOKUP("B24007",ราคาสี!$A:$F,6,0)*mult_wood/mult_euro),1210+IF(F10="สีอบพิเศษ",rate_special,rate_woodbake)*6.72222)))</f>
        <v>1210</v>
      </c>
      <c r="D18" s="53">
        <f t="shared" si="0"/>
        <v>3630</v>
      </c>
      <c r="G18" s="78" t="s">
        <v>1451</v>
      </c>
      <c r="H18" s="78" t="s">
        <v>1451</v>
      </c>
      <c r="I18" s="53">
        <v>13462</v>
      </c>
    </row>
    <row r="19" spans="1:11" ht="15" customHeight="1" x14ac:dyDescent="0.35">
      <c r="A19" s="57" t="s">
        <v>1452</v>
      </c>
      <c r="B19" s="57">
        <f>ROUNDUP(2*((B3/100)*B4+(B2/100))/6.4,0)</f>
        <v>3</v>
      </c>
      <c r="C19" s="53">
        <f>IF(F10="สีอบขาว/ดำ",265,IF(F10="เทาซาฮาร่า",VLOOKUP("B24008",ราคาสี!$A:$F,5,0),IF(F10="ลายไม้ stock",(VLOOKUP("B24008",ราคาสี!$A:$F,6,0)*mult_wood/mult_euro),265+IF(F10="สีอบพิเศษ",rate_special,rate_woodbake)*1.47222)))</f>
        <v>265</v>
      </c>
      <c r="D19" s="53">
        <f t="shared" si="0"/>
        <v>795</v>
      </c>
      <c r="G19" s="78" t="s">
        <v>1453</v>
      </c>
      <c r="H19" s="78" t="s">
        <v>1453</v>
      </c>
      <c r="I19" s="53">
        <v>12034</v>
      </c>
    </row>
    <row r="20" spans="1:11" ht="15" customHeight="1" x14ac:dyDescent="0.35">
      <c r="A20" s="57" t="s">
        <v>1454</v>
      </c>
      <c r="B20" s="57">
        <f>IF(ISEVEN(B4),ROUNDUP((B3/100)/6.4,0),0)</f>
        <v>1</v>
      </c>
      <c r="C20" s="53">
        <f>IF(F10="สีอบขาว/ดำ",325,IF(F10="เทาซาฮาร่า",VLOOKUP("B24009",ราคาสี!$A:$F,5,0),IF(F10="ลายไม้ stock",(VLOOKUP("B24009",ราคาสี!$A:$F,6,0)*mult_wood/mult_euro),325+IF(F10="สีอบพิเศษ",rate_special,rate_woodbake)*1.80556)))</f>
        <v>325</v>
      </c>
      <c r="D20" s="53">
        <f t="shared" si="0"/>
        <v>325</v>
      </c>
      <c r="G20" s="78" t="s">
        <v>1455</v>
      </c>
      <c r="H20" s="78" t="s">
        <v>1455</v>
      </c>
      <c r="I20" s="53">
        <v>14838</v>
      </c>
    </row>
    <row r="21" spans="1:11" ht="15" customHeight="1" x14ac:dyDescent="0.35">
      <c r="A21" s="57" t="s">
        <v>1404</v>
      </c>
      <c r="B21" s="57">
        <f>ROUND(2*((B3/100)*B4+(B2/100)),1)</f>
        <v>14.8</v>
      </c>
      <c r="C21" s="53">
        <v>11</v>
      </c>
      <c r="D21" s="53">
        <f>B21*C21</f>
        <v>162.80000000000001</v>
      </c>
      <c r="G21" s="78" t="s">
        <v>1456</v>
      </c>
      <c r="H21" s="78" t="s">
        <v>1456</v>
      </c>
      <c r="I21" s="53">
        <v>14008</v>
      </c>
    </row>
    <row r="22" spans="1:11" ht="15" customHeight="1" x14ac:dyDescent="0.35">
      <c r="A22" s="57" t="s">
        <v>1259</v>
      </c>
      <c r="B22" s="57">
        <f>B7</f>
        <v>5.04</v>
      </c>
      <c r="C22" s="53">
        <f>INDEX(ราคาวัสดุกลาง!$I$2:$I$106,MATCH(B10,ราคาวัสดุกลาง!$H$2:$H$106,0))</f>
        <v>264</v>
      </c>
      <c r="D22" s="53">
        <f>B22*C22</f>
        <v>1330.56</v>
      </c>
      <c r="G22" s="78" t="s">
        <v>1457</v>
      </c>
      <c r="H22" s="78" t="s">
        <v>1457</v>
      </c>
      <c r="I22" s="53">
        <v>14008</v>
      </c>
    </row>
    <row r="23" spans="1:11" ht="15" customHeight="1" x14ac:dyDescent="0.35">
      <c r="A23" s="57" t="s">
        <v>1458</v>
      </c>
      <c r="B23" s="57">
        <v>1</v>
      </c>
      <c r="C23" s="79">
        <f>IFERROR(INDEX($I$2:$I$99,MATCH(B5,$H$2:$H$99,0)),5958)</f>
        <v>5958</v>
      </c>
      <c r="D23" s="53">
        <f>B23*C23</f>
        <v>5958</v>
      </c>
      <c r="E23" s="57" t="s">
        <v>1459</v>
      </c>
      <c r="G23" s="78" t="s">
        <v>1460</v>
      </c>
      <c r="H23" s="78" t="s">
        <v>1460</v>
      </c>
      <c r="I23" s="53">
        <v>14008</v>
      </c>
    </row>
    <row r="24" spans="1:11" ht="15" customHeight="1" x14ac:dyDescent="0.35">
      <c r="A24" s="57" t="s">
        <v>1265</v>
      </c>
      <c r="B24" s="57">
        <f>ROUNDUP(2*((B2/100)+(B3/100))*2/12.5,0)</f>
        <v>2</v>
      </c>
      <c r="C24" s="53">
        <f>B9</f>
        <v>90</v>
      </c>
      <c r="D24" s="53">
        <f>B24*C24</f>
        <v>180</v>
      </c>
      <c r="G24" s="78" t="s">
        <v>1461</v>
      </c>
      <c r="H24" s="78" t="s">
        <v>1461</v>
      </c>
      <c r="I24" s="53">
        <v>14008</v>
      </c>
    </row>
    <row r="25" spans="1:11" ht="15" customHeight="1" x14ac:dyDescent="0.35">
      <c r="A25" s="57" t="s">
        <v>1266</v>
      </c>
      <c r="B25" s="57">
        <f>IF(OR(F10="สีอบพิเศษ",F10="สีลายไม้อบพิเศษ"),1,0)</f>
        <v>0</v>
      </c>
      <c r="C25" s="53">
        <v>2000</v>
      </c>
      <c r="D25" s="53">
        <f>B25*C25</f>
        <v>0</v>
      </c>
      <c r="E25" s="57" t="s">
        <v>1267</v>
      </c>
    </row>
    <row r="26" spans="1:11" ht="15" customHeight="1" x14ac:dyDescent="0.35">
      <c r="A26" s="69" t="s">
        <v>1268</v>
      </c>
      <c r="D26" s="70">
        <f>SUM(D12:D25)+D128+IF(B6="รางยู",ROUND(200*B2/100,0),0)+M14</f>
        <v>18101.36</v>
      </c>
      <c r="G26" s="78" t="s">
        <v>1462</v>
      </c>
      <c r="H26" s="78" t="s">
        <v>1462</v>
      </c>
      <c r="I26" s="53">
        <v>14008</v>
      </c>
      <c r="J26" s="375" t="s">
        <v>1269</v>
      </c>
    </row>
    <row r="27" spans="1:11" ht="15" customHeight="1" x14ac:dyDescent="0.35">
      <c r="A27" s="69" t="s">
        <v>1125</v>
      </c>
      <c r="D27" s="70">
        <f>IFERROR(D26/B7,0)</f>
        <v>3591.5396825396824</v>
      </c>
      <c r="G27" s="78" t="s">
        <v>1463</v>
      </c>
      <c r="H27" s="78" t="s">
        <v>1463</v>
      </c>
      <c r="I27" s="53">
        <v>14838</v>
      </c>
      <c r="J27" s="376" t="s">
        <v>1270</v>
      </c>
      <c r="K27" s="377">
        <f>D12+D13+D14+D15+D16+D17+D18+D20+D24</f>
        <v>9855</v>
      </c>
    </row>
    <row r="28" spans="1:11" ht="15" customHeight="1" x14ac:dyDescent="0.35">
      <c r="A28" s="69" t="s">
        <v>1271</v>
      </c>
      <c r="D28" s="28">
        <f>ROUNDUP(D26*(1+B8/100)/100,0)*100</f>
        <v>36300</v>
      </c>
      <c r="G28" s="78" t="s">
        <v>1464</v>
      </c>
      <c r="H28" s="78" t="s">
        <v>1464</v>
      </c>
      <c r="I28" s="53">
        <v>17812</v>
      </c>
      <c r="J28" s="378" t="s">
        <v>1272</v>
      </c>
      <c r="K28" s="379">
        <f>D19+D22</f>
        <v>2125.56</v>
      </c>
    </row>
    <row r="29" spans="1:11" ht="15" customHeight="1" x14ac:dyDescent="0.35">
      <c r="A29" s="69" t="s">
        <v>1275</v>
      </c>
      <c r="D29" s="28">
        <f>D28</f>
        <v>36300</v>
      </c>
      <c r="G29" s="78" t="s">
        <v>1465</v>
      </c>
      <c r="H29" s="78" t="s">
        <v>1465</v>
      </c>
      <c r="I29" s="53">
        <v>17812</v>
      </c>
      <c r="J29" s="378" t="s">
        <v>1274</v>
      </c>
      <c r="K29" s="379">
        <f>D21+D23+D25</f>
        <v>6120.8</v>
      </c>
    </row>
    <row r="30" spans="1:11" ht="15" customHeight="1" x14ac:dyDescent="0.35">
      <c r="A30" s="69" t="s">
        <v>1351</v>
      </c>
      <c r="D30" s="29">
        <f>IFERROR((D28-D26)/D26,0)</f>
        <v>1.0053741818294315</v>
      </c>
      <c r="G30" s="78" t="s">
        <v>1466</v>
      </c>
      <c r="H30" s="78" t="s">
        <v>1466</v>
      </c>
      <c r="I30" s="53">
        <v>17812</v>
      </c>
      <c r="J30" s="378" t="s">
        <v>1276</v>
      </c>
      <c r="K30" s="380">
        <f>K27+K28+K29</f>
        <v>18101.36</v>
      </c>
    </row>
    <row r="31" spans="1:11" ht="15" customHeight="1" x14ac:dyDescent="0.35">
      <c r="A31" s="69" t="s">
        <v>1467</v>
      </c>
      <c r="G31" s="78" t="s">
        <v>1468</v>
      </c>
      <c r="H31" s="78" t="s">
        <v>1468</v>
      </c>
      <c r="I31" s="53">
        <v>17812</v>
      </c>
    </row>
    <row r="32" spans="1:11" ht="15" customHeight="1" x14ac:dyDescent="0.35">
      <c r="G32" s="78" t="s">
        <v>1469</v>
      </c>
      <c r="H32" s="78" t="s">
        <v>1469</v>
      </c>
      <c r="I32" s="53">
        <v>17812</v>
      </c>
    </row>
    <row r="33" spans="1:9" ht="15" customHeight="1" x14ac:dyDescent="0.35">
      <c r="A33" s="57" t="s">
        <v>1470</v>
      </c>
      <c r="B33" s="10"/>
      <c r="C33" s="10"/>
      <c r="D33" s="10"/>
      <c r="G33" s="78" t="s">
        <v>1471</v>
      </c>
      <c r="H33" s="78" t="s">
        <v>1471</v>
      </c>
      <c r="I33" s="53">
        <v>17812</v>
      </c>
    </row>
    <row r="34" spans="1:9" ht="15" customHeight="1" x14ac:dyDescent="0.35">
      <c r="A34" s="80" t="s">
        <v>415</v>
      </c>
      <c r="B34" s="80" t="s">
        <v>1472</v>
      </c>
      <c r="C34" s="80" t="s">
        <v>1473</v>
      </c>
      <c r="D34" s="10"/>
      <c r="G34" s="78" t="s">
        <v>1474</v>
      </c>
      <c r="H34" s="78" t="s">
        <v>1474</v>
      </c>
      <c r="I34" s="53">
        <v>17812</v>
      </c>
    </row>
    <row r="35" spans="1:9" ht="15" customHeight="1" x14ac:dyDescent="0.35">
      <c r="A35" s="81">
        <v>2</v>
      </c>
      <c r="B35" s="57" t="s">
        <v>1475</v>
      </c>
      <c r="C35" s="82">
        <v>5958</v>
      </c>
      <c r="D35" s="10"/>
      <c r="G35" s="78" t="s">
        <v>1476</v>
      </c>
      <c r="H35" s="78" t="s">
        <v>1476</v>
      </c>
      <c r="I35" s="53">
        <v>17812</v>
      </c>
    </row>
    <row r="36" spans="1:9" ht="15" customHeight="1" x14ac:dyDescent="0.35">
      <c r="A36" s="81">
        <v>3</v>
      </c>
      <c r="B36" s="57" t="s">
        <v>1477</v>
      </c>
      <c r="C36" s="82">
        <v>7504</v>
      </c>
      <c r="D36" s="10"/>
      <c r="G36" s="78" t="s">
        <v>1478</v>
      </c>
      <c r="H36" s="78" t="s">
        <v>1478</v>
      </c>
      <c r="I36" s="53">
        <v>18358</v>
      </c>
    </row>
    <row r="37" spans="1:9" ht="15" customHeight="1" x14ac:dyDescent="0.35">
      <c r="A37" s="81">
        <v>3</v>
      </c>
      <c r="B37" s="57" t="s">
        <v>1479</v>
      </c>
      <c r="C37" s="82">
        <v>9112</v>
      </c>
      <c r="D37" s="10"/>
      <c r="G37" s="78" t="s">
        <v>1480</v>
      </c>
      <c r="H37" s="78" t="s">
        <v>1480</v>
      </c>
      <c r="I37" s="53">
        <v>18358</v>
      </c>
    </row>
    <row r="38" spans="1:9" ht="15" customHeight="1" x14ac:dyDescent="0.35">
      <c r="A38" s="81">
        <v>4</v>
      </c>
      <c r="B38" s="57" t="s">
        <v>1481</v>
      </c>
      <c r="C38" s="82">
        <v>10308</v>
      </c>
      <c r="D38" s="10"/>
      <c r="G38" s="78" t="s">
        <v>1482</v>
      </c>
      <c r="H38" s="78" t="s">
        <v>1482</v>
      </c>
      <c r="I38" s="53">
        <v>18358</v>
      </c>
    </row>
    <row r="39" spans="1:9" ht="15" customHeight="1" x14ac:dyDescent="0.35">
      <c r="A39" s="81">
        <v>4</v>
      </c>
      <c r="B39" s="57" t="s">
        <v>1483</v>
      </c>
      <c r="C39" s="82">
        <v>9658</v>
      </c>
      <c r="D39" s="10"/>
      <c r="G39" s="78" t="s">
        <v>1484</v>
      </c>
      <c r="H39" s="78" t="s">
        <v>1484</v>
      </c>
      <c r="I39" s="53">
        <v>18358</v>
      </c>
    </row>
    <row r="40" spans="1:9" ht="15" customHeight="1" x14ac:dyDescent="0.35">
      <c r="A40" s="81">
        <v>4</v>
      </c>
      <c r="B40" s="57" t="s">
        <v>1485</v>
      </c>
      <c r="C40" s="82">
        <v>11916</v>
      </c>
      <c r="D40" s="10"/>
      <c r="G40" s="78" t="s">
        <v>1486</v>
      </c>
      <c r="H40" s="78" t="s">
        <v>1486</v>
      </c>
      <c r="I40" s="53">
        <v>17358</v>
      </c>
    </row>
    <row r="41" spans="1:9" ht="15" customHeight="1" x14ac:dyDescent="0.35">
      <c r="A41" s="81">
        <v>5</v>
      </c>
      <c r="B41" s="57" t="s">
        <v>1487</v>
      </c>
      <c r="C41" s="82">
        <v>12034</v>
      </c>
      <c r="D41" s="10"/>
      <c r="G41" s="78" t="s">
        <v>1488</v>
      </c>
      <c r="H41" s="78" t="s">
        <v>1488</v>
      </c>
      <c r="I41" s="53">
        <v>18358</v>
      </c>
    </row>
    <row r="42" spans="1:9" ht="15" customHeight="1" x14ac:dyDescent="0.35">
      <c r="A42" s="81">
        <v>5</v>
      </c>
      <c r="B42" s="57" t="s">
        <v>1489</v>
      </c>
      <c r="C42" s="82">
        <v>13462</v>
      </c>
      <c r="D42" s="10"/>
      <c r="G42" s="78" t="s">
        <v>1490</v>
      </c>
      <c r="H42" s="78" t="s">
        <v>1490</v>
      </c>
      <c r="I42" s="53">
        <v>18358</v>
      </c>
    </row>
    <row r="43" spans="1:9" ht="15" customHeight="1" x14ac:dyDescent="0.35">
      <c r="A43" s="81">
        <v>6</v>
      </c>
      <c r="B43" s="57" t="s">
        <v>1491</v>
      </c>
      <c r="C43" s="82">
        <v>14838</v>
      </c>
      <c r="D43" s="10"/>
      <c r="G43" s="78" t="s">
        <v>1492</v>
      </c>
      <c r="H43" s="78" t="s">
        <v>1492</v>
      </c>
      <c r="I43" s="53">
        <v>18358</v>
      </c>
    </row>
    <row r="44" spans="1:9" ht="15" customHeight="1" x14ac:dyDescent="0.35">
      <c r="A44" s="81">
        <v>6</v>
      </c>
      <c r="B44" s="57" t="s">
        <v>1493</v>
      </c>
      <c r="C44" s="82">
        <v>14008</v>
      </c>
      <c r="D44" s="10"/>
      <c r="G44" s="78" t="s">
        <v>1494</v>
      </c>
      <c r="H44" s="78" t="s">
        <v>1494</v>
      </c>
      <c r="I44" s="53">
        <v>18358</v>
      </c>
    </row>
    <row r="45" spans="1:9" ht="15" customHeight="1" x14ac:dyDescent="0.35">
      <c r="A45" s="81">
        <v>7</v>
      </c>
      <c r="B45" s="57" t="s">
        <v>1495</v>
      </c>
      <c r="C45" s="82">
        <v>17812</v>
      </c>
      <c r="D45" s="10"/>
      <c r="G45" s="78" t="s">
        <v>1496</v>
      </c>
      <c r="H45" s="78" t="s">
        <v>1496</v>
      </c>
      <c r="I45" s="83">
        <v>21300</v>
      </c>
    </row>
    <row r="46" spans="1:9" ht="15" customHeight="1" x14ac:dyDescent="0.35">
      <c r="A46" s="81">
        <v>8</v>
      </c>
      <c r="B46" s="57" t="s">
        <v>1497</v>
      </c>
      <c r="C46" s="82">
        <v>17358</v>
      </c>
      <c r="D46" s="10"/>
      <c r="G46" s="78" t="s">
        <v>1498</v>
      </c>
      <c r="H46" s="78" t="s">
        <v>1498</v>
      </c>
      <c r="I46" s="83">
        <v>21300</v>
      </c>
    </row>
    <row r="47" spans="1:9" ht="15" customHeight="1" x14ac:dyDescent="0.35">
      <c r="A47" s="81">
        <v>8</v>
      </c>
      <c r="B47" s="57" t="s">
        <v>1499</v>
      </c>
      <c r="C47" s="82">
        <v>18358</v>
      </c>
      <c r="D47" s="10"/>
      <c r="G47" s="78" t="s">
        <v>1500</v>
      </c>
      <c r="H47" s="78" t="s">
        <v>1500</v>
      </c>
      <c r="I47" s="83">
        <v>21300</v>
      </c>
    </row>
    <row r="48" spans="1:9" ht="15" customHeight="1" x14ac:dyDescent="0.35">
      <c r="A48" s="81">
        <v>9</v>
      </c>
      <c r="B48" s="57" t="s">
        <v>1495</v>
      </c>
      <c r="C48" s="84">
        <v>21300</v>
      </c>
      <c r="D48" s="10"/>
      <c r="G48" s="78" t="s">
        <v>1501</v>
      </c>
      <c r="H48" s="78" t="s">
        <v>1501</v>
      </c>
      <c r="I48" s="83">
        <v>21300</v>
      </c>
    </row>
    <row r="49" spans="1:9" ht="15" customHeight="1" x14ac:dyDescent="0.35">
      <c r="A49" s="81">
        <v>10</v>
      </c>
      <c r="B49" s="57" t="s">
        <v>1499</v>
      </c>
      <c r="C49" s="84">
        <v>23500</v>
      </c>
      <c r="D49" s="10"/>
      <c r="G49" s="78" t="s">
        <v>1502</v>
      </c>
      <c r="H49" s="78" t="s">
        <v>1502</v>
      </c>
      <c r="I49" s="83">
        <v>21300</v>
      </c>
    </row>
    <row r="50" spans="1:9" ht="15" customHeight="1" x14ac:dyDescent="0.35">
      <c r="A50" s="81">
        <v>10</v>
      </c>
      <c r="B50" s="57" t="s">
        <v>1503</v>
      </c>
      <c r="C50" s="84">
        <v>19900</v>
      </c>
      <c r="D50" s="10"/>
      <c r="G50" s="78" t="s">
        <v>1504</v>
      </c>
      <c r="H50" s="78" t="s">
        <v>1504</v>
      </c>
      <c r="I50" s="83">
        <v>21300</v>
      </c>
    </row>
    <row r="51" spans="1:9" ht="15" customHeight="1" x14ac:dyDescent="0.35">
      <c r="A51" s="81">
        <v>11</v>
      </c>
      <c r="B51" s="57" t="s">
        <v>1495</v>
      </c>
      <c r="C51" s="84">
        <v>25700</v>
      </c>
      <c r="D51" s="10"/>
      <c r="G51" s="78" t="s">
        <v>1505</v>
      </c>
      <c r="H51" s="78" t="s">
        <v>1505</v>
      </c>
      <c r="I51" s="83">
        <v>21300</v>
      </c>
    </row>
    <row r="52" spans="1:9" ht="15" customHeight="1" x14ac:dyDescent="0.35">
      <c r="A52" s="81">
        <v>12</v>
      </c>
      <c r="B52" s="57" t="s">
        <v>1499</v>
      </c>
      <c r="C52" s="84">
        <v>28000</v>
      </c>
      <c r="D52" s="10"/>
      <c r="G52" s="78" t="s">
        <v>1506</v>
      </c>
      <c r="H52" s="78" t="s">
        <v>1506</v>
      </c>
      <c r="I52" s="83">
        <v>21300</v>
      </c>
    </row>
    <row r="53" spans="1:9" ht="15" customHeight="1" x14ac:dyDescent="0.35">
      <c r="A53" s="81">
        <v>12</v>
      </c>
      <c r="B53" s="57" t="s">
        <v>1507</v>
      </c>
      <c r="C53" s="84">
        <v>22600</v>
      </c>
      <c r="D53" s="10"/>
      <c r="G53" s="78" t="s">
        <v>1508</v>
      </c>
      <c r="H53" s="78" t="s">
        <v>1508</v>
      </c>
      <c r="I53" s="83">
        <v>21300</v>
      </c>
    </row>
    <row r="54" spans="1:9" ht="15" customHeight="1" x14ac:dyDescent="0.35">
      <c r="A54" s="57" t="s">
        <v>1509</v>
      </c>
      <c r="B54" s="10"/>
      <c r="C54" s="10"/>
      <c r="D54" s="10"/>
      <c r="G54" s="78" t="s">
        <v>1510</v>
      </c>
      <c r="H54" s="78" t="s">
        <v>1510</v>
      </c>
      <c r="I54" s="83">
        <v>21300</v>
      </c>
    </row>
    <row r="55" spans="1:9" ht="15" customHeight="1" x14ac:dyDescent="0.35">
      <c r="A55" s="81" t="s">
        <v>415</v>
      </c>
      <c r="B55" s="81" t="s">
        <v>1511</v>
      </c>
      <c r="C55" s="81" t="s">
        <v>1473</v>
      </c>
      <c r="D55" s="10"/>
      <c r="G55" s="78" t="s">
        <v>1512</v>
      </c>
      <c r="H55" s="78" t="s">
        <v>1512</v>
      </c>
      <c r="I55" s="83">
        <v>23500</v>
      </c>
    </row>
    <row r="56" spans="1:9" ht="15" customHeight="1" x14ac:dyDescent="0.35">
      <c r="A56" s="81">
        <v>9</v>
      </c>
      <c r="B56" s="57" t="s">
        <v>1513</v>
      </c>
      <c r="C56" s="82">
        <v>21300</v>
      </c>
      <c r="D56" s="10"/>
      <c r="G56" s="78" t="s">
        <v>1514</v>
      </c>
      <c r="H56" s="78" t="s">
        <v>1514</v>
      </c>
      <c r="I56" s="83">
        <v>23500</v>
      </c>
    </row>
    <row r="57" spans="1:9" ht="15" customHeight="1" x14ac:dyDescent="0.35">
      <c r="A57" s="81">
        <v>10</v>
      </c>
      <c r="B57" s="57" t="s">
        <v>1515</v>
      </c>
      <c r="C57" s="82">
        <v>23500</v>
      </c>
      <c r="D57" s="10"/>
      <c r="G57" s="78" t="s">
        <v>1516</v>
      </c>
      <c r="H57" s="78" t="s">
        <v>1516</v>
      </c>
      <c r="I57" s="83">
        <v>23500</v>
      </c>
    </row>
    <row r="58" spans="1:9" ht="15" customHeight="1" x14ac:dyDescent="0.35">
      <c r="A58" s="81">
        <v>10</v>
      </c>
      <c r="B58" s="57" t="s">
        <v>1503</v>
      </c>
      <c r="C58" s="82">
        <v>19900</v>
      </c>
      <c r="D58" s="10"/>
      <c r="G58" s="78" t="s">
        <v>1517</v>
      </c>
      <c r="H58" s="78" t="s">
        <v>1517</v>
      </c>
      <c r="I58" s="83">
        <v>23500</v>
      </c>
    </row>
    <row r="59" spans="1:9" ht="15" customHeight="1" x14ac:dyDescent="0.35">
      <c r="A59" s="81">
        <v>11</v>
      </c>
      <c r="B59" s="57" t="s">
        <v>1518</v>
      </c>
      <c r="C59" s="82">
        <v>25700</v>
      </c>
      <c r="D59" s="10"/>
      <c r="G59" s="78" t="s">
        <v>1519</v>
      </c>
      <c r="H59" s="78" t="s">
        <v>1519</v>
      </c>
      <c r="I59" s="83">
        <v>23500</v>
      </c>
    </row>
    <row r="60" spans="1:9" ht="15" customHeight="1" x14ac:dyDescent="0.35">
      <c r="A60" s="81">
        <v>12</v>
      </c>
      <c r="B60" s="57" t="s">
        <v>1520</v>
      </c>
      <c r="C60" s="82">
        <v>28000</v>
      </c>
      <c r="D60" s="10"/>
      <c r="G60" s="78" t="s">
        <v>1521</v>
      </c>
      <c r="H60" s="78" t="s">
        <v>1521</v>
      </c>
      <c r="I60" s="83">
        <v>19900</v>
      </c>
    </row>
    <row r="61" spans="1:9" ht="15" customHeight="1" x14ac:dyDescent="0.35">
      <c r="A61" s="81">
        <v>12</v>
      </c>
      <c r="B61" s="57" t="s">
        <v>1507</v>
      </c>
      <c r="C61" s="82">
        <v>22600</v>
      </c>
      <c r="D61" s="10"/>
      <c r="G61" s="78" t="s">
        <v>1522</v>
      </c>
      <c r="H61" s="78" t="s">
        <v>1522</v>
      </c>
      <c r="I61" s="83">
        <v>23500</v>
      </c>
    </row>
    <row r="62" spans="1:9" ht="15" customHeight="1" x14ac:dyDescent="0.35">
      <c r="A62" s="10"/>
      <c r="B62" s="10"/>
      <c r="C62" s="10"/>
      <c r="D62" s="10"/>
      <c r="G62" s="78" t="s">
        <v>1523</v>
      </c>
      <c r="H62" s="78" t="s">
        <v>1523</v>
      </c>
      <c r="I62" s="83">
        <v>23500</v>
      </c>
    </row>
    <row r="63" spans="1:9" ht="15" customHeight="1" x14ac:dyDescent="0.35">
      <c r="A63" s="25" t="s">
        <v>1289</v>
      </c>
      <c r="B63" s="10"/>
      <c r="C63" s="10"/>
      <c r="D63" s="10"/>
      <c r="G63" s="78" t="s">
        <v>1524</v>
      </c>
      <c r="H63" s="78" t="s">
        <v>1524</v>
      </c>
      <c r="I63" s="83">
        <v>23500</v>
      </c>
    </row>
    <row r="64" spans="1:9" ht="15" customHeight="1" x14ac:dyDescent="0.35">
      <c r="A64" s="64" t="s">
        <v>1290</v>
      </c>
      <c r="B64" s="10"/>
      <c r="C64" s="10"/>
      <c r="D64" s="26">
        <f>ROUND(VLOOKUP("บานเฟี้ยม (sms)",ค่าแรง!$A$12:$E$27,2,0)*B4,0)</f>
        <v>880</v>
      </c>
      <c r="E64" s="320" t="s">
        <v>1525</v>
      </c>
      <c r="G64" s="78" t="s">
        <v>1526</v>
      </c>
      <c r="H64" s="78" t="s">
        <v>1526</v>
      </c>
      <c r="I64" s="83">
        <v>23500</v>
      </c>
    </row>
    <row r="65" spans="1:9" ht="15" customHeight="1" x14ac:dyDescent="0.35">
      <c r="A65" s="64" t="s">
        <v>1291</v>
      </c>
      <c r="B65" s="10"/>
      <c r="C65" s="10"/>
      <c r="D65" s="26">
        <f>ROUND(VLOOKUP("บานเฟี้ยม (sms)",ค่าแรง!$A$12:$E$27,4,0)*B4,0)</f>
        <v>352</v>
      </c>
      <c r="E65" s="320" t="s">
        <v>1525</v>
      </c>
      <c r="G65" s="78" t="s">
        <v>1527</v>
      </c>
      <c r="H65" s="78" t="s">
        <v>1527</v>
      </c>
      <c r="I65" s="83">
        <v>23500</v>
      </c>
    </row>
    <row r="66" spans="1:9" ht="15" customHeight="1" x14ac:dyDescent="0.35">
      <c r="A66" s="64" t="s">
        <v>1292</v>
      </c>
      <c r="B66" s="27">
        <v>100</v>
      </c>
      <c r="C66" s="10"/>
      <c r="D66" s="10"/>
      <c r="G66" s="78" t="s">
        <v>1528</v>
      </c>
      <c r="H66" s="78" t="s">
        <v>1528</v>
      </c>
      <c r="I66" s="83">
        <v>25700</v>
      </c>
    </row>
    <row r="67" spans="1:9" ht="15" customHeight="1" x14ac:dyDescent="0.35">
      <c r="A67" s="25" t="s">
        <v>1293</v>
      </c>
      <c r="B67" s="10"/>
      <c r="C67" s="10"/>
      <c r="D67" s="28">
        <f>ROUNDUP((D26+D64)*(1+B8/100)/100,0)*100</f>
        <v>38000</v>
      </c>
      <c r="G67" s="78" t="s">
        <v>1529</v>
      </c>
      <c r="H67" s="78" t="s">
        <v>1529</v>
      </c>
      <c r="I67" s="83">
        <v>25700</v>
      </c>
    </row>
    <row r="68" spans="1:9" ht="15" customHeight="1" x14ac:dyDescent="0.35">
      <c r="A68" s="25" t="s">
        <v>1294</v>
      </c>
      <c r="B68" s="10"/>
      <c r="C68" s="10"/>
      <c r="D68" s="28">
        <f>D67+ROUNDUP(D65*(1+B66/100)/100,0)*100</f>
        <v>38800</v>
      </c>
      <c r="G68" s="78" t="s">
        <v>1530</v>
      </c>
      <c r="H68" s="78" t="s">
        <v>1530</v>
      </c>
      <c r="I68" s="83">
        <v>25700</v>
      </c>
    </row>
    <row r="69" spans="1:9" ht="15" customHeight="1" x14ac:dyDescent="0.35">
      <c r="A69" s="25" t="s">
        <v>1295</v>
      </c>
      <c r="B69" s="10"/>
      <c r="C69" s="10"/>
      <c r="D69" s="29">
        <f>(D68-(D26+D64+D65))/(D26+D64+D65)</f>
        <v>1.0068937835947811</v>
      </c>
      <c r="G69" s="78" t="s">
        <v>1531</v>
      </c>
      <c r="H69" s="78" t="s">
        <v>1531</v>
      </c>
      <c r="I69" s="83">
        <v>25700</v>
      </c>
    </row>
    <row r="70" spans="1:9" ht="15" customHeight="1" x14ac:dyDescent="0.35">
      <c r="A70" s="10"/>
      <c r="B70" s="10"/>
      <c r="C70" s="10"/>
      <c r="D70" s="10"/>
      <c r="G70" s="78" t="s">
        <v>1532</v>
      </c>
      <c r="H70" s="78" t="s">
        <v>1532</v>
      </c>
      <c r="I70" s="83">
        <v>25700</v>
      </c>
    </row>
    <row r="71" spans="1:9" ht="15" customHeight="1" x14ac:dyDescent="0.35">
      <c r="A71" s="10"/>
      <c r="B71" s="10"/>
      <c r="C71" s="10"/>
      <c r="D71" s="10"/>
      <c r="G71" s="78" t="s">
        <v>1533</v>
      </c>
      <c r="H71" s="78" t="s">
        <v>1533</v>
      </c>
      <c r="I71" s="83">
        <v>25700</v>
      </c>
    </row>
    <row r="72" spans="1:9" ht="15" customHeight="1" x14ac:dyDescent="0.35">
      <c r="A72" s="10"/>
      <c r="B72" s="10"/>
      <c r="C72" s="10"/>
      <c r="D72" s="10"/>
      <c r="G72" s="78" t="s">
        <v>1534</v>
      </c>
      <c r="H72" s="78" t="s">
        <v>1534</v>
      </c>
      <c r="I72" s="83">
        <v>25700</v>
      </c>
    </row>
    <row r="73" spans="1:9" ht="15" customHeight="1" x14ac:dyDescent="0.35">
      <c r="A73" s="10"/>
      <c r="B73" s="10"/>
      <c r="C73" s="10"/>
      <c r="D73" s="10"/>
      <c r="G73" s="78" t="s">
        <v>1535</v>
      </c>
      <c r="H73" s="78" t="s">
        <v>1535</v>
      </c>
      <c r="I73" s="83">
        <v>25700</v>
      </c>
    </row>
    <row r="74" spans="1:9" ht="15" customHeight="1" x14ac:dyDescent="0.35">
      <c r="A74" s="10"/>
      <c r="B74" s="10"/>
      <c r="C74" s="10"/>
      <c r="D74" s="10"/>
      <c r="G74" s="78" t="s">
        <v>1536</v>
      </c>
      <c r="H74" s="78" t="s">
        <v>1536</v>
      </c>
      <c r="I74" s="83">
        <v>25700</v>
      </c>
    </row>
    <row r="75" spans="1:9" ht="15" customHeight="1" x14ac:dyDescent="0.35">
      <c r="A75" s="10"/>
      <c r="B75" s="10"/>
      <c r="C75" s="10"/>
      <c r="D75" s="10"/>
      <c r="G75" s="78" t="s">
        <v>1537</v>
      </c>
      <c r="H75" s="78" t="s">
        <v>1537</v>
      </c>
      <c r="I75" s="83">
        <v>25700</v>
      </c>
    </row>
    <row r="76" spans="1:9" ht="15" customHeight="1" x14ac:dyDescent="0.35">
      <c r="A76" s="10"/>
      <c r="B76" s="10"/>
      <c r="C76" s="10"/>
      <c r="D76" s="10"/>
      <c r="G76" s="78" t="s">
        <v>1538</v>
      </c>
      <c r="H76" s="78" t="s">
        <v>1538</v>
      </c>
      <c r="I76" s="83">
        <v>25700</v>
      </c>
    </row>
    <row r="77" spans="1:9" ht="15" customHeight="1" x14ac:dyDescent="0.35">
      <c r="A77" s="10"/>
      <c r="B77" s="10"/>
      <c r="C77" s="10"/>
      <c r="D77" s="10"/>
      <c r="G77" s="78" t="s">
        <v>1539</v>
      </c>
      <c r="H77" s="78" t="s">
        <v>1539</v>
      </c>
      <c r="I77" s="83">
        <v>25700</v>
      </c>
    </row>
    <row r="78" spans="1:9" ht="15" customHeight="1" x14ac:dyDescent="0.35">
      <c r="A78" s="10"/>
      <c r="B78" s="10"/>
      <c r="C78" s="10"/>
      <c r="D78" s="10"/>
      <c r="G78" s="78" t="s">
        <v>1540</v>
      </c>
      <c r="H78" s="78" t="s">
        <v>1540</v>
      </c>
      <c r="I78" s="83">
        <v>28000</v>
      </c>
    </row>
    <row r="79" spans="1:9" ht="15" customHeight="1" x14ac:dyDescent="0.35">
      <c r="A79" s="10"/>
      <c r="B79" s="10"/>
      <c r="C79" s="10"/>
      <c r="D79" s="10"/>
      <c r="G79" s="78" t="s">
        <v>1541</v>
      </c>
      <c r="H79" s="78" t="s">
        <v>1541</v>
      </c>
      <c r="I79" s="83">
        <v>28000</v>
      </c>
    </row>
    <row r="80" spans="1:9" ht="15" customHeight="1" x14ac:dyDescent="0.35">
      <c r="A80" s="10"/>
      <c r="B80" s="10"/>
      <c r="C80" s="10"/>
      <c r="D80" s="10"/>
      <c r="G80" s="78" t="s">
        <v>1542</v>
      </c>
      <c r="H80" s="78" t="s">
        <v>1542</v>
      </c>
      <c r="I80" s="83">
        <v>28000</v>
      </c>
    </row>
    <row r="81" spans="1:9" ht="15" customHeight="1" x14ac:dyDescent="0.35">
      <c r="A81" s="10"/>
      <c r="B81" s="10"/>
      <c r="C81" s="10"/>
      <c r="D81" s="10"/>
      <c r="G81" s="78" t="s">
        <v>1543</v>
      </c>
      <c r="H81" s="78" t="s">
        <v>1543</v>
      </c>
      <c r="I81" s="83">
        <v>28000</v>
      </c>
    </row>
    <row r="82" spans="1:9" ht="15" customHeight="1" x14ac:dyDescent="0.35">
      <c r="A82" s="10"/>
      <c r="B82" s="10"/>
      <c r="C82" s="10"/>
      <c r="D82" s="10"/>
      <c r="G82" s="78" t="s">
        <v>1544</v>
      </c>
      <c r="H82" s="78" t="s">
        <v>1544</v>
      </c>
      <c r="I82" s="83">
        <v>28000</v>
      </c>
    </row>
    <row r="83" spans="1:9" ht="15" customHeight="1" x14ac:dyDescent="0.35">
      <c r="A83" s="10"/>
      <c r="B83" s="10"/>
      <c r="C83" s="10"/>
      <c r="D83" s="10"/>
      <c r="G83" s="78" t="s">
        <v>1545</v>
      </c>
      <c r="H83" s="78" t="s">
        <v>1545</v>
      </c>
      <c r="I83" s="83">
        <v>28000</v>
      </c>
    </row>
    <row r="84" spans="1:9" ht="15" customHeight="1" x14ac:dyDescent="0.35">
      <c r="A84" s="10"/>
      <c r="B84" s="10"/>
      <c r="C84" s="10"/>
      <c r="D84" s="10"/>
      <c r="G84" s="78" t="s">
        <v>1546</v>
      </c>
      <c r="H84" s="78" t="s">
        <v>1546</v>
      </c>
      <c r="I84" s="83">
        <v>22600</v>
      </c>
    </row>
    <row r="85" spans="1:9" ht="15" customHeight="1" x14ac:dyDescent="0.35">
      <c r="A85" s="10"/>
      <c r="B85" s="10"/>
      <c r="C85" s="10"/>
      <c r="D85" s="10"/>
      <c r="G85" s="78" t="s">
        <v>1547</v>
      </c>
      <c r="H85" s="78" t="s">
        <v>1547</v>
      </c>
      <c r="I85" s="83">
        <v>28000</v>
      </c>
    </row>
    <row r="86" spans="1:9" ht="15" customHeight="1" x14ac:dyDescent="0.35">
      <c r="A86" s="10"/>
      <c r="B86" s="10"/>
      <c r="C86" s="10"/>
      <c r="D86" s="10"/>
      <c r="G86" s="78" t="s">
        <v>1548</v>
      </c>
      <c r="H86" s="78" t="s">
        <v>1548</v>
      </c>
      <c r="I86" s="83">
        <v>28000</v>
      </c>
    </row>
    <row r="87" spans="1:9" ht="15" customHeight="1" x14ac:dyDescent="0.35">
      <c r="A87" s="10"/>
      <c r="B87" s="10"/>
      <c r="C87" s="10"/>
      <c r="D87" s="10"/>
      <c r="G87" s="78" t="s">
        <v>1549</v>
      </c>
      <c r="H87" s="78" t="s">
        <v>1549</v>
      </c>
      <c r="I87" s="83">
        <v>28000</v>
      </c>
    </row>
    <row r="88" spans="1:9" ht="15" customHeight="1" x14ac:dyDescent="0.35">
      <c r="A88" s="10"/>
      <c r="B88" s="10"/>
      <c r="C88" s="10"/>
      <c r="D88" s="10"/>
      <c r="G88" s="78" t="s">
        <v>1550</v>
      </c>
      <c r="H88" s="78" t="s">
        <v>1550</v>
      </c>
      <c r="I88" s="83">
        <v>28000</v>
      </c>
    </row>
    <row r="89" spans="1:9" ht="15" customHeight="1" x14ac:dyDescent="0.35">
      <c r="A89" s="10"/>
      <c r="B89" s="10"/>
      <c r="C89" s="10"/>
      <c r="D89" s="10"/>
      <c r="G89" s="78" t="s">
        <v>1551</v>
      </c>
      <c r="H89" s="78" t="s">
        <v>1551</v>
      </c>
      <c r="I89" s="83">
        <v>28000</v>
      </c>
    </row>
    <row r="90" spans="1:9" ht="15" customHeight="1" x14ac:dyDescent="0.35">
      <c r="A90" s="10"/>
      <c r="B90" s="10"/>
      <c r="C90" s="10"/>
      <c r="D90" s="10"/>
      <c r="G90" s="78" t="s">
        <v>1552</v>
      </c>
      <c r="H90" s="78" t="s">
        <v>1552</v>
      </c>
      <c r="I90" s="83">
        <v>28000</v>
      </c>
    </row>
    <row r="91" spans="1:9" ht="15" customHeight="1" x14ac:dyDescent="0.35">
      <c r="A91" s="10"/>
      <c r="B91" s="10"/>
      <c r="C91" s="10"/>
      <c r="D91" s="10"/>
      <c r="G91" s="78" t="s">
        <v>1551</v>
      </c>
    </row>
    <row r="92" spans="1:9" ht="15" customHeight="1" x14ac:dyDescent="0.35">
      <c r="A92" s="10"/>
      <c r="B92" s="10"/>
      <c r="C92" s="10"/>
      <c r="D92" s="10"/>
      <c r="G92" s="78" t="s">
        <v>1552</v>
      </c>
    </row>
    <row r="93" spans="1:9" ht="15" customHeight="1" x14ac:dyDescent="0.35">
      <c r="A93" s="10"/>
      <c r="B93" s="10"/>
      <c r="C93" s="10"/>
      <c r="D93" s="10"/>
    </row>
    <row r="94" spans="1:9" ht="15" customHeight="1" x14ac:dyDescent="0.35">
      <c r="A94" s="10"/>
      <c r="B94" s="10"/>
      <c r="C94" s="10"/>
      <c r="D94" s="10"/>
    </row>
    <row r="95" spans="1:9" ht="15" customHeight="1" x14ac:dyDescent="0.35">
      <c r="A95" s="10"/>
      <c r="B95" s="10"/>
      <c r="C95" s="10"/>
      <c r="D95" s="10"/>
    </row>
    <row r="96" spans="1:9" ht="15" customHeight="1" x14ac:dyDescent="0.35">
      <c r="A96" s="10"/>
      <c r="B96" s="10"/>
      <c r="C96" s="10"/>
      <c r="D96" s="10"/>
    </row>
    <row r="97" spans="1:4" ht="15" customHeight="1" x14ac:dyDescent="0.35">
      <c r="A97" s="10"/>
      <c r="B97" s="10"/>
      <c r="C97" s="10"/>
      <c r="D97" s="10"/>
    </row>
    <row r="98" spans="1:4" ht="15" customHeight="1" x14ac:dyDescent="0.35">
      <c r="A98" s="10"/>
      <c r="B98" s="10"/>
      <c r="C98" s="10"/>
      <c r="D98" s="10"/>
    </row>
    <row r="99" spans="1:4" ht="15" customHeight="1" x14ac:dyDescent="0.35">
      <c r="A99" s="10"/>
      <c r="B99" s="10"/>
      <c r="C99" s="10"/>
      <c r="D99" s="10"/>
    </row>
    <row r="100" spans="1:4" ht="15" customHeight="1" x14ac:dyDescent="0.35">
      <c r="A100" s="10"/>
      <c r="B100" s="10"/>
      <c r="C100" s="10"/>
      <c r="D100" s="10"/>
    </row>
    <row r="101" spans="1:4" ht="15" customHeight="1" x14ac:dyDescent="0.35">
      <c r="A101" s="10"/>
      <c r="B101" s="10"/>
      <c r="C101" s="10"/>
      <c r="D101" s="10"/>
    </row>
    <row r="102" spans="1:4" ht="15" customHeight="1" x14ac:dyDescent="0.35">
      <c r="A102" s="10"/>
      <c r="B102" s="10"/>
      <c r="C102" s="10"/>
      <c r="D102" s="10"/>
    </row>
    <row r="103" spans="1:4" ht="15" customHeight="1" x14ac:dyDescent="0.35">
      <c r="A103" s="10"/>
      <c r="B103" s="10"/>
      <c r="C103" s="10"/>
      <c r="D103" s="10"/>
    </row>
    <row r="104" spans="1:4" ht="15" customHeight="1" x14ac:dyDescent="0.35">
      <c r="A104" s="10"/>
      <c r="B104" s="10"/>
      <c r="C104" s="10"/>
      <c r="D104" s="10"/>
    </row>
    <row r="105" spans="1:4" ht="15" customHeight="1" x14ac:dyDescent="0.35">
      <c r="A105" s="10"/>
      <c r="B105" s="10"/>
      <c r="C105" s="10"/>
      <c r="D105" s="10"/>
    </row>
    <row r="106" spans="1:4" ht="15" customHeight="1" x14ac:dyDescent="0.35">
      <c r="A106" s="10"/>
      <c r="B106" s="10"/>
      <c r="C106" s="10"/>
      <c r="D106" s="10"/>
    </row>
    <row r="107" spans="1:4" ht="15" customHeight="1" x14ac:dyDescent="0.35">
      <c r="A107" s="10"/>
      <c r="B107" s="10"/>
      <c r="C107" s="10"/>
      <c r="D107" s="10"/>
    </row>
    <row r="108" spans="1:4" ht="15" customHeight="1" x14ac:dyDescent="0.35">
      <c r="A108" s="10"/>
      <c r="B108" s="10"/>
      <c r="C108" s="10"/>
      <c r="D108" s="10"/>
    </row>
    <row r="109" spans="1:4" ht="15" customHeight="1" x14ac:dyDescent="0.35">
      <c r="A109" s="10"/>
      <c r="B109" s="10"/>
      <c r="C109" s="10"/>
      <c r="D109" s="10"/>
    </row>
    <row r="110" spans="1:4" ht="15" customHeight="1" x14ac:dyDescent="0.35">
      <c r="A110" s="10"/>
      <c r="B110" s="10"/>
      <c r="C110" s="10"/>
      <c r="D110" s="10"/>
    </row>
    <row r="111" spans="1:4" ht="15" customHeight="1" x14ac:dyDescent="0.35">
      <c r="A111" s="10"/>
      <c r="B111" s="10"/>
      <c r="C111" s="10"/>
      <c r="D111" s="10"/>
    </row>
    <row r="112" spans="1:4" ht="15" customHeight="1" x14ac:dyDescent="0.35">
      <c r="A112" s="10"/>
      <c r="B112" s="10"/>
      <c r="C112" s="10"/>
      <c r="D112" s="10"/>
    </row>
    <row r="113" spans="1:4" ht="15" customHeight="1" x14ac:dyDescent="0.35">
      <c r="A113" s="10"/>
      <c r="B113" s="10"/>
      <c r="C113" s="10"/>
      <c r="D113" s="10"/>
    </row>
    <row r="114" spans="1:4" ht="15" customHeight="1" x14ac:dyDescent="0.35">
      <c r="A114" s="10"/>
      <c r="B114" s="10"/>
      <c r="C114" s="10"/>
      <c r="D114" s="10"/>
    </row>
    <row r="115" spans="1:4" ht="15" customHeight="1" x14ac:dyDescent="0.35">
      <c r="A115" s="10"/>
      <c r="B115" s="10"/>
      <c r="C115" s="10"/>
      <c r="D115" s="10"/>
    </row>
    <row r="116" spans="1:4" ht="15" customHeight="1" x14ac:dyDescent="0.35">
      <c r="A116" s="10"/>
      <c r="B116" s="10"/>
      <c r="C116" s="10"/>
      <c r="D116" s="10"/>
    </row>
    <row r="117" spans="1:4" ht="15" customHeight="1" x14ac:dyDescent="0.35">
      <c r="A117" s="10"/>
      <c r="B117" s="10"/>
      <c r="C117" s="10"/>
      <c r="D117" s="10"/>
    </row>
    <row r="118" spans="1:4" ht="15" customHeight="1" x14ac:dyDescent="0.35">
      <c r="A118" s="10"/>
      <c r="B118" s="10"/>
      <c r="C118" s="10"/>
      <c r="D118" s="10"/>
    </row>
    <row r="119" spans="1:4" ht="15" customHeight="1" x14ac:dyDescent="0.35">
      <c r="A119" s="10"/>
      <c r="B119" s="10"/>
      <c r="C119" s="10"/>
      <c r="D119" s="10"/>
    </row>
    <row r="120" spans="1:4" ht="15" customHeight="1" x14ac:dyDescent="0.35">
      <c r="A120" s="10"/>
      <c r="B120" s="10"/>
      <c r="C120" s="10"/>
      <c r="D120" s="10"/>
    </row>
    <row r="121" spans="1:4" ht="15" customHeight="1" x14ac:dyDescent="0.35">
      <c r="A121" s="10"/>
      <c r="B121" s="10"/>
      <c r="C121" s="10"/>
      <c r="D121" s="10"/>
    </row>
    <row r="122" spans="1:4" ht="15" customHeight="1" x14ac:dyDescent="0.35">
      <c r="A122" s="10"/>
      <c r="B122" s="10"/>
      <c r="C122" s="10"/>
      <c r="D122" s="10"/>
    </row>
    <row r="124" spans="1:4" x14ac:dyDescent="0.35">
      <c r="A124" s="154" t="s">
        <v>1325</v>
      </c>
      <c r="B124" s="155"/>
      <c r="C124" s="155"/>
      <c r="D124" s="155"/>
    </row>
    <row r="125" spans="1:4" x14ac:dyDescent="0.35">
      <c r="A125" s="20" t="s">
        <v>1553</v>
      </c>
      <c r="B125" s="156" t="s">
        <v>1298</v>
      </c>
      <c r="C125" s="155"/>
      <c r="D125" s="155"/>
    </row>
    <row r="126" spans="1:4" x14ac:dyDescent="0.35">
      <c r="A126" s="20" t="s">
        <v>1300</v>
      </c>
      <c r="B126" s="156" t="s">
        <v>537</v>
      </c>
      <c r="C126" s="155"/>
      <c r="D126" s="155"/>
    </row>
    <row r="127" spans="1:4" x14ac:dyDescent="0.35">
      <c r="A127" s="155"/>
      <c r="B127" s="155"/>
      <c r="C127" s="155"/>
      <c r="D127" s="155"/>
    </row>
    <row r="128" spans="1:4" x14ac:dyDescent="0.35">
      <c r="A128" s="157" t="s">
        <v>1309</v>
      </c>
      <c r="B128" s="155"/>
      <c r="C128" s="155"/>
      <c r="D128" s="158">
        <f>IF(B125="ไม่มี",0,INDEX(ราคาออโต้!$C:$C,MATCH(B126,ราคาออโต้!$B:$B,0))+INDEX(ราคาออโต้!$D:$D,MATCH(B126,ราคาออโต้!$B:$B,0)))</f>
        <v>0</v>
      </c>
    </row>
    <row r="129" spans="1:11" x14ac:dyDescent="0.35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</row>
    <row r="130" spans="1:11" x14ac:dyDescent="0.35">
      <c r="A130" s="381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</row>
    <row r="131" spans="1:11" x14ac:dyDescent="0.35">
      <c r="A131" s="382"/>
      <c r="B131" s="383"/>
      <c r="C131" s="153"/>
      <c r="D131" s="153"/>
      <c r="E131" s="153"/>
      <c r="F131" s="153"/>
      <c r="G131" s="153"/>
      <c r="H131" s="153"/>
      <c r="I131" s="153"/>
      <c r="J131" s="153"/>
      <c r="K131" s="153"/>
    </row>
    <row r="132" spans="1:11" x14ac:dyDescent="0.35">
      <c r="A132" s="382"/>
      <c r="B132" s="383"/>
      <c r="C132" s="153"/>
      <c r="D132" s="153"/>
      <c r="E132" s="153"/>
      <c r="F132" s="153"/>
      <c r="G132" s="153"/>
      <c r="H132" s="153"/>
      <c r="I132" s="153"/>
      <c r="J132" s="153"/>
      <c r="K132" s="153"/>
    </row>
    <row r="133" spans="1:11" x14ac:dyDescent="0.35">
      <c r="A133" s="382"/>
      <c r="B133" s="383"/>
      <c r="C133" s="153"/>
      <c r="D133" s="153"/>
      <c r="E133" s="153"/>
      <c r="F133" s="153"/>
      <c r="G133" s="153"/>
      <c r="H133" s="153"/>
      <c r="I133" s="153"/>
      <c r="J133" s="153"/>
      <c r="K133" s="153"/>
    </row>
    <row r="134" spans="1:11" x14ac:dyDescent="0.35">
      <c r="A134" s="382"/>
      <c r="B134" s="384"/>
      <c r="C134" s="153"/>
      <c r="D134" s="153"/>
      <c r="E134" s="153"/>
      <c r="F134" s="153"/>
      <c r="G134" s="153"/>
      <c r="H134" s="153"/>
      <c r="I134" s="153"/>
      <c r="J134" s="153"/>
      <c r="K134" s="153"/>
    </row>
    <row r="135" spans="1:11" x14ac:dyDescent="0.35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</row>
    <row r="136" spans="1:11" x14ac:dyDescent="0.35">
      <c r="A136" s="375" t="s">
        <v>1269</v>
      </c>
    </row>
    <row r="137" spans="1:11" x14ac:dyDescent="0.35">
      <c r="A137" s="382"/>
      <c r="B137" s="383"/>
    </row>
    <row r="138" spans="1:11" x14ac:dyDescent="0.35">
      <c r="A138" s="382"/>
      <c r="B138" s="383"/>
    </row>
    <row r="139" spans="1:11" x14ac:dyDescent="0.35">
      <c r="A139" s="382"/>
      <c r="B139" s="383"/>
    </row>
    <row r="140" spans="1:11" x14ac:dyDescent="0.35">
      <c r="A140" s="382"/>
      <c r="B140" s="384"/>
    </row>
  </sheetData>
  <mergeCells count="2">
    <mergeCell ref="L12:O12"/>
    <mergeCell ref="A1:F1"/>
  </mergeCells>
  <dataValidations count="8">
    <dataValidation type="list" sqref="B5" xr:uid="{00000000-0002-0000-1300-000000000000}">
      <formula1>$G$2:$G$89</formula1>
      <formula2>0</formula2>
    </dataValidation>
    <dataValidation type="list" sqref="B6" xr:uid="{00000000-0002-0000-1300-000001000000}">
      <formula1>"ไม่มี,มี"</formula1>
      <formula2>0</formula2>
    </dataValidation>
    <dataValidation type="list" sqref="B10" xr:uid="{00000000-0002-0000-1300-000002000000}">
      <formula1>GlassNames</formula1>
      <formula2>0</formula2>
    </dataValidation>
    <dataValidation type="list" sqref="F10" xr:uid="{00000000-0002-0000-1300-000003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allowBlank="1" sqref="B125" xr:uid="{00000000-0002-0000-1300-000004000000}">
      <formula1>"มี,ไม่มี"</formula1>
    </dataValidation>
    <dataValidation type="list" allowBlank="1" sqref="B126" xr:uid="{00000000-0002-0000-1300-000005000000}">
      <formula1>"ยก 80 กก.,ยก 300 กก."</formula1>
    </dataValidation>
    <dataValidation type="list" allowBlank="1" sqref="B6" xr:uid="{00000000-0002-0000-1300-000006000000}">
      <formula1>"ธรณี,ธรณีหลังเต่า,รางยู"</formula1>
    </dataValidation>
    <dataValidation type="list" allowBlank="1" sqref="M13" xr:uid="{00000000-0002-0000-1300-000007000000}">
      <formula1>MungReady</formula1>
    </dataValidation>
  </dataValidations>
  <hyperlinks>
    <hyperlink ref="G1" location="'สารบัญ'!A1" display="🏠 สารบัญ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B9BD5"/>
  </sheetPr>
  <dimension ref="A1:K42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43.08984375" customWidth="1"/>
    <col min="2" max="2" width="15.7265625" customWidth="1"/>
    <col min="3" max="3" width="16.90625" customWidth="1"/>
    <col min="4" max="4" width="17.453125" customWidth="1"/>
    <col min="5" max="5" width="46" customWidth="1"/>
    <col min="6" max="6" width="16.90625" customWidth="1"/>
    <col min="7" max="7" width="42" customWidth="1"/>
  </cols>
  <sheetData>
    <row r="1" spans="1:8" ht="24" customHeight="1" x14ac:dyDescent="0.35">
      <c r="A1" s="437" t="s">
        <v>1554</v>
      </c>
      <c r="B1" s="411"/>
      <c r="C1" s="411"/>
      <c r="D1" s="411"/>
      <c r="E1" s="411"/>
      <c r="F1" s="411"/>
      <c r="G1" s="388" t="s">
        <v>78</v>
      </c>
      <c r="H1" s="389"/>
    </row>
    <row r="2" spans="1:8" ht="15" customHeight="1" x14ac:dyDescent="0.35">
      <c r="A2" s="30" t="s">
        <v>1236</v>
      </c>
      <c r="B2" s="27">
        <v>150</v>
      </c>
      <c r="E2" s="30">
        <f>mult_mtong*(IF(B5="เทาซาฮาร่า",1612,IF(B5="ลายไม้ stock",ROUND(1240*1.6,0),IF(B5="สีอบพิเศษ",ROUND(1240*(1+rate_special/192),0),IF(B5="สีลายไม้อบพิเศษ",ROUND(1240*(1+rate_woodbake/192),0),1240)))))</f>
        <v>1240</v>
      </c>
      <c r="F2" s="30" t="s">
        <v>1555</v>
      </c>
    </row>
    <row r="3" spans="1:8" ht="15" customHeight="1" x14ac:dyDescent="0.35">
      <c r="A3" s="30" t="s">
        <v>1238</v>
      </c>
      <c r="B3" s="27">
        <v>200</v>
      </c>
      <c r="E3" s="30">
        <f>mult_mtong*(IF(B5="เทาซาฮาร่า",550,IF(B5="ลายไม้ stock",ROUND(380*1.6,0),IF(B5="สีอบพิเศษ",ROUND(380*(1+rate_special/192),0),IF(B5="สีลายไม้อบพิเศษ",ROUND(380*(1+rate_woodbake/192),0),380)))))</f>
        <v>380</v>
      </c>
      <c r="F3" s="30" t="s">
        <v>1556</v>
      </c>
    </row>
    <row r="4" spans="1:8" ht="15" customHeight="1" x14ac:dyDescent="0.35">
      <c r="A4" s="30" t="s">
        <v>1557</v>
      </c>
      <c r="B4" s="27">
        <v>1</v>
      </c>
    </row>
    <row r="5" spans="1:8" ht="15" customHeight="1" x14ac:dyDescent="0.35">
      <c r="A5" s="30" t="s">
        <v>1371</v>
      </c>
      <c r="B5" s="27" t="s">
        <v>112</v>
      </c>
    </row>
    <row r="6" spans="1:8" ht="15" customHeight="1" x14ac:dyDescent="0.35">
      <c r="A6" s="30" t="s">
        <v>1558</v>
      </c>
      <c r="B6" s="27" t="s">
        <v>778</v>
      </c>
    </row>
    <row r="7" spans="1:8" ht="15" customHeight="1" x14ac:dyDescent="0.35">
      <c r="A7" s="30" t="s">
        <v>1559</v>
      </c>
      <c r="B7" s="27">
        <f>IFERROR(VLOOKUP(B6,ราคาวัสดุกลาง!$H:$I,2,0),264)</f>
        <v>264</v>
      </c>
    </row>
    <row r="8" spans="1:8" ht="15" customHeight="1" x14ac:dyDescent="0.35">
      <c r="A8" s="30" t="s">
        <v>1245</v>
      </c>
      <c r="B8" s="30">
        <f>(B2/100)*(B3/100)</f>
        <v>3</v>
      </c>
    </row>
    <row r="9" spans="1:8" ht="15" customHeight="1" x14ac:dyDescent="0.35">
      <c r="A9" s="30" t="s">
        <v>1247</v>
      </c>
      <c r="B9" s="27">
        <v>100</v>
      </c>
    </row>
    <row r="10" spans="1:8" ht="15" customHeight="1" x14ac:dyDescent="0.35">
      <c r="A10" s="30" t="s">
        <v>1250</v>
      </c>
      <c r="B10" s="27">
        <v>90</v>
      </c>
    </row>
    <row r="12" spans="1:8" ht="15" customHeight="1" x14ac:dyDescent="0.35">
      <c r="A12" s="76" t="s">
        <v>482</v>
      </c>
      <c r="B12" s="76" t="s">
        <v>1255</v>
      </c>
      <c r="C12" s="76" t="s">
        <v>1256</v>
      </c>
      <c r="D12" s="76" t="s">
        <v>1257</v>
      </c>
      <c r="E12" s="76" t="s">
        <v>587</v>
      </c>
    </row>
    <row r="13" spans="1:8" ht="15" customHeight="1" x14ac:dyDescent="0.35">
      <c r="A13" s="57" t="s">
        <v>1560</v>
      </c>
      <c r="B13" s="57">
        <f>IF(FLOOR(6/((B2)/100),1)&gt;=1,ROUNDUP((2)/FLOOR(6/((B2)/100),1),0),ROUNDUP(((B2)/100)/6,0)*(2))+IF(FLOOR(6/((B3)/100),1)&gt;=1,ROUNDUP(((B4+1))/FLOOR(6/((B3)/100),1),0),ROUNDUP(((B3)/100)/6,0)*((B4+1)))</f>
        <v>2</v>
      </c>
      <c r="C13" s="53">
        <f>E2</f>
        <v>1240</v>
      </c>
      <c r="D13" s="53">
        <f t="shared" ref="D13:D19" si="0">B13*C13</f>
        <v>2480</v>
      </c>
      <c r="E13" s="57"/>
    </row>
    <row r="14" spans="1:8" ht="15" customHeight="1" x14ac:dyDescent="0.35">
      <c r="A14" s="57" t="s">
        <v>1561</v>
      </c>
      <c r="B14" s="57">
        <f>IF(FLOOR(6/((B2/B4)/100),1)&gt;=1,ROUNDUP(((2*B4))/FLOOR(6/((B2/B4)/100),1),0),ROUNDUP(((B2/B4)/100)/6,0)*((2*B4)))+IF(FLOOR(6/((B3)/100),1)&gt;=1,ROUNDUP(((2*B4))/FLOOR(6/((B3)/100),1),0),ROUNDUP(((B3)/100)/6,0)*((2*B4)))</f>
        <v>2</v>
      </c>
      <c r="C14" s="53">
        <f>E3</f>
        <v>380</v>
      </c>
      <c r="D14" s="53">
        <f t="shared" si="0"/>
        <v>760</v>
      </c>
      <c r="E14" s="57"/>
    </row>
    <row r="15" spans="1:8" ht="15" customHeight="1" x14ac:dyDescent="0.35">
      <c r="A15" s="57" t="s">
        <v>1562</v>
      </c>
      <c r="B15" s="57">
        <f>4*B4</f>
        <v>4</v>
      </c>
      <c r="C15" s="53">
        <v>5</v>
      </c>
      <c r="D15" s="53">
        <f t="shared" si="0"/>
        <v>20</v>
      </c>
      <c r="E15" s="57" t="s">
        <v>1563</v>
      </c>
    </row>
    <row r="16" spans="1:8" ht="15" customHeight="1" x14ac:dyDescent="0.35">
      <c r="A16" s="57" t="s">
        <v>1564</v>
      </c>
      <c r="B16" s="57">
        <f>ROUND((2*B2+2*B4*B3)/100,1)</f>
        <v>7</v>
      </c>
      <c r="C16" s="53">
        <v>10</v>
      </c>
      <c r="D16" s="53">
        <f t="shared" si="0"/>
        <v>70</v>
      </c>
      <c r="E16" s="57"/>
    </row>
    <row r="17" spans="1:11" ht="15" customHeight="1" x14ac:dyDescent="0.35">
      <c r="A17" s="57" t="s">
        <v>1259</v>
      </c>
      <c r="B17" s="57">
        <f>B8</f>
        <v>3</v>
      </c>
      <c r="C17" s="53">
        <f>B7</f>
        <v>264</v>
      </c>
      <c r="D17" s="53">
        <f t="shared" si="0"/>
        <v>792</v>
      </c>
    </row>
    <row r="18" spans="1:11" ht="15" customHeight="1" x14ac:dyDescent="0.35">
      <c r="A18" s="57" t="s">
        <v>1265</v>
      </c>
      <c r="B18" s="57">
        <f>ROUNDUP((2*B2+2*B4*B3)/100*2/12.5,0)</f>
        <v>2</v>
      </c>
      <c r="C18" s="53">
        <f>B10</f>
        <v>90</v>
      </c>
      <c r="D18" s="53">
        <f t="shared" si="0"/>
        <v>180</v>
      </c>
    </row>
    <row r="19" spans="1:11" x14ac:dyDescent="0.35">
      <c r="A19" t="s">
        <v>1386</v>
      </c>
      <c r="B19">
        <f>IF(OR(B5="สีอบพิเศษ",B5="สีลายไม้อบพิเศษ"),1,0)</f>
        <v>0</v>
      </c>
      <c r="C19">
        <v>2000</v>
      </c>
      <c r="D19">
        <f t="shared" si="0"/>
        <v>0</v>
      </c>
    </row>
    <row r="20" spans="1:11" ht="15" customHeight="1" x14ac:dyDescent="0.35">
      <c r="A20" s="69" t="s">
        <v>1268</v>
      </c>
      <c r="D20" s="70">
        <f>SUM(D13:D19)</f>
        <v>4302</v>
      </c>
    </row>
    <row r="21" spans="1:11" ht="15" customHeight="1" x14ac:dyDescent="0.35">
      <c r="A21" s="69" t="s">
        <v>1125</v>
      </c>
      <c r="D21" s="70">
        <f>IF(B8&gt;0,D20/B8,0)</f>
        <v>1434</v>
      </c>
    </row>
    <row r="22" spans="1:11" ht="15" customHeight="1" x14ac:dyDescent="0.35">
      <c r="A22" s="69" t="s">
        <v>1350</v>
      </c>
      <c r="D22" s="28">
        <f>ROUNDUP(D21*(1+B9/100)/100,0)*100</f>
        <v>2900</v>
      </c>
    </row>
    <row r="23" spans="1:11" ht="15" customHeight="1" x14ac:dyDescent="0.35">
      <c r="A23" s="69" t="s">
        <v>1275</v>
      </c>
      <c r="D23" s="28">
        <f>B8*D22</f>
        <v>8700</v>
      </c>
    </row>
    <row r="24" spans="1:11" ht="15" customHeight="1" x14ac:dyDescent="0.35">
      <c r="A24" s="69" t="s">
        <v>1351</v>
      </c>
      <c r="D24" s="29">
        <f>(D23-D20)/D20</f>
        <v>1.0223152022315203</v>
      </c>
    </row>
    <row r="26" spans="1:11" x14ac:dyDescent="0.35">
      <c r="A26" s="30" t="s">
        <v>1565</v>
      </c>
      <c r="D26" s="66">
        <f>ROUND(VLOOKUP("บานติดตาย",ค่าแรง!$A$12:$E$27,2,0)+VLOOKUP("บานติดตาย",ค่าแรง!$A$12:$E$27,3,0)*B8,0)</f>
        <v>222</v>
      </c>
    </row>
    <row r="27" spans="1:11" x14ac:dyDescent="0.35">
      <c r="A27" s="30" t="s">
        <v>1566</v>
      </c>
      <c r="D27" s="66">
        <f>ROUND(VLOOKUP("บานติดตาย",ค่าแรง!$A$12:$E$27,4,0)+VLOOKUP("บานติดตาย",ค่าแรง!$A$12:$E$27,5,0)*B8,0)</f>
        <v>134</v>
      </c>
    </row>
    <row r="28" spans="1:11" x14ac:dyDescent="0.35">
      <c r="A28" s="25" t="s">
        <v>1567</v>
      </c>
      <c r="D28" s="123">
        <f>ROUNDUP((D20+D26)*(1+B9/100)/100,0)*100</f>
        <v>9100</v>
      </c>
    </row>
    <row r="29" spans="1:11" x14ac:dyDescent="0.35">
      <c r="A29" s="25" t="s">
        <v>1568</v>
      </c>
      <c r="D29" s="123">
        <f>D28+ROUNDUP(D27*(1+B9/100)/100,0)*100</f>
        <v>9400</v>
      </c>
    </row>
    <row r="30" spans="1:11" x14ac:dyDescent="0.35">
      <c r="A30" s="30" t="s">
        <v>1569</v>
      </c>
      <c r="D30" s="124">
        <f>(D28-(D20+D26))/(D20+D26)</f>
        <v>1.0114942528735633</v>
      </c>
    </row>
    <row r="31" spans="1:11" x14ac:dyDescent="0.35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</row>
    <row r="32" spans="1:11" x14ac:dyDescent="0.35">
      <c r="A32" s="381"/>
      <c r="B32" s="153"/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11" x14ac:dyDescent="0.35">
      <c r="A33" s="382"/>
      <c r="B33" s="383"/>
      <c r="C33" s="153"/>
      <c r="D33" s="153"/>
      <c r="E33" s="153"/>
      <c r="F33" s="153"/>
      <c r="G33" s="153"/>
      <c r="H33" s="153"/>
      <c r="I33" s="153"/>
      <c r="J33" s="153"/>
      <c r="K33" s="153"/>
    </row>
    <row r="34" spans="1:11" x14ac:dyDescent="0.35">
      <c r="A34" s="382"/>
      <c r="B34" s="38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x14ac:dyDescent="0.35">
      <c r="A35" s="382"/>
      <c r="B35" s="383"/>
      <c r="C35" s="153"/>
      <c r="D35" s="153"/>
      <c r="E35" s="153"/>
      <c r="F35" s="153"/>
      <c r="G35" s="153"/>
      <c r="H35" s="153"/>
      <c r="I35" s="153"/>
      <c r="J35" s="153"/>
      <c r="K35" s="153"/>
    </row>
    <row r="36" spans="1:11" x14ac:dyDescent="0.35">
      <c r="A36" s="382"/>
      <c r="B36" s="384"/>
      <c r="C36" s="153"/>
      <c r="D36" s="153"/>
      <c r="E36" s="153"/>
      <c r="F36" s="153"/>
      <c r="G36" s="153"/>
      <c r="H36" s="153"/>
      <c r="I36" s="153"/>
      <c r="J36" s="153"/>
      <c r="K36" s="153"/>
    </row>
    <row r="37" spans="1:11" x14ac:dyDescent="0.35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</row>
    <row r="38" spans="1:11" x14ac:dyDescent="0.35">
      <c r="A38" s="375" t="s">
        <v>1269</v>
      </c>
    </row>
    <row r="39" spans="1:11" x14ac:dyDescent="0.35">
      <c r="A39" s="376" t="s">
        <v>1270</v>
      </c>
      <c r="B39" s="377">
        <f>D13+D15+D18</f>
        <v>2680</v>
      </c>
    </row>
    <row r="40" spans="1:11" x14ac:dyDescent="0.35">
      <c r="A40" s="378" t="s">
        <v>1272</v>
      </c>
      <c r="B40" s="379">
        <f>D14+D16+D17</f>
        <v>1622</v>
      </c>
    </row>
    <row r="41" spans="1:11" x14ac:dyDescent="0.35">
      <c r="A41" s="378" t="s">
        <v>1274</v>
      </c>
      <c r="B41" s="379">
        <f>D19</f>
        <v>0</v>
      </c>
    </row>
    <row r="42" spans="1:11" x14ac:dyDescent="0.35">
      <c r="A42" s="378" t="s">
        <v>1276</v>
      </c>
      <c r="B42" s="380">
        <f>B39+B40+B41</f>
        <v>4302</v>
      </c>
    </row>
  </sheetData>
  <mergeCells count="1">
    <mergeCell ref="A1:F1"/>
  </mergeCells>
  <dataValidations count="2">
    <dataValidation type="list" allowBlank="1" sqref="B5" xr:uid="{00000000-0002-0000-1400-000000000000}">
      <formula1>"ขาว/ดำ,เทาซาฮาร่า,ลายไม้ stock,สีอบพิเศษ,สีลายไม้อบพิเศษ"</formula1>
    </dataValidation>
    <dataValidation type="list" allowBlank="1" sqref="B6" xr:uid="{00000000-0002-0000-1400-000001000000}">
      <formula1>GlassNames</formula1>
    </dataValidation>
  </dataValidations>
  <hyperlinks>
    <hyperlink ref="G1" location="'สารบัญ'!A1" display="🏠 สารบัญ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B9BD5"/>
  </sheetPr>
  <dimension ref="A1:K60"/>
  <sheetViews>
    <sheetView zoomScaleNormal="100" workbookViewId="0">
      <pane ySplit="14" topLeftCell="A15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23.7265625" customWidth="1"/>
    <col min="3" max="3" width="16.90625" customWidth="1"/>
    <col min="4" max="4" width="17.453125" customWidth="1"/>
    <col min="5" max="5" width="46" customWidth="1"/>
    <col min="6" max="6" width="18.90625" customWidth="1"/>
    <col min="7" max="7" width="42" customWidth="1"/>
    <col min="8" max="8" width="13" customWidth="1"/>
    <col min="10" max="10" width="40.453125" hidden="1" customWidth="1"/>
    <col min="11" max="11" width="13" customWidth="1"/>
  </cols>
  <sheetData>
    <row r="1" spans="1:11" ht="24" customHeight="1" x14ac:dyDescent="0.35">
      <c r="A1" s="437" t="s">
        <v>1570</v>
      </c>
      <c r="B1" s="411"/>
      <c r="C1" s="411"/>
      <c r="D1" s="411"/>
      <c r="E1" s="411"/>
      <c r="F1" s="411"/>
      <c r="G1" s="388" t="s">
        <v>78</v>
      </c>
      <c r="H1" s="389"/>
      <c r="K1" s="319"/>
    </row>
    <row r="2" spans="1:11" ht="15" customHeight="1" x14ac:dyDescent="0.35">
      <c r="A2" s="30" t="s">
        <v>1571</v>
      </c>
      <c r="B2" s="27">
        <v>220</v>
      </c>
      <c r="E2" s="30">
        <f>ROUNDUP((B2+2*B3)/600,0)</f>
        <v>2</v>
      </c>
      <c r="F2" s="30" t="s">
        <v>1572</v>
      </c>
      <c r="J2" s="30" t="s">
        <v>1573</v>
      </c>
      <c r="K2" s="64">
        <v>439</v>
      </c>
    </row>
    <row r="3" spans="1:11" ht="15" customHeight="1" x14ac:dyDescent="0.35">
      <c r="A3" s="30" t="s">
        <v>1574</v>
      </c>
      <c r="B3" s="27">
        <v>200</v>
      </c>
      <c r="E3" s="30">
        <f>IF(B4=1,ROUNDUP(2*(B2+B3)/600,0),ROUNDUP(2*(B2+B3)/600,0)+ROUNDUP(B3/600,0))</f>
        <v>2</v>
      </c>
      <c r="F3" s="30" t="s">
        <v>1575</v>
      </c>
      <c r="J3" s="30" t="s">
        <v>1576</v>
      </c>
      <c r="K3" s="64">
        <v>1100</v>
      </c>
    </row>
    <row r="4" spans="1:11" ht="15" customHeight="1" x14ac:dyDescent="0.35">
      <c r="A4" s="30" t="s">
        <v>1240</v>
      </c>
      <c r="B4" s="27">
        <v>1</v>
      </c>
      <c r="E4" s="30">
        <f>E3*2.886+E2*3.576</f>
        <v>12.923999999999999</v>
      </c>
      <c r="F4" s="30" t="s">
        <v>1577</v>
      </c>
      <c r="J4" s="30" t="s">
        <v>1578</v>
      </c>
      <c r="K4" s="64">
        <v>900</v>
      </c>
    </row>
    <row r="5" spans="1:11" ht="15" customHeight="1" x14ac:dyDescent="0.35">
      <c r="A5" s="30" t="s">
        <v>1371</v>
      </c>
      <c r="B5" s="27" t="s">
        <v>1579</v>
      </c>
      <c r="E5" s="30">
        <f>IF(OR(B5="อบสีพิเศษ",B5="อบลายไม้พิเศษ"),2000,0)</f>
        <v>0</v>
      </c>
      <c r="F5" s="30" t="s">
        <v>1580</v>
      </c>
      <c r="J5" s="30" t="s">
        <v>813</v>
      </c>
      <c r="K5" s="64">
        <v>1076</v>
      </c>
    </row>
    <row r="6" spans="1:11" ht="15" customHeight="1" x14ac:dyDescent="0.35">
      <c r="A6" s="30" t="s">
        <v>1581</v>
      </c>
      <c r="B6" s="27" t="s">
        <v>1298</v>
      </c>
      <c r="J6" s="30" t="s">
        <v>819</v>
      </c>
      <c r="K6" s="64">
        <v>1033</v>
      </c>
    </row>
    <row r="7" spans="1:11" ht="15" customHeight="1" x14ac:dyDescent="0.35">
      <c r="A7" s="30" t="s">
        <v>1582</v>
      </c>
      <c r="B7" s="27" t="s">
        <v>1298</v>
      </c>
      <c r="J7" s="30" t="s">
        <v>822</v>
      </c>
      <c r="K7" s="64">
        <v>1291</v>
      </c>
    </row>
    <row r="8" spans="1:11" ht="15" customHeight="1" x14ac:dyDescent="0.35">
      <c r="A8" s="30" t="s">
        <v>1558</v>
      </c>
      <c r="B8" s="27" t="s">
        <v>791</v>
      </c>
      <c r="J8" s="30" t="s">
        <v>810</v>
      </c>
      <c r="K8" s="64">
        <v>1432</v>
      </c>
    </row>
    <row r="9" spans="1:11" ht="15" customHeight="1" x14ac:dyDescent="0.35">
      <c r="A9" s="30" t="s">
        <v>1583</v>
      </c>
      <c r="B9" s="88">
        <f>IFERROR(INDEX(ราคาวัสดุกลาง!$I$2:$I$106,MATCH(B8,ราคาวัสดุกลาง!$H$2:$H$106,0)),0)</f>
        <v>403</v>
      </c>
      <c r="J9" s="30" t="s">
        <v>1584</v>
      </c>
      <c r="K9" s="64">
        <v>1937</v>
      </c>
    </row>
    <row r="10" spans="1:11" ht="15" customHeight="1" x14ac:dyDescent="0.35">
      <c r="A10" s="30" t="s">
        <v>1245</v>
      </c>
      <c r="B10" s="30">
        <f>(B2/100)*(B3/100)</f>
        <v>4.4000000000000004</v>
      </c>
      <c r="J10" s="30" t="s">
        <v>1585</v>
      </c>
      <c r="K10" s="64">
        <v>2196</v>
      </c>
    </row>
    <row r="11" spans="1:11" ht="15" customHeight="1" x14ac:dyDescent="0.35">
      <c r="A11" s="30" t="s">
        <v>1247</v>
      </c>
      <c r="B11" s="27">
        <v>100</v>
      </c>
      <c r="J11" s="30" t="s">
        <v>1586</v>
      </c>
      <c r="K11" s="64">
        <v>2368</v>
      </c>
    </row>
    <row r="12" spans="1:11" ht="15" customHeight="1" x14ac:dyDescent="0.35">
      <c r="A12" s="30" t="s">
        <v>1250</v>
      </c>
      <c r="B12" s="27">
        <v>90</v>
      </c>
    </row>
    <row r="14" spans="1:11" ht="15" customHeight="1" x14ac:dyDescent="0.35">
      <c r="A14" s="76" t="s">
        <v>482</v>
      </c>
      <c r="B14" s="76" t="s">
        <v>1255</v>
      </c>
      <c r="C14" s="76" t="s">
        <v>1256</v>
      </c>
      <c r="D14" s="76" t="s">
        <v>1257</v>
      </c>
      <c r="E14" s="76" t="s">
        <v>587</v>
      </c>
    </row>
    <row r="15" spans="1:11" ht="15" customHeight="1" x14ac:dyDescent="0.35">
      <c r="A15" s="57" t="s">
        <v>1587</v>
      </c>
      <c r="B15" s="57">
        <f>E2</f>
        <v>2</v>
      </c>
      <c r="C15" s="53">
        <f>768*mult_velora+(IF(B5="ไม่อบสี",0,IF(B5="อบขาว/ดำ/เทา",rate_grey,IF(B5="อบสีพิเศษ",rate_special,rate_woodbake))))*3.576</f>
        <v>1125.5999999999999</v>
      </c>
      <c r="D15" s="53">
        <f t="shared" ref="D15:D22" si="0">B15*C15</f>
        <v>2251.1999999999998</v>
      </c>
      <c r="E15" s="57" t="s">
        <v>1588</v>
      </c>
    </row>
    <row r="16" spans="1:11" ht="15" customHeight="1" x14ac:dyDescent="0.35">
      <c r="A16" s="57" t="s">
        <v>1589</v>
      </c>
      <c r="B16" s="57">
        <f>E3</f>
        <v>2</v>
      </c>
      <c r="C16" s="53">
        <f>720*mult_velora+(IF(B5="ไม่อบสี",0,IF(B5="อบขาว/ดำ/เทา",rate_grey,IF(B5="อบสีพิเศษ",rate_special,rate_woodbake))))*2.886</f>
        <v>1008.6</v>
      </c>
      <c r="D16" s="53">
        <f t="shared" si="0"/>
        <v>2017.2</v>
      </c>
      <c r="E16" s="57" t="s">
        <v>1590</v>
      </c>
    </row>
    <row r="17" spans="1:5" ht="15" customHeight="1" x14ac:dyDescent="0.35">
      <c r="A17" s="57" t="s">
        <v>1266</v>
      </c>
      <c r="B17" s="57">
        <v>1</v>
      </c>
      <c r="C17" s="53">
        <f>E5</f>
        <v>0</v>
      </c>
      <c r="D17" s="53">
        <f t="shared" si="0"/>
        <v>0</v>
      </c>
      <c r="E17" s="57" t="s">
        <v>1591</v>
      </c>
    </row>
    <row r="18" spans="1:5" ht="15" customHeight="1" x14ac:dyDescent="0.35">
      <c r="A18" s="57" t="s">
        <v>1592</v>
      </c>
      <c r="B18" s="57">
        <f>B4*4</f>
        <v>4</v>
      </c>
      <c r="C18" s="53">
        <v>110</v>
      </c>
      <c r="D18" s="53">
        <f t="shared" si="0"/>
        <v>440</v>
      </c>
      <c r="E18" s="57" t="s">
        <v>1593</v>
      </c>
    </row>
    <row r="19" spans="1:5" ht="15" customHeight="1" x14ac:dyDescent="0.35">
      <c r="A19" s="57" t="s">
        <v>1347</v>
      </c>
      <c r="B19" s="57">
        <f>1</f>
        <v>1</v>
      </c>
      <c r="C19" s="53">
        <f>IF(B6="มี",900,450)</f>
        <v>450</v>
      </c>
      <c r="D19" s="53">
        <f t="shared" si="0"/>
        <v>450</v>
      </c>
      <c r="E19" s="57" t="s">
        <v>1594</v>
      </c>
    </row>
    <row r="20" spans="1:5" ht="15" customHeight="1" x14ac:dyDescent="0.35">
      <c r="A20" s="57" t="s">
        <v>1595</v>
      </c>
      <c r="B20" s="57">
        <f>IF(B7="มี",ROUNDUP(B2/600,0),0)</f>
        <v>0</v>
      </c>
      <c r="C20" s="53">
        <v>0</v>
      </c>
      <c r="D20" s="53">
        <f t="shared" si="0"/>
        <v>0</v>
      </c>
      <c r="E20" s="57" t="s">
        <v>1596</v>
      </c>
    </row>
    <row r="21" spans="1:5" ht="15" customHeight="1" x14ac:dyDescent="0.35">
      <c r="A21" s="57" t="s">
        <v>1259</v>
      </c>
      <c r="B21" s="57">
        <f>B10</f>
        <v>4.4000000000000004</v>
      </c>
      <c r="C21" s="53">
        <f>B9</f>
        <v>403</v>
      </c>
      <c r="D21" s="53">
        <f t="shared" si="0"/>
        <v>1773.2</v>
      </c>
    </row>
    <row r="22" spans="1:5" ht="15" customHeight="1" x14ac:dyDescent="0.35">
      <c r="A22" s="57" t="s">
        <v>1349</v>
      </c>
      <c r="B22" s="57">
        <f>ROUNDUP(2*(B2+B3)/100*2/12.5,0)</f>
        <v>2</v>
      </c>
      <c r="C22" s="53">
        <f>B12</f>
        <v>90</v>
      </c>
      <c r="D22" s="53">
        <f t="shared" si="0"/>
        <v>180</v>
      </c>
    </row>
    <row r="24" spans="1:5" ht="15" customHeight="1" x14ac:dyDescent="0.35">
      <c r="A24" s="69" t="s">
        <v>1268</v>
      </c>
      <c r="D24" s="70">
        <f>SUM(D15:D22)+D42+D43+D44+D45</f>
        <v>7111.5999999999995</v>
      </c>
    </row>
    <row r="25" spans="1:5" ht="15" customHeight="1" x14ac:dyDescent="0.35">
      <c r="A25" s="69" t="s">
        <v>1125</v>
      </c>
      <c r="D25" s="70">
        <f>IF(B10&gt;0,D24/B10,0)</f>
        <v>1616.272727272727</v>
      </c>
    </row>
    <row r="26" spans="1:5" ht="15" customHeight="1" x14ac:dyDescent="0.35">
      <c r="A26" s="69" t="s">
        <v>1350</v>
      </c>
      <c r="D26" s="28">
        <f>ROUNDUP(D25*(1+B11/100)/100,0)*100</f>
        <v>3300</v>
      </c>
    </row>
    <row r="27" spans="1:5" ht="15" customHeight="1" x14ac:dyDescent="0.35">
      <c r="A27" s="69" t="s">
        <v>1275</v>
      </c>
      <c r="D27" s="28">
        <f>B10*D26</f>
        <v>14520.000000000002</v>
      </c>
    </row>
    <row r="28" spans="1:5" ht="15" customHeight="1" x14ac:dyDescent="0.35">
      <c r="A28" s="69" t="s">
        <v>1351</v>
      </c>
      <c r="D28" s="29">
        <f>(D27-D24)/D24</f>
        <v>1.0417346307441369</v>
      </c>
    </row>
    <row r="29" spans="1:5" ht="15" customHeight="1" x14ac:dyDescent="0.35">
      <c r="A29" s="57" t="s">
        <v>1597</v>
      </c>
      <c r="D29" s="53">
        <f>E4</f>
        <v>12.923999999999999</v>
      </c>
    </row>
    <row r="31" spans="1:5" x14ac:dyDescent="0.35">
      <c r="A31" s="25" t="s">
        <v>1289</v>
      </c>
    </row>
    <row r="32" spans="1:5" x14ac:dyDescent="0.35">
      <c r="A32" s="64" t="s">
        <v>1290</v>
      </c>
      <c r="D32" s="26">
        <f>MAX(0,VLOOKUP("Velora",ค่าแรง!$A$12:$E$27,2,0)+VLOOKUP("Velora",ค่าแรง!$A$12:$E$27,3,0)*B10)</f>
        <v>1035.76</v>
      </c>
    </row>
    <row r="33" spans="1:8" x14ac:dyDescent="0.35">
      <c r="A33" s="64" t="s">
        <v>1291</v>
      </c>
      <c r="D33" s="26">
        <f>MAX(0,VLOOKUP("Velora",ค่าแรง!$A$12:$E$27,4,0)+VLOOKUP("Velora",ค่าแรง!$A$12:$E$27,5,0)*B10)</f>
        <v>507.76</v>
      </c>
    </row>
    <row r="34" spans="1:8" x14ac:dyDescent="0.35">
      <c r="A34" s="64" t="s">
        <v>1292</v>
      </c>
      <c r="B34" s="27">
        <v>100</v>
      </c>
    </row>
    <row r="35" spans="1:8" x14ac:dyDescent="0.35">
      <c r="A35" s="25" t="s">
        <v>1293</v>
      </c>
      <c r="D35" s="28">
        <f>ROUNDUP((D24+D32+D46)*(1+B11/100)/100,0)*100</f>
        <v>16300</v>
      </c>
    </row>
    <row r="36" spans="1:8" x14ac:dyDescent="0.35">
      <c r="A36" s="25" t="s">
        <v>1294</v>
      </c>
      <c r="D36" s="28">
        <f>D35+ROUNDUP((D33+D47)*(1+B34/100)/100,0)*100</f>
        <v>17400</v>
      </c>
    </row>
    <row r="37" spans="1:8" x14ac:dyDescent="0.35">
      <c r="A37" s="25" t="s">
        <v>1295</v>
      </c>
      <c r="D37" s="29">
        <f>(D36-(D24+D32+D33+D46+D47))/(D24+D32+D33+D46+D47)</f>
        <v>1.0103707400937252</v>
      </c>
    </row>
    <row r="39" spans="1:8" x14ac:dyDescent="0.35">
      <c r="A39" s="233" t="s">
        <v>1277</v>
      </c>
    </row>
    <row r="40" spans="1:8" x14ac:dyDescent="0.35">
      <c r="A40" s="25" t="s">
        <v>1279</v>
      </c>
      <c r="B40" s="287" t="s">
        <v>670</v>
      </c>
      <c r="C40" s="288" t="str">
        <f>IF(B40="ไม่มีมุ้ง","—",IF(H41=1,"✓ ใช้ได้","⚠ ใช้กับบานนี้ไม่ได้(ทุน=0)"))</f>
        <v>—</v>
      </c>
      <c r="D40" s="288" t="str">
        <f>IF(B40="ไม่มีมุ้ง","",H46&amp;" บาน")</f>
        <v/>
      </c>
      <c r="H40" s="289" t="str">
        <f>IFERROR(VLOOKUP(B40,ราคามุ้ง!$A$2:$O$15,3,0),"")</f>
        <v/>
      </c>
    </row>
    <row r="41" spans="1:8" x14ac:dyDescent="0.35">
      <c r="A41" s="30" t="s">
        <v>1280</v>
      </c>
      <c r="B41" s="287" t="s">
        <v>682</v>
      </c>
      <c r="C41" s="287" t="s">
        <v>1281</v>
      </c>
      <c r="H41" s="289">
        <f>IF(B40="ไม่มีมุ้ง",0,IF(OR(IFERROR(VLOOKUP(B40,ราคามุ้ง!$A$2:$O$15,4,0),"ALL")="ALL",ISNUMBER(SEARCH("Velora",IFERROR(VLOOKUP(B40,ราคามุ้ง!$A$2:$O$15,4,0),"")))),1,0))</f>
        <v>0</v>
      </c>
    </row>
    <row r="42" spans="1:8" x14ac:dyDescent="0.35">
      <c r="A42" s="30" t="s">
        <v>1282</v>
      </c>
      <c r="B42" s="290">
        <f>IF(AND(H41=1,H42=1),ROUND(H46*2*H45/6,2),0)</f>
        <v>0</v>
      </c>
      <c r="C42" s="291">
        <f>IF(B40="มุ้งเฟรมเล็ก",ราคามุ้ง!$B$19,IF(B40="มุ้งเฟรมใหญ่",0,IF(B40="มุ้งนิรภัย",ราคามุ้ง!$B$21,0)))</f>
        <v>0</v>
      </c>
      <c r="D42" s="292">
        <f>ROUND(B42*C42,0)</f>
        <v>0</v>
      </c>
      <c r="H42" s="289">
        <f>IF(OR(B40="มุ้งเฟรมเล็ก",B40="มุ้งเฟรมใหญ่",B40="มุ้งนิรภัย"),1,0)</f>
        <v>0</v>
      </c>
    </row>
    <row r="43" spans="1:8" x14ac:dyDescent="0.35">
      <c r="A43" s="30" t="s">
        <v>1283</v>
      </c>
      <c r="B43" s="293">
        <f>IF(AND(H41=1,H42=1),ROUND(H46*2*H44/6,2),0)</f>
        <v>0</v>
      </c>
      <c r="C43" s="291">
        <f>IF(B40="มุ้งเฟรมเล็ก",ราคามุ้ง!$B$19,IF(B40="มุ้งเฟรมใหญ่",0,IF(B40="มุ้งนิรภัย",ราคามุ้ง!$B$21,0)))</f>
        <v>0</v>
      </c>
      <c r="D43" s="291">
        <f>ROUND(B43*C43,0)</f>
        <v>0</v>
      </c>
      <c r="H43" s="289">
        <f>IFERROR(VLOOKUP(B41,ราคามุ้ง!$I$2:$J$5,2,0),0)</f>
        <v>23</v>
      </c>
    </row>
    <row r="44" spans="1:8" x14ac:dyDescent="0.35">
      <c r="A44" s="25" t="s">
        <v>1284</v>
      </c>
      <c r="B44" s="294">
        <f>IF(AND(H41=1,H42=1),ROUND(H46*2*(H44+H45),2),0)</f>
        <v>0</v>
      </c>
      <c r="C44" s="291">
        <f>ราคามุ้ง!$D$19</f>
        <v>5</v>
      </c>
      <c r="D44" s="292">
        <f>ROUND(B44*C44,0)</f>
        <v>0</v>
      </c>
      <c r="H44" s="295">
        <f>IF(B4&gt;0,B2/(B4*100),0)</f>
        <v>2.2000000000000002</v>
      </c>
    </row>
    <row r="45" spans="1:8" x14ac:dyDescent="0.35">
      <c r="A45" s="25" t="s">
        <v>1285</v>
      </c>
      <c r="B45" s="294">
        <f>IF(H41=0,0,ROUND(H46*H44*H45,2))</f>
        <v>0</v>
      </c>
      <c r="C45" s="291">
        <f>IF(B40="มุ้งนิรภัย",650,IF(OR(B40="มุ้งเฟรมเล็ก",B40="มุ้งเฟรมใหญ่"),H43,IF(H40="ซื้อสำเร็จ",IFERROR(VLOOKUP(B40,ราคามุ้ง!$A$2:$O$15,2,0),0),0)))</f>
        <v>0</v>
      </c>
      <c r="D45" s="292">
        <f>ROUND(B45*C45,0)</f>
        <v>0</v>
      </c>
      <c r="H45" s="294">
        <f>B3/100</f>
        <v>2</v>
      </c>
    </row>
    <row r="46" spans="1:8" x14ac:dyDescent="0.35">
      <c r="A46" s="25" t="s">
        <v>1286</v>
      </c>
      <c r="D46" s="292">
        <f>IF(H41=0,0,ROUND(H46*(VLOOKUP(B40,ราคามุ้ง!$A$2:$O$15,12,0)+VLOOKUP(B40,ราคามุ้ง!$A$2:$O$15,13,0)*H44*H45),0))</f>
        <v>0</v>
      </c>
      <c r="H46" s="288">
        <f>B4</f>
        <v>1</v>
      </c>
    </row>
    <row r="47" spans="1:8" x14ac:dyDescent="0.35">
      <c r="A47" s="288" t="s">
        <v>1287</v>
      </c>
      <c r="D47" s="291">
        <f>IF(H41=0,0,ROUND(H46*(VLOOKUP(B40,ราคามุ้ง!$A$2:$O$15,14,0)+VLOOKUP(B40,ราคามุ้ง!$A$2:$O$15,15,0)*H44*H45),0))</f>
        <v>0</v>
      </c>
    </row>
    <row r="48" spans="1:8" x14ac:dyDescent="0.35">
      <c r="A48" s="333" t="s">
        <v>1326</v>
      </c>
      <c r="D48" s="334">
        <f>SUM(D42:D47)</f>
        <v>0</v>
      </c>
    </row>
    <row r="49" spans="1:11" x14ac:dyDescent="0.35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</row>
    <row r="50" spans="1:11" x14ac:dyDescent="0.35">
      <c r="A50" s="381"/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x14ac:dyDescent="0.35">
      <c r="A51" s="382"/>
      <c r="B51" s="383"/>
      <c r="C51" s="153"/>
      <c r="D51" s="153"/>
      <c r="E51" s="153"/>
      <c r="F51" s="153"/>
      <c r="G51" s="153"/>
      <c r="H51" s="153"/>
      <c r="I51" s="153"/>
      <c r="J51" s="153"/>
      <c r="K51" s="153"/>
    </row>
    <row r="52" spans="1:11" x14ac:dyDescent="0.35">
      <c r="A52" s="382"/>
      <c r="B52" s="383"/>
      <c r="C52" s="153"/>
      <c r="D52" s="153"/>
      <c r="E52" s="153"/>
      <c r="F52" s="153"/>
      <c r="G52" s="153"/>
      <c r="H52" s="153"/>
      <c r="I52" s="153"/>
      <c r="J52" s="153"/>
      <c r="K52" s="153"/>
    </row>
    <row r="53" spans="1:11" x14ac:dyDescent="0.35">
      <c r="A53" s="382"/>
      <c r="B53" s="383"/>
      <c r="C53" s="153"/>
      <c r="D53" s="153"/>
      <c r="E53" s="153"/>
      <c r="F53" s="153"/>
      <c r="G53" s="153"/>
      <c r="H53" s="153"/>
      <c r="I53" s="153"/>
      <c r="J53" s="153"/>
      <c r="K53" s="153"/>
    </row>
    <row r="54" spans="1:11" x14ac:dyDescent="0.35">
      <c r="A54" s="382"/>
      <c r="B54" s="384"/>
      <c r="C54" s="153"/>
      <c r="D54" s="153"/>
      <c r="E54" s="153"/>
      <c r="F54" s="153"/>
      <c r="G54" s="153"/>
      <c r="H54" s="153"/>
      <c r="I54" s="153"/>
      <c r="J54" s="153"/>
      <c r="K54" s="153"/>
    </row>
    <row r="55" spans="1:11" x14ac:dyDescent="0.3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x14ac:dyDescent="0.35">
      <c r="A56" s="375" t="s">
        <v>1269</v>
      </c>
    </row>
    <row r="57" spans="1:11" x14ac:dyDescent="0.35">
      <c r="A57" s="376" t="s">
        <v>1270</v>
      </c>
      <c r="B57" s="377">
        <f>D15+D16</f>
        <v>4268.3999999999996</v>
      </c>
    </row>
    <row r="58" spans="1:11" x14ac:dyDescent="0.35">
      <c r="A58" s="378" t="s">
        <v>1272</v>
      </c>
      <c r="B58" s="379">
        <f>D21</f>
        <v>1773.2</v>
      </c>
    </row>
    <row r="59" spans="1:11" x14ac:dyDescent="0.35">
      <c r="A59" s="378" t="s">
        <v>1274</v>
      </c>
      <c r="B59" s="379">
        <f>D17+D18+D19+D20+D22</f>
        <v>1070</v>
      </c>
    </row>
    <row r="60" spans="1:11" x14ac:dyDescent="0.35">
      <c r="A60" s="378" t="s">
        <v>1276</v>
      </c>
      <c r="B60" s="380">
        <f>B57+B58+B59</f>
        <v>7111.5999999999995</v>
      </c>
    </row>
  </sheetData>
  <mergeCells count="1">
    <mergeCell ref="A1:F1"/>
  </mergeCells>
  <dataValidations count="7">
    <dataValidation type="list" sqref="B4" xr:uid="{00000000-0002-0000-1500-000000000000}">
      <formula1>"1,2"</formula1>
      <formula2>0</formula2>
    </dataValidation>
    <dataValidation type="list" sqref="B6:B7" xr:uid="{00000000-0002-0000-1500-000001000000}">
      <formula1>"ไม่มี,มี"</formula1>
      <formula2>0</formula2>
    </dataValidation>
    <dataValidation type="list" allowBlank="1" sqref="B8" xr:uid="{00000000-0002-0000-1500-000002000000}">
      <formula1>SlimLuxGlass</formula1>
    </dataValidation>
    <dataValidation type="list" sqref="B5" xr:uid="{00000000-0002-0000-1500-000003000000}">
      <formula1>"ไม่อบสี,อบขาว/ดำ/เทา,อบสีพิเศษ,อบลายไม้พิเศษ"</formula1>
    </dataValidation>
    <dataValidation type="list" allowBlank="1" sqref="B40" xr:uid="{00000000-0002-0000-1500-000004000000}">
      <formula1>MungList</formula1>
    </dataValidation>
    <dataValidation type="list" allowBlank="1" sqref="B41" xr:uid="{00000000-0002-0000-1500-000005000000}">
      <formula1>ClothList</formula1>
    </dataValidation>
    <dataValidation type="list" allowBlank="1" sqref="C41" xr:uid="{00000000-0002-0000-1500-000006000000}">
      <formula1>"เทา,ดำ"</formula1>
    </dataValidation>
  </dataValidations>
  <hyperlinks>
    <hyperlink ref="G1" location="'สารบัญ'!A1" display="🏠 สารบัญ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K64"/>
  <sheetViews>
    <sheetView zoomScaleNormal="100" workbookViewId="0">
      <pane ySplit="12" topLeftCell="A13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22" customWidth="1"/>
    <col min="3" max="3" width="34.7265625" customWidth="1"/>
    <col min="4" max="4" width="43.08984375" customWidth="1"/>
    <col min="5" max="5" width="46" customWidth="1"/>
    <col min="6" max="8" width="13" customWidth="1"/>
  </cols>
  <sheetData>
    <row r="1" spans="1:8" ht="24" customHeight="1" x14ac:dyDescent="0.35">
      <c r="A1" s="437" t="s">
        <v>1598</v>
      </c>
      <c r="B1" s="411"/>
      <c r="C1" s="411"/>
      <c r="D1" s="411"/>
      <c r="E1" s="411"/>
      <c r="F1" s="411"/>
      <c r="G1" s="388" t="s">
        <v>78</v>
      </c>
      <c r="H1" s="389"/>
    </row>
    <row r="2" spans="1:8" ht="15" customHeight="1" x14ac:dyDescent="0.35">
      <c r="A2" s="30" t="s">
        <v>1236</v>
      </c>
      <c r="B2" s="27">
        <v>600</v>
      </c>
      <c r="E2" s="30" t="s">
        <v>1237</v>
      </c>
      <c r="F2" s="30">
        <f>IF(B5="อิสระ",B4,IF(B5="ลากจูง",B4-1,B4-2))</f>
        <v>3</v>
      </c>
    </row>
    <row r="3" spans="1:8" ht="15" customHeight="1" x14ac:dyDescent="0.35">
      <c r="A3" s="30" t="s">
        <v>1238</v>
      </c>
      <c r="B3" s="27">
        <v>300</v>
      </c>
      <c r="E3" s="30" t="s">
        <v>1244</v>
      </c>
      <c r="F3" s="30">
        <f>IF(B5="เปิดคู่กลาง",4,2)</f>
        <v>2</v>
      </c>
    </row>
    <row r="4" spans="1:8" ht="15" customHeight="1" x14ac:dyDescent="0.35">
      <c r="A4" s="30" t="s">
        <v>1240</v>
      </c>
      <c r="B4" s="27">
        <v>3</v>
      </c>
      <c r="E4" s="30" t="s">
        <v>1246</v>
      </c>
      <c r="F4" s="30">
        <f>IF(B5="เปิดคู่กลาง",B4-2,B4-1)</f>
        <v>2</v>
      </c>
    </row>
    <row r="5" spans="1:8" ht="15" customHeight="1" x14ac:dyDescent="0.35">
      <c r="A5" s="30" t="s">
        <v>1328</v>
      </c>
      <c r="B5" s="27" t="s">
        <v>1243</v>
      </c>
      <c r="E5" s="30" t="s">
        <v>1599</v>
      </c>
      <c r="F5" s="30">
        <f>IF(B6="สีอบขาว/ดำ",180,IF(B6="เทาซาฮาร่า",ROUND(180*1.09,0),IF(B6="ลายไม้ stock",ROUND(180*1.6,0),IF(B6="สีอบพิเศษ",140,160))))</f>
        <v>180</v>
      </c>
    </row>
    <row r="6" spans="1:8" ht="15" customHeight="1" x14ac:dyDescent="0.35">
      <c r="A6" s="30" t="s">
        <v>1253</v>
      </c>
      <c r="B6" s="27" t="s">
        <v>1254</v>
      </c>
      <c r="E6" s="30" t="s">
        <v>1248</v>
      </c>
      <c r="F6" s="27" t="s">
        <v>1249</v>
      </c>
    </row>
    <row r="7" spans="1:8" ht="15" customHeight="1" x14ac:dyDescent="0.35">
      <c r="A7" s="30" t="s">
        <v>1251</v>
      </c>
      <c r="B7" s="27" t="s">
        <v>778</v>
      </c>
      <c r="C7" s="30">
        <f>INDEX(ราคาวัสดุกลาง!$I$2:$I$106,MATCH(B7,ราคาวัสดุกลาง!$H$2:$H$106,0))</f>
        <v>264</v>
      </c>
      <c r="D7" s="30" t="s">
        <v>1252</v>
      </c>
    </row>
    <row r="8" spans="1:8" ht="15" customHeight="1" x14ac:dyDescent="0.35">
      <c r="A8" s="30" t="s">
        <v>1600</v>
      </c>
      <c r="B8" s="27">
        <v>2</v>
      </c>
      <c r="C8" s="30" t="s">
        <v>1601</v>
      </c>
    </row>
    <row r="9" spans="1:8" ht="15" customHeight="1" x14ac:dyDescent="0.35">
      <c r="A9" s="30" t="s">
        <v>1602</v>
      </c>
      <c r="B9" s="27">
        <v>100</v>
      </c>
    </row>
    <row r="10" spans="1:8" ht="15" customHeight="1" x14ac:dyDescent="0.35">
      <c r="A10" s="30" t="s">
        <v>1250</v>
      </c>
      <c r="B10" s="27">
        <v>90</v>
      </c>
    </row>
    <row r="11" spans="1:8" ht="15" customHeight="1" x14ac:dyDescent="0.35">
      <c r="A11" s="30" t="s">
        <v>1245</v>
      </c>
      <c r="B11" s="30">
        <f>(B2/100)*(B3/100)</f>
        <v>18</v>
      </c>
    </row>
    <row r="12" spans="1:8" ht="15" customHeight="1" x14ac:dyDescent="0.35">
      <c r="A12" s="76" t="s">
        <v>482</v>
      </c>
      <c r="B12" s="76" t="s">
        <v>1255</v>
      </c>
      <c r="C12" s="76" t="s">
        <v>1256</v>
      </c>
      <c r="D12" s="76" t="s">
        <v>1257</v>
      </c>
      <c r="E12" s="76" t="s">
        <v>587</v>
      </c>
    </row>
    <row r="13" spans="1:8" ht="15" customHeight="1" x14ac:dyDescent="0.35">
      <c r="A13" s="57" t="s">
        <v>1603</v>
      </c>
      <c r="B13" s="57">
        <f>IF(FLOOR(6.4/(B2/100),1)&gt;=1,ROUNDUP((1)/FLOOR(6.4/(B2/100),1),0),ROUNDUP((B2/100)/6.4,0)*(1))</f>
        <v>1</v>
      </c>
      <c r="C13" s="53">
        <f>IF(B6="สีอบขาว/ดำ",2235,IF(B6="เทาซาฮาร่า",2235+rate_grey*12.41667,2235+IF(B6="สีอบพิเศษ",rate_special,rate_woodbake)*12.41667))</f>
        <v>2235</v>
      </c>
      <c r="D13" s="53">
        <f t="shared" ref="D13:D21" si="0">B13*C13*mult_sms</f>
        <v>2235</v>
      </c>
      <c r="E13" s="57" t="s">
        <v>1604</v>
      </c>
    </row>
    <row r="14" spans="1:8" ht="15" customHeight="1" x14ac:dyDescent="0.35">
      <c r="A14" s="57" t="s">
        <v>1605</v>
      </c>
      <c r="B14" s="57">
        <f>IF(FLOOR(6.4/(B2/100),1)&gt;=1,ROUNDUP((1)/FLOOR(6.4/(B2/100),1),0),ROUNDUP((B2/100)/6.4,0)*(1))</f>
        <v>1</v>
      </c>
      <c r="C14" s="53">
        <f>IF(B6="สีอบขาว/ดำ",IF($F$6="ภายใน",825,2152),IF(B6="เทาซาฮาร่า",IF($F$6="ภายใน",825,2152)+rate_grey*IF($F$6="ภายใน",4.58333,11.95556),IF($F$6="ภายใน",825,2152)+IF(B6="สีอบพิเศษ",rate_special,rate_woodbake)*IF($F$6="ภายใน",4.58333,11.95556)))</f>
        <v>2152</v>
      </c>
      <c r="D14" s="53">
        <f t="shared" si="0"/>
        <v>2152</v>
      </c>
      <c r="E14" s="57" t="s">
        <v>1604</v>
      </c>
    </row>
    <row r="15" spans="1:8" ht="15" customHeight="1" x14ac:dyDescent="0.35">
      <c r="A15" s="57" t="s">
        <v>1606</v>
      </c>
      <c r="B15" s="57">
        <f>IF(FLOOR(6.4/(B3/100),1)&gt;=1,ROUNDUP((2)/FLOOR(6.4/(B3/100),1),0),ROUNDUP((B3/100)/6.4,0)*(2))</f>
        <v>1</v>
      </c>
      <c r="C15" s="53">
        <f>IF(B6="สีอบขาว/ดำ",1995,IF(B6="เทาซาฮาร่า",1995+rate_grey*11.08333,1995+IF(B6="สีอบพิเศษ",rate_special,rate_woodbake)*11.08333))</f>
        <v>1995</v>
      </c>
      <c r="D15" s="53">
        <f t="shared" si="0"/>
        <v>1995</v>
      </c>
      <c r="E15" s="57" t="s">
        <v>1607</v>
      </c>
    </row>
    <row r="16" spans="1:8" ht="15" customHeight="1" x14ac:dyDescent="0.35">
      <c r="A16" s="57" t="s">
        <v>1608</v>
      </c>
      <c r="B16" s="57">
        <f>IF(F6="ภายใน",0,IF(FLOOR(6.4/(B2/100),1)&gt;=1,ROUNDUP((1)/FLOOR(6.4/(B2/100),1),0),ROUNDUP((B2/100)/6.4,0)*(1)))</f>
        <v>1</v>
      </c>
      <c r="C16" s="53">
        <f>IF(B6="สีอบขาว/ดำ",742,IF(B6="เทาซาฮาร่า",742+rate_grey*4.12222,742+IF(B6="สีอบพิเศษ",rate_special,rate_woodbake)*4.12222))</f>
        <v>742</v>
      </c>
      <c r="D16" s="53">
        <f t="shared" si="0"/>
        <v>742</v>
      </c>
      <c r="E16" s="57" t="s">
        <v>1609</v>
      </c>
    </row>
    <row r="17" spans="1:6" ht="15" customHeight="1" x14ac:dyDescent="0.35">
      <c r="A17" s="57" t="s">
        <v>1610</v>
      </c>
      <c r="B17" s="57">
        <f>IF(FLOOR(6.4/(B3/100),1)&gt;=1,ROUNDUP(($F$3)/FLOOR(6.4/(B3/100),1),0),ROUNDUP((B3/100)/6.4,0)*($F$3))</f>
        <v>1</v>
      </c>
      <c r="C17" s="53">
        <f>IF(B6="สีอบขาว/ดำ",1080,IF(B6="เทาซาฮาร่า",1080+rate_grey*6,1080+IF(B6="สีอบพิเศษ",rate_special,rate_woodbake)*6))</f>
        <v>1080</v>
      </c>
      <c r="D17" s="53">
        <f t="shared" si="0"/>
        <v>1080</v>
      </c>
      <c r="E17" s="57" t="s">
        <v>1611</v>
      </c>
    </row>
    <row r="18" spans="1:6" ht="15" customHeight="1" x14ac:dyDescent="0.35">
      <c r="A18" s="57" t="s">
        <v>1612</v>
      </c>
      <c r="B18" s="57">
        <f>IF(FLOOR(6.4/(B3/100),1)&gt;=1,ROUNDUP((2*$F$4)/FLOOR(6.4/(B3/100),1),0),ROUNDUP((B3/100)/6.4,0)*(2*$F$4))</f>
        <v>2</v>
      </c>
      <c r="C18" s="53">
        <f>IF(B6="สีอบขาว/ดำ",1072,IF(B6="เทาซาฮาร่า",1072+rate_grey*5.95556,1072+IF(B6="สีอบพิเศษ",rate_special,rate_woodbake)*5.95556))</f>
        <v>1072</v>
      </c>
      <c r="D18" s="53">
        <f t="shared" si="0"/>
        <v>2144</v>
      </c>
      <c r="E18" s="57" t="s">
        <v>1613</v>
      </c>
    </row>
    <row r="19" spans="1:6" ht="15" customHeight="1" x14ac:dyDescent="0.35">
      <c r="A19" s="57" t="s">
        <v>1614</v>
      </c>
      <c r="B19" s="57">
        <f>IF(FLOOR(6.4/((B2/100)/B4),1)&gt;=1,ROUNDUP((2*B4)/FLOOR(6.4/((B2/100)/B4),1),0),ROUNDUP(((B2/100)/B4)/6.4,0)*(2*B4))</f>
        <v>2</v>
      </c>
      <c r="C19" s="53">
        <f>IF(B6="สีอบขาว/ดำ",1162,IF(B6="เทาซาฮาร่า",1162+rate_grey*6.45556,1162+IF(B6="สีอบพิเศษ",rate_special,rate_woodbake)*6.45556))</f>
        <v>1162</v>
      </c>
      <c r="D19" s="53">
        <f t="shared" si="0"/>
        <v>2324</v>
      </c>
      <c r="E19" s="57" t="s">
        <v>1615</v>
      </c>
    </row>
    <row r="20" spans="1:6" ht="15" customHeight="1" x14ac:dyDescent="0.35">
      <c r="A20" s="57" t="s">
        <v>1616</v>
      </c>
      <c r="B20" s="57">
        <f>IF(AND(B5="อิสระ",B4=3),0,IF(B2&gt;300,2,1))</f>
        <v>0</v>
      </c>
      <c r="C20" s="53">
        <f>IF(B6="สีอบขาว/ดำ",270,IF(B6="เทาซาฮาร่า",270+rate_grey*1.5,270+IF(B6="สีอบพิเศษ",rate_special,rate_woodbake)*1.5))</f>
        <v>270</v>
      </c>
      <c r="D20" s="53">
        <f t="shared" si="0"/>
        <v>0</v>
      </c>
      <c r="E20" s="57" t="s">
        <v>1617</v>
      </c>
      <c r="F20" s="150"/>
    </row>
    <row r="21" spans="1:6" ht="15" customHeight="1" x14ac:dyDescent="0.35">
      <c r="A21" s="57" t="s">
        <v>1618</v>
      </c>
      <c r="B21" s="57">
        <f>B20</f>
        <v>0</v>
      </c>
      <c r="C21" s="53">
        <f>IF(B6="สีอบขาว/ดำ",450,IF(B6="เทาซาฮาร่า",450+rate_grey*2.5,450+IF(B6="สีอบพิเศษ",rate_special,rate_woodbake)*2.5))</f>
        <v>450</v>
      </c>
      <c r="D21" s="53">
        <f t="shared" si="0"/>
        <v>0</v>
      </c>
      <c r="E21" s="53" t="s">
        <v>1619</v>
      </c>
    </row>
    <row r="22" spans="1:6" ht="15" customHeight="1" x14ac:dyDescent="0.35">
      <c r="A22" s="57" t="s">
        <v>1259</v>
      </c>
      <c r="B22" s="57">
        <f>((B2/100)+(B4-1)*0.1)*(B3/100)</f>
        <v>18.600000000000001</v>
      </c>
      <c r="C22" s="53">
        <f>C7</f>
        <v>264</v>
      </c>
      <c r="D22" s="53">
        <f t="shared" ref="D22:D28" si="1">B22*C22</f>
        <v>4910.4000000000005</v>
      </c>
      <c r="E22" s="57" t="s">
        <v>1620</v>
      </c>
    </row>
    <row r="23" spans="1:6" ht="15" customHeight="1" x14ac:dyDescent="0.35">
      <c r="A23" s="57" t="s">
        <v>1621</v>
      </c>
      <c r="B23" s="57">
        <f>2*$F$2</f>
        <v>6</v>
      </c>
      <c r="C23" s="53">
        <v>135</v>
      </c>
      <c r="D23" s="53">
        <f t="shared" si="1"/>
        <v>810</v>
      </c>
    </row>
    <row r="24" spans="1:6" ht="15" customHeight="1" x14ac:dyDescent="0.35">
      <c r="A24" s="57" t="s">
        <v>1622</v>
      </c>
      <c r="B24" s="57">
        <f>B8</f>
        <v>2</v>
      </c>
      <c r="C24" s="53">
        <v>100</v>
      </c>
      <c r="D24" s="53">
        <f t="shared" si="1"/>
        <v>200</v>
      </c>
    </row>
    <row r="25" spans="1:6" ht="15" customHeight="1" x14ac:dyDescent="0.35">
      <c r="A25" s="57" t="s">
        <v>1263</v>
      </c>
      <c r="B25" s="57">
        <f>6*(B3/100)+9*(B2/100)+2*($F$3+$F$4)*(B3/100)</f>
        <v>96</v>
      </c>
      <c r="C25" s="53">
        <v>1.5</v>
      </c>
      <c r="D25" s="53">
        <f t="shared" si="1"/>
        <v>144</v>
      </c>
      <c r="E25" s="57" t="s">
        <v>1623</v>
      </c>
    </row>
    <row r="26" spans="1:6" ht="15" customHeight="1" x14ac:dyDescent="0.35">
      <c r="A26" s="57" t="s">
        <v>1264</v>
      </c>
      <c r="B26" s="57">
        <f>8+4*B4</f>
        <v>20</v>
      </c>
      <c r="C26" s="53">
        <v>1</v>
      </c>
      <c r="D26" s="53">
        <f t="shared" si="1"/>
        <v>20</v>
      </c>
      <c r="E26" s="57" t="s">
        <v>1624</v>
      </c>
    </row>
    <row r="27" spans="1:6" ht="15" customHeight="1" x14ac:dyDescent="0.35">
      <c r="A27" s="57" t="s">
        <v>1265</v>
      </c>
      <c r="B27" s="57">
        <f>ROUNDUP(2*((B2/100)+(B3/100))*2/12.5,0)</f>
        <v>3</v>
      </c>
      <c r="C27" s="53">
        <f>B10</f>
        <v>90</v>
      </c>
      <c r="D27" s="53">
        <f t="shared" si="1"/>
        <v>270</v>
      </c>
    </row>
    <row r="28" spans="1:6" ht="15" customHeight="1" x14ac:dyDescent="0.35">
      <c r="A28" s="57" t="s">
        <v>1266</v>
      </c>
      <c r="B28" s="57">
        <f>IF(OR(B6="สีอบพิเศษ",B6="สีลายไม้อบพิเศษ"),1,0)</f>
        <v>0</v>
      </c>
      <c r="C28" s="53">
        <v>2000</v>
      </c>
      <c r="D28" s="53">
        <f t="shared" si="1"/>
        <v>0</v>
      </c>
      <c r="E28" s="57" t="s">
        <v>1625</v>
      </c>
    </row>
    <row r="29" spans="1:6" ht="15" customHeight="1" x14ac:dyDescent="0.35">
      <c r="A29" s="69" t="s">
        <v>1268</v>
      </c>
      <c r="D29" s="70">
        <f>SUM(D13:D28)+D46+D47+D48+D49</f>
        <v>19026.400000000001</v>
      </c>
    </row>
    <row r="30" spans="1:6" ht="15" customHeight="1" x14ac:dyDescent="0.35">
      <c r="A30" s="69" t="s">
        <v>1125</v>
      </c>
      <c r="D30" s="70">
        <f>D29/B11</f>
        <v>1057.0222222222224</v>
      </c>
    </row>
    <row r="31" spans="1:6" ht="15" customHeight="1" x14ac:dyDescent="0.35">
      <c r="A31" s="69" t="s">
        <v>1271</v>
      </c>
      <c r="D31" s="28">
        <f>ROUNDUP(D30*(1+B9/100)/100,0)*100</f>
        <v>2200</v>
      </c>
    </row>
    <row r="32" spans="1:6" ht="15" customHeight="1" x14ac:dyDescent="0.35">
      <c r="A32" s="69" t="s">
        <v>1275</v>
      </c>
      <c r="D32" s="28">
        <f>B11*D31</f>
        <v>39600</v>
      </c>
    </row>
    <row r="33" spans="1:8" ht="15" customHeight="1" x14ac:dyDescent="0.35">
      <c r="A33" s="69" t="s">
        <v>1273</v>
      </c>
      <c r="D33" s="29">
        <f>(D32-D29)/D29</f>
        <v>1.0813185889080434</v>
      </c>
    </row>
    <row r="35" spans="1:8" x14ac:dyDescent="0.35">
      <c r="A35" s="25" t="s">
        <v>1289</v>
      </c>
    </row>
    <row r="36" spans="1:8" x14ac:dyDescent="0.35">
      <c r="A36" s="64" t="s">
        <v>1290</v>
      </c>
      <c r="D36" s="26">
        <f>MAX(0,VLOOKUP("บานเลื่อน SMS",ค่าแรง!$A$12:$E$27,2,0)+VLOOKUP("บานเลื่อน SMS",ค่าแรง!$A$12:$E$27,3,0)*B11)</f>
        <v>629.20000000000005</v>
      </c>
    </row>
    <row r="37" spans="1:8" x14ac:dyDescent="0.35">
      <c r="A37" s="64" t="s">
        <v>1291</v>
      </c>
      <c r="D37" s="26">
        <f>MAX(0,VLOOKUP("บานเลื่อน SMS",ค่าแรง!$A$12:$E$27,4,0)+VLOOKUP("บานเลื่อน SMS",ค่าแรง!$A$12:$E$27,5,0)*B11)</f>
        <v>629.20000000000005</v>
      </c>
    </row>
    <row r="38" spans="1:8" x14ac:dyDescent="0.35">
      <c r="A38" s="64" t="s">
        <v>1292</v>
      </c>
      <c r="B38" s="27">
        <v>100</v>
      </c>
    </row>
    <row r="39" spans="1:8" x14ac:dyDescent="0.35">
      <c r="A39" s="25" t="s">
        <v>1293</v>
      </c>
      <c r="D39" s="28">
        <f>ROUNDUP((D29+D36+D50)*(1+B9/100)/100,0)*100</f>
        <v>39400</v>
      </c>
    </row>
    <row r="40" spans="1:8" x14ac:dyDescent="0.35">
      <c r="A40" s="25" t="s">
        <v>1294</v>
      </c>
      <c r="D40" s="28">
        <f>D39+ROUNDUP((D37+D51)*(1+B38/100)/100,0)*100</f>
        <v>40700</v>
      </c>
    </row>
    <row r="41" spans="1:8" x14ac:dyDescent="0.35">
      <c r="A41" s="25" t="s">
        <v>1295</v>
      </c>
      <c r="D41" s="29">
        <f>(D40-(D29+D36+D37+D50+D51))/(D29+D36+D37+D50+D51)</f>
        <v>1.0064284587474361</v>
      </c>
    </row>
    <row r="43" spans="1:8" x14ac:dyDescent="0.35">
      <c r="A43" s="233" t="s">
        <v>1277</v>
      </c>
    </row>
    <row r="44" spans="1:8" x14ac:dyDescent="0.35">
      <c r="A44" s="25" t="s">
        <v>1279</v>
      </c>
      <c r="B44" s="287" t="s">
        <v>670</v>
      </c>
      <c r="C44" s="288" t="str">
        <f>IF(B44="ไม่มีมุ้ง","—",IF(H45=1,"✓ ใช้ได้","⚠ ใช้กับบานนี้ไม่ได้(ทุน=0)"))</f>
        <v>—</v>
      </c>
      <c r="D44" s="288" t="str">
        <f>IF(B44="ไม่มีมุ้ง","",H50&amp;" บาน")</f>
        <v/>
      </c>
      <c r="H44" s="289" t="str">
        <f>IFERROR(VLOOKUP(B44,ราคามุ้ง!$A$2:$O$15,3,0),"")</f>
        <v/>
      </c>
    </row>
    <row r="45" spans="1:8" x14ac:dyDescent="0.35">
      <c r="A45" s="30" t="s">
        <v>1280</v>
      </c>
      <c r="B45" s="287" t="s">
        <v>682</v>
      </c>
      <c r="C45" s="287" t="s">
        <v>1281</v>
      </c>
      <c r="H45" s="289">
        <f>IF(B44="ไม่มีมุ้ง",0,IF(OR(IFERROR(VLOOKUP(B44,ราคามุ้ง!$A$2:$O$15,4,0),"ALL")="ALL",ISNUMBER(SEARCH("E-series",IFERROR(VLOOKUP(B44,ราคามุ้ง!$A$2:$O$15,4,0),"")))),1,0))</f>
        <v>0</v>
      </c>
    </row>
    <row r="46" spans="1:8" x14ac:dyDescent="0.35">
      <c r="A46" s="30" t="s">
        <v>1282</v>
      </c>
      <c r="B46" s="290">
        <f>IF(AND(H45=1,H46=1),ROUND(H50*2*H49/6,2),0)</f>
        <v>0</v>
      </c>
      <c r="C46" s="291">
        <f>IF(B44="มุ้งเฟรมเล็ก",ราคามุ้ง!$B$19,IF(B44="มุ้งเฟรมใหญ่",0,IF(B44="มุ้งนิรภัย",ราคามุ้ง!$B$21,0)))</f>
        <v>0</v>
      </c>
      <c r="D46" s="292">
        <f>ROUND(B46*C46,0)</f>
        <v>0</v>
      </c>
      <c r="H46" s="289">
        <f>IF(OR(B44="มุ้งเฟรมเล็ก",B44="มุ้งเฟรมใหญ่",B44="มุ้งนิรภัย"),1,0)</f>
        <v>0</v>
      </c>
    </row>
    <row r="47" spans="1:8" x14ac:dyDescent="0.35">
      <c r="A47" s="30" t="s">
        <v>1283</v>
      </c>
      <c r="B47" s="293">
        <f>IF(AND(H45=1,H46=1),ROUND(H50*2*H48/6,2),0)</f>
        <v>0</v>
      </c>
      <c r="C47" s="291">
        <f>IF(B44="มุ้งเฟรมเล็ก",ราคามุ้ง!$B$19,IF(B44="มุ้งเฟรมใหญ่",0,IF(B44="มุ้งนิรภัย",ราคามุ้ง!$B$21,0)))</f>
        <v>0</v>
      </c>
      <c r="D47" s="291">
        <f>ROUND(B47*C47,0)</f>
        <v>0</v>
      </c>
      <c r="H47" s="289">
        <f>IFERROR(VLOOKUP(B45,ราคามุ้ง!$I$2:$J$5,2,0),0)</f>
        <v>23</v>
      </c>
    </row>
    <row r="48" spans="1:8" x14ac:dyDescent="0.35">
      <c r="A48" s="25" t="s">
        <v>1284</v>
      </c>
      <c r="B48" s="294">
        <f>IF(AND(H45=1,H46=1),ROUND(H50*2*(H48+H49),2),0)</f>
        <v>0</v>
      </c>
      <c r="C48" s="291">
        <f>ราคามุ้ง!$D$19</f>
        <v>5</v>
      </c>
      <c r="D48" s="292">
        <f>ROUND(B48*C48,0)</f>
        <v>0</v>
      </c>
      <c r="H48" s="295">
        <f>B2/(B4*100)</f>
        <v>2</v>
      </c>
    </row>
    <row r="49" spans="1:11" x14ac:dyDescent="0.35">
      <c r="A49" s="25" t="s">
        <v>1285</v>
      </c>
      <c r="B49" s="294">
        <f>IF(H45=0,0,ROUND(H50*H48*H49,2))</f>
        <v>0</v>
      </c>
      <c r="C49" s="291">
        <f>IF(B44="มุ้งนิรภัย",650,IF(OR(B44="มุ้งเฟรมเล็ก",B44="มุ้งเฟรมใหญ่"),H47,IF(H44="ซื้อสำเร็จ",IFERROR(VLOOKUP(B44,ราคามุ้ง!$A$2:$O$15,2,0),0),0)))</f>
        <v>0</v>
      </c>
      <c r="D49" s="292">
        <f>ROUND(B49*C49,0)</f>
        <v>0</v>
      </c>
      <c r="H49" s="294">
        <f>B3/100</f>
        <v>3</v>
      </c>
    </row>
    <row r="50" spans="1:11" x14ac:dyDescent="0.35">
      <c r="A50" s="25" t="s">
        <v>1286</v>
      </c>
      <c r="D50" s="292">
        <f>IF(H45=0,0,ROUND(H50*(VLOOKUP(B44,ราคามุ้ง!$A$2:$O$15,12,0)+VLOOKUP(B44,ราคามุ้ง!$A$2:$O$15,13,0)*H48*H49),0))</f>
        <v>0</v>
      </c>
      <c r="H50" s="288">
        <f>IF(AND(B5="อิสระ",B4=2),1,F2)</f>
        <v>3</v>
      </c>
    </row>
    <row r="51" spans="1:11" x14ac:dyDescent="0.35">
      <c r="A51" s="288" t="s">
        <v>1287</v>
      </c>
      <c r="D51" s="291">
        <f>IF(H45=0,0,ROUND(H50*(VLOOKUP(B44,ราคามุ้ง!$A$2:$O$15,14,0)+VLOOKUP(B44,ราคามุ้ง!$A$2:$O$15,15,0)*H48*H49),0))</f>
        <v>0</v>
      </c>
    </row>
    <row r="52" spans="1:11" x14ac:dyDescent="0.35">
      <c r="A52" s="333" t="s">
        <v>1326</v>
      </c>
      <c r="D52" s="334">
        <f>SUM(D46:D51)</f>
        <v>0</v>
      </c>
    </row>
    <row r="53" spans="1:11" x14ac:dyDescent="0.35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</row>
    <row r="54" spans="1:11" x14ac:dyDescent="0.35">
      <c r="A54" s="381"/>
      <c r="B54" s="153"/>
      <c r="C54" s="153"/>
      <c r="D54" s="153"/>
      <c r="E54" s="153"/>
      <c r="F54" s="153"/>
      <c r="G54" s="153"/>
      <c r="H54" s="153"/>
      <c r="I54" s="153"/>
      <c r="J54" s="153"/>
      <c r="K54" s="153"/>
    </row>
    <row r="55" spans="1:11" x14ac:dyDescent="0.35">
      <c r="A55" s="382"/>
      <c r="B55" s="38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x14ac:dyDescent="0.35">
      <c r="A56" s="382"/>
      <c r="B56" s="383"/>
      <c r="C56" s="153"/>
      <c r="D56" s="153"/>
      <c r="E56" s="153"/>
      <c r="F56" s="153"/>
      <c r="G56" s="153"/>
      <c r="H56" s="153"/>
      <c r="I56" s="153"/>
      <c r="J56" s="153"/>
      <c r="K56" s="153"/>
    </row>
    <row r="57" spans="1:11" x14ac:dyDescent="0.35">
      <c r="A57" s="382"/>
      <c r="B57" s="383"/>
      <c r="C57" s="153"/>
      <c r="D57" s="153"/>
      <c r="E57" s="153"/>
      <c r="F57" s="153"/>
      <c r="G57" s="153"/>
      <c r="H57" s="153"/>
      <c r="I57" s="153"/>
      <c r="J57" s="153"/>
      <c r="K57" s="153"/>
    </row>
    <row r="58" spans="1:11" x14ac:dyDescent="0.35">
      <c r="A58" s="382"/>
      <c r="B58" s="384"/>
      <c r="C58" s="153"/>
      <c r="D58" s="153"/>
      <c r="E58" s="153"/>
      <c r="F58" s="153"/>
      <c r="G58" s="153"/>
      <c r="H58" s="153"/>
      <c r="I58" s="153"/>
      <c r="J58" s="153"/>
      <c r="K58" s="153"/>
    </row>
    <row r="59" spans="1:11" x14ac:dyDescent="0.35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x14ac:dyDescent="0.35">
      <c r="A60" s="375" t="s">
        <v>1269</v>
      </c>
    </row>
    <row r="61" spans="1:11" x14ac:dyDescent="0.35">
      <c r="A61" s="376" t="s">
        <v>1270</v>
      </c>
      <c r="B61" s="377">
        <f>D13+D14+D15+D16+D17+D18+D19+D20+D21+D27</f>
        <v>12942</v>
      </c>
    </row>
    <row r="62" spans="1:11" x14ac:dyDescent="0.35">
      <c r="A62" s="378" t="s">
        <v>1272</v>
      </c>
      <c r="B62" s="379">
        <f>D22</f>
        <v>4910.4000000000005</v>
      </c>
    </row>
    <row r="63" spans="1:11" x14ac:dyDescent="0.35">
      <c r="A63" s="378" t="s">
        <v>1274</v>
      </c>
      <c r="B63" s="379">
        <f>D23+D24+D25+D26+D28</f>
        <v>1174</v>
      </c>
    </row>
    <row r="64" spans="1:11" x14ac:dyDescent="0.35">
      <c r="A64" s="378" t="s">
        <v>1276</v>
      </c>
      <c r="B64" s="380">
        <f>B61+B62+B63</f>
        <v>19026.400000000001</v>
      </c>
    </row>
  </sheetData>
  <mergeCells count="1">
    <mergeCell ref="A1:F1"/>
  </mergeCells>
  <dataValidations count="7">
    <dataValidation type="list" sqref="B5" xr:uid="{00000000-0002-0000-1600-000000000000}">
      <formula1>"อิสระ,ลากจูง,เปิดคู่กลาง"</formula1>
      <formula2>0</formula2>
    </dataValidation>
    <dataValidation type="list" sqref="B7" xr:uid="{00000000-0002-0000-1600-000001000000}">
      <formula1>GlassNames</formula1>
      <formula2>0</formula2>
    </dataValidation>
    <dataValidation type="list" sqref="F6" xr:uid="{00000000-0002-0000-1600-000002000000}">
      <formula1>"ภายนอก,ภายใน"</formula1>
      <formula2>0</formula2>
    </dataValidation>
    <dataValidation type="list" allowBlank="1" sqref="B6" xr:uid="{00000000-0002-0000-1600-000003000000}">
      <formula1>"สีอบขาว/ดำ,เทาซาฮาร่า,สีอบพิเศษ,สีลายไม้อบพิเศษ"</formula1>
    </dataValidation>
    <dataValidation type="list" allowBlank="1" sqref="B44" xr:uid="{00000000-0002-0000-1600-000004000000}">
      <formula1>MungList</formula1>
    </dataValidation>
    <dataValidation type="list" allowBlank="1" sqref="B45" xr:uid="{00000000-0002-0000-1600-000005000000}">
      <formula1>ClothList</formula1>
    </dataValidation>
    <dataValidation type="list" allowBlank="1" sqref="C45" xr:uid="{00000000-0002-0000-1600-000006000000}">
      <formula1>"เทา,ดำ"</formula1>
    </dataValidation>
  </dataValidations>
  <hyperlinks>
    <hyperlink ref="G1" location="'สารบัญ'!A1" display="🏠 สารบัญ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B9BD5"/>
  </sheetPr>
  <dimension ref="A1:K70"/>
  <sheetViews>
    <sheetView zoomScaleNormal="100" workbookViewId="0">
      <pane ySplit="17" topLeftCell="A18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22.26953125" customWidth="1"/>
    <col min="3" max="3" width="46" customWidth="1"/>
    <col min="4" max="4" width="17.453125" customWidth="1"/>
    <col min="5" max="5" width="46" customWidth="1"/>
    <col min="6" max="7" width="13" customWidth="1"/>
  </cols>
  <sheetData>
    <row r="1" spans="1:8" ht="24" customHeight="1" x14ac:dyDescent="0.35">
      <c r="A1" s="440" t="s">
        <v>1626</v>
      </c>
      <c r="B1" s="411"/>
      <c r="C1" s="411"/>
      <c r="D1" s="411"/>
      <c r="E1" s="319"/>
      <c r="G1" s="388" t="s">
        <v>78</v>
      </c>
      <c r="H1" s="389"/>
    </row>
    <row r="2" spans="1:8" ht="15" customHeight="1" x14ac:dyDescent="0.35">
      <c r="A2" s="443"/>
      <c r="B2" s="411"/>
      <c r="C2" s="411"/>
      <c r="D2" s="411"/>
    </row>
    <row r="3" spans="1:8" ht="15" customHeight="1" x14ac:dyDescent="0.35">
      <c r="A3" s="30" t="s">
        <v>1236</v>
      </c>
      <c r="B3" s="27">
        <v>150</v>
      </c>
    </row>
    <row r="4" spans="1:8" ht="15" customHeight="1" x14ac:dyDescent="0.35">
      <c r="A4" s="30" t="s">
        <v>1238</v>
      </c>
      <c r="B4" s="27">
        <v>200</v>
      </c>
    </row>
    <row r="5" spans="1:8" ht="15" customHeight="1" x14ac:dyDescent="0.35">
      <c r="A5" s="30" t="s">
        <v>1328</v>
      </c>
      <c r="B5" s="27" t="s">
        <v>1627</v>
      </c>
    </row>
    <row r="6" spans="1:8" ht="15" customHeight="1" x14ac:dyDescent="0.35">
      <c r="A6" s="30" t="s">
        <v>1253</v>
      </c>
      <c r="B6" s="27" t="s">
        <v>1254</v>
      </c>
      <c r="F6" s="30">
        <f>IF(B6="สีอบขาว/ดำ",180,IF(B6="เทาซาฮาร่า",ROUND(180*1.09,0),IF(B6="ลายไม้ stock",ROUND(180*1.6,0),IF(B6="สีอบพิเศษ",140,160))))</f>
        <v>180</v>
      </c>
    </row>
    <row r="7" spans="1:8" ht="15" customHeight="1" x14ac:dyDescent="0.35">
      <c r="A7" s="30" t="s">
        <v>1251</v>
      </c>
      <c r="B7" s="27" t="s">
        <v>778</v>
      </c>
    </row>
    <row r="8" spans="1:8" ht="15" customHeight="1" x14ac:dyDescent="0.35">
      <c r="A8" s="30" t="s">
        <v>1582</v>
      </c>
      <c r="B8" s="27" t="s">
        <v>1392</v>
      </c>
    </row>
    <row r="9" spans="1:8" ht="15" customHeight="1" x14ac:dyDescent="0.35">
      <c r="A9" s="30" t="s">
        <v>1247</v>
      </c>
      <c r="B9" s="27">
        <v>100</v>
      </c>
    </row>
    <row r="10" spans="1:8" ht="15" customHeight="1" x14ac:dyDescent="0.35">
      <c r="A10" s="30" t="s">
        <v>1628</v>
      </c>
      <c r="B10" s="27" t="s">
        <v>1629</v>
      </c>
      <c r="C10" s="30" t="s">
        <v>1630</v>
      </c>
    </row>
    <row r="11" spans="1:8" ht="15" customHeight="1" x14ac:dyDescent="0.35">
      <c r="A11" s="30" t="s">
        <v>1631</v>
      </c>
      <c r="B11" s="27">
        <v>90</v>
      </c>
    </row>
    <row r="12" spans="1:8" ht="15" customHeight="1" x14ac:dyDescent="0.35">
      <c r="A12" s="30" t="s">
        <v>1632</v>
      </c>
      <c r="B12" s="30">
        <f>IF(B5="แบ่ง 2",2,4)</f>
        <v>2</v>
      </c>
    </row>
    <row r="13" spans="1:8" ht="15" customHeight="1" x14ac:dyDescent="0.35">
      <c r="A13" s="30" t="s">
        <v>1245</v>
      </c>
      <c r="B13" s="65">
        <f>(B3/100)*(B4/100)</f>
        <v>3</v>
      </c>
    </row>
    <row r="14" spans="1:8" ht="15" customHeight="1" x14ac:dyDescent="0.35">
      <c r="A14" s="30" t="s">
        <v>1583</v>
      </c>
      <c r="B14" s="66">
        <f>INDEX(ราคาวัสดุกลาง!$I$2:$I$106,MATCH(B7,ราคาวัสดุกลาง!$H$2:$H$106,0))</f>
        <v>264</v>
      </c>
    </row>
    <row r="16" spans="1:8" ht="15" customHeight="1" x14ac:dyDescent="0.35">
      <c r="A16" s="443"/>
      <c r="B16" s="411"/>
      <c r="C16" s="411"/>
      <c r="D16" s="411"/>
    </row>
    <row r="17" spans="1:5" ht="15" customHeight="1" x14ac:dyDescent="0.35">
      <c r="A17" s="67" t="s">
        <v>1633</v>
      </c>
      <c r="B17" s="67" t="s">
        <v>1255</v>
      </c>
      <c r="C17" s="67" t="s">
        <v>1634</v>
      </c>
      <c r="D17" s="67" t="s">
        <v>1377</v>
      </c>
    </row>
    <row r="18" spans="1:5" ht="15" customHeight="1" x14ac:dyDescent="0.35">
      <c r="A18" s="57" t="s">
        <v>1393</v>
      </c>
      <c r="B18" s="57">
        <f>ROUNDUP((B3+2*B4)/640,0)</f>
        <v>1</v>
      </c>
      <c r="C18" s="53">
        <f>IF(B6="สีอบขาว/ดำ",1100,IF(B6="เทาซาฮาร่า",VLOOKUP("F7859",ราคาสี!$A:$F,5,0),IF(B6="ลายไม้ stock",(VLOOKUP("F7859",ราคาสี!$A:$F,6,0)*mult_wood/mult_euro),1100+IF(B6="สีอบพิเศษ",rate_special,rate_woodbake)*6.11111)))</f>
        <v>1100</v>
      </c>
      <c r="D18" s="53">
        <f t="shared" ref="D18:D24" si="0">B18*C18*mult_euro</f>
        <v>1100</v>
      </c>
    </row>
    <row r="19" spans="1:5" ht="15" customHeight="1" x14ac:dyDescent="0.35">
      <c r="A19" s="57" t="s">
        <v>1394</v>
      </c>
      <c r="B19" s="57">
        <f>IF(B8="มี",ROUNDUP(B3/640,0),0)</f>
        <v>1</v>
      </c>
      <c r="C19" s="53">
        <f>IF(B6="สีอบขาว/ดำ",1400,IF(B6="เทาซาฮาร่า",VLOOKUP("F7938B",ราคาสี!$A:$F,5,0),IF(B6="ลายไม้ stock",(VLOOKUP("F7938B",ราคาสี!$A:$F,6,0)*mult_wood/mult_euro),1400+IF(B6="สีอบพิเศษ",rate_special,rate_woodbake)*7.77778)))</f>
        <v>1400</v>
      </c>
      <c r="D19" s="53">
        <f t="shared" si="0"/>
        <v>1400</v>
      </c>
    </row>
    <row r="20" spans="1:5" ht="15" customHeight="1" x14ac:dyDescent="0.35">
      <c r="A20" s="57" t="s">
        <v>1395</v>
      </c>
      <c r="B20" s="57">
        <f>IF(B8="มี",ROUNDUP(B3/640,0),0)</f>
        <v>1</v>
      </c>
      <c r="C20" s="53">
        <f>IF(B6="สีอบขาว/ดำ",575,IF(B6="เทาซาฮาร่า",VLOOKUP("F7960",ราคาสี!$A:$F,5,0),IF(B6="ลายไม้ stock",(VLOOKUP("F7960",ราคาสี!$A:$F,6,0)*mult_wood/mult_euro),575+IF(B6="สีอบพิเศษ",rate_special,rate_woodbake)*3.19444)))</f>
        <v>575</v>
      </c>
      <c r="D20" s="53">
        <f t="shared" si="0"/>
        <v>575</v>
      </c>
    </row>
    <row r="21" spans="1:5" ht="15" customHeight="1" x14ac:dyDescent="0.35">
      <c r="A21" s="57" t="s">
        <v>1396</v>
      </c>
      <c r="B21" s="57">
        <f>IF(B8="ไม่มี",ROUNDUP(B3/640,0),0)</f>
        <v>0</v>
      </c>
      <c r="C21" s="53">
        <f>IF(B6="สีอบขาว/ดำ",435,IF(B6="เทาซาฮาร่า",435+rate_grey*2.41667,IF(B6="ลายไม้ stock",645,435+IF(B6="สีอบพิเศษ",rate_special,rate_woodbake)*2.41667)))</f>
        <v>435</v>
      </c>
      <c r="D21" s="53">
        <f t="shared" si="0"/>
        <v>0</v>
      </c>
    </row>
    <row r="22" spans="1:5" ht="15" customHeight="1" x14ac:dyDescent="0.35">
      <c r="A22" s="57" t="s">
        <v>1397</v>
      </c>
      <c r="B22" s="57">
        <f>ROUNDUP((2*B12*B4+2*B3)/640,0)</f>
        <v>2</v>
      </c>
      <c r="C22" s="53">
        <f>IF(B6="สีอบขาว/ดำ",1995,IF(B6="เทาซาฮาร่า",1995+rate_grey*11.08333,IF(B6="ลายไม้ stock",3170,1995+IF(B6="สีอบพิเศษ",rate_special,rate_woodbake)*11.08333)))</f>
        <v>1995</v>
      </c>
      <c r="D22" s="53">
        <f t="shared" si="0"/>
        <v>3990</v>
      </c>
    </row>
    <row r="23" spans="1:5" ht="15" customHeight="1" x14ac:dyDescent="0.35">
      <c r="A23" s="57" t="s">
        <v>1398</v>
      </c>
      <c r="B23" s="57">
        <f>ROUNDUP((2*B12*B4+2*B3)/640,0)</f>
        <v>2</v>
      </c>
      <c r="C23" s="53">
        <f>IF(B6="สีอบขาว/ดำ",360,IF(B6="เทาซาฮาร่า",360+rate_grey*2,IF(B6="ลายไม้ stock",570,360+IF(B6="สีอบพิเศษ",rate_special,rate_woodbake)*2)))</f>
        <v>360</v>
      </c>
      <c r="D23" s="53">
        <f t="shared" si="0"/>
        <v>720</v>
      </c>
    </row>
    <row r="24" spans="1:5" ht="15" customHeight="1" x14ac:dyDescent="0.35">
      <c r="A24" s="57" t="s">
        <v>1399</v>
      </c>
      <c r="B24" s="57">
        <f>IF(B5="แบ่ง 4",1,0)</f>
        <v>0</v>
      </c>
      <c r="C24" s="53">
        <f>IF(B6="สีอบขาว/ดำ",775,IF(B6="เทาซาฮาร่า",775+rate_grey*4.30556,IF(B6="ลายไม้ stock",1080,775+IF(B6="สีอบพิเศษ",rate_special,rate_woodbake)*4.30556)))</f>
        <v>775</v>
      </c>
      <c r="D24" s="53">
        <f t="shared" si="0"/>
        <v>0</v>
      </c>
    </row>
    <row r="25" spans="1:5" ht="15" customHeight="1" x14ac:dyDescent="0.35">
      <c r="A25" s="57" t="s">
        <v>1635</v>
      </c>
      <c r="B25" s="57">
        <f>IF(B5="แบ่ง 2",4,8)</f>
        <v>4</v>
      </c>
      <c r="C25" s="53">
        <v>117</v>
      </c>
      <c r="D25" s="53">
        <f t="shared" ref="D25:D33" si="1">B25*C25</f>
        <v>468</v>
      </c>
      <c r="E25" s="57" t="s">
        <v>1636</v>
      </c>
    </row>
    <row r="26" spans="1:5" ht="15" customHeight="1" x14ac:dyDescent="0.35">
      <c r="A26" s="57" t="s">
        <v>1637</v>
      </c>
      <c r="B26" s="57">
        <f>IF(B5="แบ่ง 2",1,2)</f>
        <v>1</v>
      </c>
      <c r="C26" s="53">
        <f>IF(B10="ใส่",1170,0)</f>
        <v>1170</v>
      </c>
      <c r="D26" s="53">
        <f t="shared" si="1"/>
        <v>1170</v>
      </c>
      <c r="E26" s="57" t="s">
        <v>1638</v>
      </c>
    </row>
    <row r="27" spans="1:5" ht="15" customHeight="1" x14ac:dyDescent="0.35">
      <c r="A27" s="57" t="s">
        <v>1639</v>
      </c>
      <c r="B27" s="57">
        <f>B12</f>
        <v>2</v>
      </c>
      <c r="C27" s="53">
        <v>198</v>
      </c>
      <c r="D27" s="53">
        <f t="shared" si="1"/>
        <v>396</v>
      </c>
      <c r="E27" s="57" t="s">
        <v>1640</v>
      </c>
    </row>
    <row r="28" spans="1:5" ht="15" customHeight="1" x14ac:dyDescent="0.35">
      <c r="A28" s="57" t="s">
        <v>1641</v>
      </c>
      <c r="B28" s="57">
        <v>1</v>
      </c>
      <c r="C28" s="53">
        <v>450</v>
      </c>
      <c r="D28" s="53">
        <f t="shared" si="1"/>
        <v>450</v>
      </c>
      <c r="E28" s="57" t="s">
        <v>1642</v>
      </c>
    </row>
    <row r="29" spans="1:5" ht="15" customHeight="1" x14ac:dyDescent="0.35">
      <c r="A29" s="57" t="s">
        <v>1643</v>
      </c>
      <c r="B29" s="57">
        <f>IF(B8="มี",8,6)</f>
        <v>8</v>
      </c>
      <c r="C29" s="53">
        <v>1</v>
      </c>
      <c r="D29" s="53">
        <f t="shared" si="1"/>
        <v>8</v>
      </c>
    </row>
    <row r="30" spans="1:5" ht="15" customHeight="1" x14ac:dyDescent="0.35">
      <c r="A30" s="57" t="s">
        <v>1404</v>
      </c>
      <c r="B30" s="57">
        <f>ROUND(2*(B3+B4)/100*B12,0)</f>
        <v>14</v>
      </c>
      <c r="C30" s="53">
        <v>11</v>
      </c>
      <c r="D30" s="53">
        <f t="shared" si="1"/>
        <v>154</v>
      </c>
      <c r="E30" s="57" t="s">
        <v>1644</v>
      </c>
    </row>
    <row r="31" spans="1:5" ht="15" customHeight="1" x14ac:dyDescent="0.35">
      <c r="A31" s="57" t="s">
        <v>1259</v>
      </c>
      <c r="B31" s="68">
        <f>B13</f>
        <v>3</v>
      </c>
      <c r="C31" s="53">
        <f>B14</f>
        <v>264</v>
      </c>
      <c r="D31" s="53">
        <f t="shared" si="1"/>
        <v>792</v>
      </c>
    </row>
    <row r="32" spans="1:5" ht="15" customHeight="1" x14ac:dyDescent="0.35">
      <c r="A32" s="57" t="s">
        <v>1645</v>
      </c>
      <c r="B32" s="57">
        <f>ROUNDUP(2*(B3+B4)/100*2/12.5,0)</f>
        <v>2</v>
      </c>
      <c r="C32" s="53">
        <f>B11</f>
        <v>90</v>
      </c>
      <c r="D32" s="53">
        <f t="shared" si="1"/>
        <v>180</v>
      </c>
    </row>
    <row r="33" spans="1:5" ht="15" customHeight="1" x14ac:dyDescent="0.35">
      <c r="A33" s="57" t="s">
        <v>1266</v>
      </c>
      <c r="B33" s="57">
        <f>IF(OR(B6="สีอบพิเศษ",B6="สีลายไม้อบพิเศษ"),1,0)</f>
        <v>0</v>
      </c>
      <c r="C33" s="53">
        <v>2000</v>
      </c>
      <c r="D33" s="53">
        <f t="shared" si="1"/>
        <v>0</v>
      </c>
      <c r="E33" s="57" t="s">
        <v>1267</v>
      </c>
    </row>
    <row r="34" spans="1:5" ht="15" customHeight="1" x14ac:dyDescent="0.35">
      <c r="A34" s="441" t="s">
        <v>1646</v>
      </c>
      <c r="B34" s="426"/>
      <c r="C34" s="426"/>
      <c r="D34" s="427"/>
    </row>
    <row r="35" spans="1:5" ht="15" customHeight="1" x14ac:dyDescent="0.35">
      <c r="A35" s="69" t="s">
        <v>1647</v>
      </c>
      <c r="D35" s="70">
        <f>SUM(D18:D33)+D58</f>
        <v>11403</v>
      </c>
    </row>
    <row r="36" spans="1:5" ht="15" customHeight="1" x14ac:dyDescent="0.35">
      <c r="A36" s="69" t="s">
        <v>1648</v>
      </c>
      <c r="D36" s="70">
        <f>D35/B13</f>
        <v>3801</v>
      </c>
    </row>
    <row r="37" spans="1:5" ht="15" customHeight="1" x14ac:dyDescent="0.35">
      <c r="A37" s="69" t="s">
        <v>1649</v>
      </c>
      <c r="D37" s="28">
        <f>ROUNDUP(D36*(1+B9/100)/100,0)*100</f>
        <v>7700</v>
      </c>
    </row>
    <row r="38" spans="1:5" ht="15" customHeight="1" x14ac:dyDescent="0.35">
      <c r="A38" s="69" t="s">
        <v>1650</v>
      </c>
      <c r="D38" s="28">
        <f>B13*D37</f>
        <v>23100</v>
      </c>
    </row>
    <row r="39" spans="1:5" ht="15" customHeight="1" x14ac:dyDescent="0.35">
      <c r="A39" s="69" t="s">
        <v>1651</v>
      </c>
      <c r="D39" s="29">
        <f>(D37-D36)/D36</f>
        <v>1.0257826887661141</v>
      </c>
    </row>
    <row r="41" spans="1:5" ht="15" customHeight="1" x14ac:dyDescent="0.35">
      <c r="A41" s="442" t="s">
        <v>1652</v>
      </c>
      <c r="B41" s="426"/>
      <c r="C41" s="426"/>
      <c r="D41" s="427"/>
    </row>
    <row r="42" spans="1:5" ht="15" customHeight="1" x14ac:dyDescent="0.35">
      <c r="A42" s="57" t="s">
        <v>1653</v>
      </c>
      <c r="B42" s="71" t="str">
        <f>IF(B5="แบ่ง 2","ข้อ 12 (min 36,000)","ข้อ 13 (min 46,000)")</f>
        <v>ข้อ 12 (min 36,000)</v>
      </c>
    </row>
    <row r="43" spans="1:5" ht="15" customHeight="1" x14ac:dyDescent="0.35">
      <c r="A43" s="57" t="s">
        <v>1654</v>
      </c>
      <c r="D43" s="72">
        <f>IF(B5="แบ่ง 2",IF(B13&lt;3.5,11000,IF(B13&lt;4,10000,IF(B13&lt;4.5,9500,IF(B13&lt;5,9200,9000)))),IF(MAX(4,B13)&lt;4.5,11500,IF(MAX(4,B13)&lt;5,11000,IF(MAX(4,B13)&lt;6,10500,IF(MAX(4,B13)&lt;7,10000,IF(MAX(4,B13)&lt;8,9500,IF(MAX(4,B13)&lt;9,9000,8500)))))))</f>
        <v>11000</v>
      </c>
    </row>
    <row r="44" spans="1:5" ht="15" customHeight="1" x14ac:dyDescent="0.35">
      <c r="A44" s="69" t="s">
        <v>1655</v>
      </c>
      <c r="D44" s="28">
        <f>IF(B5="แบ่ง 2",MAX(36000,B13*D43),MAX(46000,MAX(4,B13)*D43))</f>
        <v>36000</v>
      </c>
    </row>
    <row r="45" spans="1:5" ht="15" customHeight="1" x14ac:dyDescent="0.35">
      <c r="A45" s="69" t="s">
        <v>1656</v>
      </c>
      <c r="D45" s="29">
        <f>(D44-D35)/D35</f>
        <v>2.1570639305445933</v>
      </c>
    </row>
    <row r="47" spans="1:5" ht="15" customHeight="1" x14ac:dyDescent="0.35">
      <c r="A47" s="444"/>
      <c r="B47" s="411"/>
      <c r="C47" s="411"/>
      <c r="D47" s="411"/>
    </row>
    <row r="49" spans="1:11" x14ac:dyDescent="0.35">
      <c r="A49" s="25" t="s">
        <v>1289</v>
      </c>
    </row>
    <row r="50" spans="1:11" x14ac:dyDescent="0.35">
      <c r="A50" s="64" t="s">
        <v>1290</v>
      </c>
      <c r="D50" s="26">
        <f>MAX(0,VLOOKUP("PC Door",ค่าแรง!$A$12:$E$27,2,0)+VLOOKUP("PC Door",ค่าแรง!$A$12:$E$27,3,0)*B13)</f>
        <v>750.2</v>
      </c>
    </row>
    <row r="51" spans="1:11" x14ac:dyDescent="0.35">
      <c r="A51" s="64" t="s">
        <v>1291</v>
      </c>
      <c r="D51" s="26">
        <f>MAX(0,VLOOKUP("PC Door",ค่าแรง!$A$12:$E$27,4,0)+VLOOKUP("PC Door",ค่าแรง!$A$12:$E$27,5,0)*B13)</f>
        <v>574.20000000000005</v>
      </c>
    </row>
    <row r="52" spans="1:11" x14ac:dyDescent="0.35">
      <c r="A52" s="64" t="s">
        <v>1292</v>
      </c>
      <c r="B52" s="27">
        <v>1</v>
      </c>
    </row>
    <row r="53" spans="1:11" x14ac:dyDescent="0.35">
      <c r="A53" s="25" t="s">
        <v>1293</v>
      </c>
      <c r="D53" s="28">
        <f>ROUNDUP((D35+D50)*(1+B9/100)/100,0)*100</f>
        <v>24400</v>
      </c>
    </row>
    <row r="54" spans="1:11" x14ac:dyDescent="0.35">
      <c r="A54" s="25" t="s">
        <v>1294</v>
      </c>
      <c r="D54" s="28">
        <f>D53+ROUNDUP(D51*(1+B52)/100,0)*100</f>
        <v>25600</v>
      </c>
    </row>
    <row r="55" spans="1:11" x14ac:dyDescent="0.35">
      <c r="A55" s="25" t="s">
        <v>1295</v>
      </c>
      <c r="D55" s="29">
        <f>(D54-(D35+D50+D51))/(D35+D50+D51)</f>
        <v>1.0114084573439979</v>
      </c>
    </row>
    <row r="56" spans="1:11" x14ac:dyDescent="0.35">
      <c r="A56" s="321" t="s">
        <v>1657</v>
      </c>
    </row>
    <row r="57" spans="1:11" x14ac:dyDescent="0.35">
      <c r="A57" t="s">
        <v>1279</v>
      </c>
      <c r="B57" s="193" t="s">
        <v>670</v>
      </c>
    </row>
    <row r="58" spans="1:11" x14ac:dyDescent="0.35">
      <c r="A58" s="333" t="s">
        <v>1326</v>
      </c>
      <c r="D58" s="334">
        <f>IF(B57="ไม่มีมุ้ง",0,ROUND((VLOOKUP(B57,ราคามุ้ง!$A:$F,2,0)+VLOOKUP(B57,ราคามุ้ง!$A:$F,6,0))*B13,0))</f>
        <v>0</v>
      </c>
    </row>
    <row r="59" spans="1:11" x14ac:dyDescent="0.35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x14ac:dyDescent="0.35">
      <c r="A60" s="381"/>
      <c r="B60" s="153"/>
      <c r="C60" s="153"/>
      <c r="D60" s="153"/>
      <c r="E60" s="153"/>
      <c r="F60" s="153"/>
      <c r="G60" s="153"/>
      <c r="H60" s="153"/>
      <c r="I60" s="153"/>
      <c r="J60" s="153"/>
      <c r="K60" s="153"/>
    </row>
    <row r="61" spans="1:11" x14ac:dyDescent="0.35">
      <c r="A61" s="382"/>
      <c r="B61" s="383"/>
      <c r="C61" s="153"/>
      <c r="D61" s="153"/>
      <c r="E61" s="153"/>
      <c r="F61" s="153"/>
      <c r="G61" s="153"/>
      <c r="H61" s="153"/>
      <c r="I61" s="153"/>
      <c r="J61" s="153"/>
      <c r="K61" s="153"/>
    </row>
    <row r="62" spans="1:11" x14ac:dyDescent="0.35">
      <c r="A62" s="382"/>
      <c r="B62" s="383"/>
      <c r="C62" s="153"/>
      <c r="D62" s="153"/>
      <c r="E62" s="153"/>
      <c r="F62" s="153"/>
      <c r="G62" s="153"/>
      <c r="H62" s="153"/>
      <c r="I62" s="153"/>
      <c r="J62" s="153"/>
      <c r="K62" s="153"/>
    </row>
    <row r="63" spans="1:11" x14ac:dyDescent="0.35">
      <c r="A63" s="382"/>
      <c r="B63" s="383"/>
      <c r="C63" s="153"/>
      <c r="D63" s="153"/>
      <c r="E63" s="153"/>
      <c r="F63" s="153"/>
      <c r="G63" s="153"/>
      <c r="H63" s="153"/>
      <c r="I63" s="153"/>
      <c r="J63" s="153"/>
      <c r="K63" s="153"/>
    </row>
    <row r="64" spans="1:11" x14ac:dyDescent="0.35">
      <c r="A64" s="382"/>
      <c r="B64" s="384"/>
      <c r="C64" s="153"/>
      <c r="D64" s="153"/>
      <c r="E64" s="153"/>
      <c r="F64" s="153"/>
      <c r="G64" s="153"/>
      <c r="H64" s="153"/>
      <c r="I64" s="153"/>
      <c r="J64" s="153"/>
      <c r="K64" s="153"/>
    </row>
    <row r="65" spans="1:11" x14ac:dyDescent="0.35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</row>
    <row r="66" spans="1:11" x14ac:dyDescent="0.35">
      <c r="A66" s="375" t="s">
        <v>1269</v>
      </c>
    </row>
    <row r="67" spans="1:11" x14ac:dyDescent="0.35">
      <c r="A67" s="376" t="s">
        <v>1270</v>
      </c>
      <c r="B67" s="377">
        <f>D18+D19+D20+D21+D22+D23+D24+D29+D32</f>
        <v>7973</v>
      </c>
    </row>
    <row r="68" spans="1:11" x14ac:dyDescent="0.35">
      <c r="A68" s="378" t="s">
        <v>1272</v>
      </c>
      <c r="B68" s="379">
        <f>D31</f>
        <v>792</v>
      </c>
    </row>
    <row r="69" spans="1:11" x14ac:dyDescent="0.35">
      <c r="A69" s="378" t="s">
        <v>1274</v>
      </c>
      <c r="B69" s="379">
        <f>D25+D26+D27+D28+D30+D33</f>
        <v>2638</v>
      </c>
    </row>
    <row r="70" spans="1:11" x14ac:dyDescent="0.35">
      <c r="A70" s="378" t="s">
        <v>1276</v>
      </c>
      <c r="B70" s="380">
        <f>B67+B68+B69</f>
        <v>11403</v>
      </c>
    </row>
  </sheetData>
  <mergeCells count="6">
    <mergeCell ref="A47:D47"/>
    <mergeCell ref="A1:D1"/>
    <mergeCell ref="A34:D34"/>
    <mergeCell ref="A41:D41"/>
    <mergeCell ref="A2:D2"/>
    <mergeCell ref="A16:D16"/>
  </mergeCells>
  <dataValidations count="6">
    <dataValidation type="list" sqref="B5" xr:uid="{00000000-0002-0000-1700-000000000000}">
      <formula1>"แบ่ง 2,แบ่ง 4"</formula1>
      <formula2>0</formula2>
    </dataValidation>
    <dataValidation type="list" sqref="B8" xr:uid="{00000000-0002-0000-1700-000001000000}">
      <formula1>"มี,ไม่มี"</formula1>
      <formula2>0</formula2>
    </dataValidation>
    <dataValidation type="list" sqref="B7" xr:uid="{00000000-0002-0000-1700-000002000000}">
      <formula1>GlassNames</formula1>
      <formula2>0</formula2>
    </dataValidation>
    <dataValidation type="list" sqref="B10" xr:uid="{00000000-0002-0000-1700-000003000000}">
      <formula1>"ใส่,ไม่ใส่"</formula1>
      <formula2>0</formula2>
    </dataValidation>
    <dataValidation type="list" sqref="B6" xr:uid="{00000000-0002-0000-1700-000004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allowBlank="1" sqref="B57" xr:uid="{00000000-0002-0000-1700-000005000000}">
      <formula1>MungReady</formula1>
    </dataValidation>
  </dataValidations>
  <hyperlinks>
    <hyperlink ref="G1" location="'สารบัญ'!A1" display="🏠 สารบัญ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B9BD5"/>
  </sheetPr>
  <dimension ref="A1:K74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5.90625" customWidth="1"/>
    <col min="3" max="3" width="16.90625" customWidth="1"/>
    <col min="4" max="4" width="43.08984375" customWidth="1"/>
    <col min="5" max="5" width="46" customWidth="1"/>
    <col min="6" max="6" width="16.90625" customWidth="1"/>
    <col min="7" max="8" width="13" customWidth="1"/>
  </cols>
  <sheetData>
    <row r="1" spans="1:8" ht="24" customHeight="1" x14ac:dyDescent="0.35">
      <c r="A1" s="437" t="s">
        <v>1658</v>
      </c>
      <c r="B1" s="411"/>
      <c r="C1" s="411"/>
      <c r="D1" s="411"/>
      <c r="E1" s="319"/>
      <c r="G1" s="388" t="s">
        <v>78</v>
      </c>
      <c r="H1" s="389"/>
    </row>
    <row r="3" spans="1:8" ht="15" customHeight="1" x14ac:dyDescent="0.35">
      <c r="A3" s="31" t="s">
        <v>1236</v>
      </c>
      <c r="B3" s="32">
        <v>100</v>
      </c>
    </row>
    <row r="4" spans="1:8" ht="15" customHeight="1" x14ac:dyDescent="0.35">
      <c r="A4" s="31" t="s">
        <v>1238</v>
      </c>
      <c r="B4" s="32">
        <v>50</v>
      </c>
    </row>
    <row r="5" spans="1:8" ht="15" customHeight="1" x14ac:dyDescent="0.35">
      <c r="A5" s="31" t="s">
        <v>1659</v>
      </c>
      <c r="B5" s="32">
        <v>1</v>
      </c>
    </row>
    <row r="6" spans="1:8" ht="15" customHeight="1" x14ac:dyDescent="0.35">
      <c r="A6" s="31" t="s">
        <v>1660</v>
      </c>
      <c r="B6" s="43" t="s">
        <v>1661</v>
      </c>
    </row>
    <row r="7" spans="1:8" ht="15" customHeight="1" x14ac:dyDescent="0.35">
      <c r="A7" s="51" t="s">
        <v>1245</v>
      </c>
      <c r="B7" s="52">
        <f>(B3/100)*(B4/100)</f>
        <v>0.5</v>
      </c>
    </row>
    <row r="8" spans="1:8" ht="15" customHeight="1" x14ac:dyDescent="0.35">
      <c r="A8" s="31" t="s">
        <v>1247</v>
      </c>
      <c r="B8" s="43">
        <v>100</v>
      </c>
    </row>
    <row r="9" spans="1:8" ht="15" customHeight="1" x14ac:dyDescent="0.35">
      <c r="A9" s="31" t="s">
        <v>1250</v>
      </c>
      <c r="B9" s="32">
        <v>90</v>
      </c>
    </row>
    <row r="10" spans="1:8" ht="15" customHeight="1" x14ac:dyDescent="0.35">
      <c r="A10" s="30" t="s">
        <v>1251</v>
      </c>
      <c r="B10" s="27" t="s">
        <v>778</v>
      </c>
      <c r="C10" s="53">
        <f>INDEX(ราคาวัสดุกลาง!$I$2:$I$106,MATCH(B10,ราคาวัสดุกลาง!$H$2:$H$106,0))</f>
        <v>264</v>
      </c>
      <c r="D10" s="30" t="s">
        <v>1252</v>
      </c>
      <c r="E10" s="30" t="s">
        <v>1253</v>
      </c>
      <c r="F10" s="27" t="s">
        <v>1254</v>
      </c>
      <c r="G10" s="30">
        <f>IF(F10="สีอบขาว/ดำ",180,IF(F10="เทาซาฮาร่า",ROUND(180*1.09,0),IF(F10="ลายไม้ stock",ROUND(180*1.6,0),IF(F10="สีอบพิเศษ",140,160))))</f>
        <v>180</v>
      </c>
    </row>
    <row r="11" spans="1:8" ht="15" customHeight="1" x14ac:dyDescent="0.35">
      <c r="A11" s="54" t="s">
        <v>482</v>
      </c>
      <c r="B11" s="54" t="s">
        <v>1255</v>
      </c>
      <c r="C11" s="54" t="s">
        <v>1256</v>
      </c>
      <c r="D11" s="54" t="s">
        <v>1257</v>
      </c>
    </row>
    <row r="12" spans="1:8" ht="15" customHeight="1" x14ac:dyDescent="0.35">
      <c r="A12" s="33" t="s">
        <v>1662</v>
      </c>
      <c r="B12" s="55">
        <f>ROUNDUP(B3/640,0)</f>
        <v>1</v>
      </c>
      <c r="C12" s="56">
        <f>IF(F10="สีอบขาว/ดำ",995,IF(F10="เทาซาฮาร่า",995+rate_grey*5.52778,IF(F10="ลายไม้ stock",1592,995+IF(F10="สีอบพิเศษ",rate_special,rate_woodbake)*5.52778)))</f>
        <v>995</v>
      </c>
      <c r="D12" s="47">
        <f>B12*C12*mult_euro</f>
        <v>995</v>
      </c>
    </row>
    <row r="13" spans="1:8" ht="15" customHeight="1" x14ac:dyDescent="0.35">
      <c r="A13" s="33" t="s">
        <v>1140</v>
      </c>
      <c r="B13" s="55">
        <f>ROUNDUP(B3/640,0)</f>
        <v>1</v>
      </c>
      <c r="C13" s="56">
        <f>IF(F10="สีอบขาว/ดำ",1000,IF(F10="เทาซาฮาร่า",1000+rate_grey*5.55556,IF(F10="ลายไม้ stock",1600,1000+IF(F10="สีอบพิเศษ",rate_special,rate_woodbake)*5.55556)))</f>
        <v>1000</v>
      </c>
      <c r="D13" s="47">
        <f>B13*C13*mult_euro</f>
        <v>1000</v>
      </c>
    </row>
    <row r="14" spans="1:8" ht="15" customHeight="1" x14ac:dyDescent="0.35">
      <c r="A14" s="33" t="s">
        <v>1663</v>
      </c>
      <c r="B14" s="55">
        <f>ROUNDUP(B3/640,0)</f>
        <v>1</v>
      </c>
      <c r="C14" s="56">
        <f>IF(F10="สีอบขาว/ดำ",395,IF(F10="เทาซาฮาร่า",395+rate_grey*2.19444,IF(F10="ลายไม้ stock",632,395+IF(F10="สีอบพิเศษ",rate_special,rate_woodbake)*2.19444)))</f>
        <v>395</v>
      </c>
      <c r="D14" s="47">
        <f>B14*C14*mult_euro</f>
        <v>395</v>
      </c>
    </row>
    <row r="15" spans="1:8" ht="15" customHeight="1" x14ac:dyDescent="0.35">
      <c r="A15" s="33" t="s">
        <v>1664</v>
      </c>
      <c r="B15" s="55">
        <f>ROUNDUP(B3/640,0)</f>
        <v>1</v>
      </c>
      <c r="C15" s="56">
        <f>IF(F10="สีอบขาว/ดำ",840,IF(F10="เทาซาฮาร่า",840+rate_grey*4.66667,IF(F10="ลายไม้ stock",1344,840+IF(F10="สีอบพิเศษ",rate_special,rate_woodbake)*4.66667)))</f>
        <v>840</v>
      </c>
      <c r="D15" s="47">
        <f>B15*C15*mult_euro</f>
        <v>840</v>
      </c>
    </row>
    <row r="16" spans="1:8" ht="15" customHeight="1" x14ac:dyDescent="0.35">
      <c r="A16" s="33" t="s">
        <v>1665</v>
      </c>
      <c r="B16" s="55">
        <f>ROUNDUP(B3/640,0)</f>
        <v>1</v>
      </c>
      <c r="C16" s="56">
        <v>60</v>
      </c>
      <c r="D16" s="47">
        <f>B16*C16</f>
        <v>60</v>
      </c>
    </row>
    <row r="17" spans="1:5" ht="15" customHeight="1" x14ac:dyDescent="0.35">
      <c r="A17" s="33" t="s">
        <v>1184</v>
      </c>
      <c r="B17" s="55">
        <f>ROUNDUP(B4/640,0)</f>
        <v>1</v>
      </c>
      <c r="C17" s="56">
        <f>IF(F10="สีอบขาว/ดำ",600,IF(F10="เทาซาฮาร่า",600+rate_grey*3.33333,IF(F10="ลายไม้ stock",960,600+IF(F10="สีอบพิเศษ",rate_special,rate_woodbake)*3.33333)))</f>
        <v>600</v>
      </c>
      <c r="D17" s="47">
        <f>B17*C17*mult_euro</f>
        <v>600</v>
      </c>
    </row>
    <row r="18" spans="1:5" ht="15" customHeight="1" x14ac:dyDescent="0.35">
      <c r="A18" s="33" t="s">
        <v>1666</v>
      </c>
      <c r="B18" s="55">
        <f>ROUNDUP(B4/640,0)</f>
        <v>1</v>
      </c>
      <c r="C18" s="56">
        <v>195</v>
      </c>
      <c r="D18" s="47">
        <f>B18*C18</f>
        <v>195</v>
      </c>
    </row>
    <row r="19" spans="1:5" ht="15" customHeight="1" x14ac:dyDescent="0.35">
      <c r="A19" s="33" t="s">
        <v>1667</v>
      </c>
      <c r="B19" s="55">
        <f>ROUNDUP(B4/640,0)</f>
        <v>1</v>
      </c>
      <c r="C19" s="56">
        <f>IF(F10="สีอบขาว/ดำ",1175,IF(F10="เทาซาฮาร่า",1175+rate_grey*6.52778,IF(F10="ลายไม้ stock",1880,1175+IF(F10="สีอบพิเศษ",rate_special,rate_woodbake)*6.52778)))</f>
        <v>1175</v>
      </c>
      <c r="D19" s="47">
        <f>B19*C19*mult_euro</f>
        <v>1175</v>
      </c>
    </row>
    <row r="20" spans="1:5" ht="15" customHeight="1" x14ac:dyDescent="0.35">
      <c r="A20" s="33" t="s">
        <v>1668</v>
      </c>
      <c r="B20" s="55">
        <f>1</f>
        <v>1</v>
      </c>
      <c r="C20" s="56">
        <f>IF(B6="ถ่วง",2520,1350)</f>
        <v>1350</v>
      </c>
      <c r="D20" s="47">
        <f t="shared" ref="D20:D30" si="0">B20*C20</f>
        <v>1350</v>
      </c>
    </row>
    <row r="21" spans="1:5" ht="15" customHeight="1" x14ac:dyDescent="0.35">
      <c r="A21" s="33" t="s">
        <v>1347</v>
      </c>
      <c r="B21" s="55">
        <f>1</f>
        <v>1</v>
      </c>
      <c r="C21" s="56">
        <v>60</v>
      </c>
      <c r="D21" s="47">
        <f t="shared" si="0"/>
        <v>60</v>
      </c>
    </row>
    <row r="22" spans="1:5" ht="15" customHeight="1" x14ac:dyDescent="0.35">
      <c r="A22" s="33" t="s">
        <v>1669</v>
      </c>
      <c r="B22" s="55">
        <f>1</f>
        <v>1</v>
      </c>
      <c r="C22" s="56">
        <v>70</v>
      </c>
      <c r="D22" s="47">
        <f t="shared" si="0"/>
        <v>70</v>
      </c>
    </row>
    <row r="23" spans="1:5" ht="15" customHeight="1" x14ac:dyDescent="0.35">
      <c r="A23" s="33" t="s">
        <v>1670</v>
      </c>
      <c r="B23" s="55">
        <f>IF(B6="ถ่วง",0,2)</f>
        <v>2</v>
      </c>
      <c r="C23" s="56">
        <v>160</v>
      </c>
      <c r="D23" s="47">
        <f t="shared" si="0"/>
        <v>320</v>
      </c>
    </row>
    <row r="24" spans="1:5" ht="15" customHeight="1" x14ac:dyDescent="0.35">
      <c r="A24" s="33" t="s">
        <v>1671</v>
      </c>
      <c r="B24" s="55">
        <f>IF(B6="ถ่วง",0,2)</f>
        <v>2</v>
      </c>
      <c r="C24" s="56">
        <v>10</v>
      </c>
      <c r="D24" s="47">
        <f t="shared" si="0"/>
        <v>20</v>
      </c>
    </row>
    <row r="25" spans="1:5" ht="15" customHeight="1" x14ac:dyDescent="0.35">
      <c r="A25" s="33" t="s">
        <v>1672</v>
      </c>
      <c r="B25" s="55">
        <f>IF(B6="ถ่วง",0,4)</f>
        <v>4</v>
      </c>
      <c r="C25" s="56">
        <v>130</v>
      </c>
      <c r="D25" s="47">
        <f t="shared" si="0"/>
        <v>520</v>
      </c>
    </row>
    <row r="26" spans="1:5" ht="15" customHeight="1" x14ac:dyDescent="0.35">
      <c r="A26" s="33" t="s">
        <v>1673</v>
      </c>
      <c r="B26" s="55">
        <f>IF(B6="ถ่วง",0,4)</f>
        <v>4</v>
      </c>
      <c r="C26" s="56">
        <v>20</v>
      </c>
      <c r="D26" s="47">
        <f t="shared" si="0"/>
        <v>80</v>
      </c>
    </row>
    <row r="27" spans="1:5" ht="15" customHeight="1" x14ac:dyDescent="0.35">
      <c r="A27" s="33" t="s">
        <v>1674</v>
      </c>
      <c r="B27" s="55">
        <f>IF(B6="ถ่วง",0,2)</f>
        <v>2</v>
      </c>
      <c r="C27" s="56">
        <v>30</v>
      </c>
      <c r="D27" s="47">
        <f t="shared" si="0"/>
        <v>60</v>
      </c>
    </row>
    <row r="28" spans="1:5" ht="15" customHeight="1" x14ac:dyDescent="0.35">
      <c r="A28" s="33" t="s">
        <v>1259</v>
      </c>
      <c r="B28" s="55">
        <f>B7</f>
        <v>0.5</v>
      </c>
      <c r="C28" s="56">
        <f>INDEX(ราคาวัสดุกลาง!$I$2:$I$106,MATCH(B10,ราคาวัสดุกลาง!$H$2:$H$106,0))</f>
        <v>264</v>
      </c>
      <c r="D28" s="47">
        <f t="shared" si="0"/>
        <v>132</v>
      </c>
    </row>
    <row r="29" spans="1:5" ht="15" customHeight="1" x14ac:dyDescent="0.35">
      <c r="A29" s="33" t="s">
        <v>1265</v>
      </c>
      <c r="B29" s="55">
        <f>ROUNDUP(2*(B3+B4)/100*2/12.5,0)</f>
        <v>1</v>
      </c>
      <c r="C29" s="56">
        <f>B9</f>
        <v>90</v>
      </c>
      <c r="D29" s="47">
        <f t="shared" si="0"/>
        <v>90</v>
      </c>
    </row>
    <row r="30" spans="1:5" ht="15" customHeight="1" x14ac:dyDescent="0.35">
      <c r="A30" s="57" t="s">
        <v>1266</v>
      </c>
      <c r="B30" s="57">
        <f>IF(OR(F10="สีอบพิเศษ",F10="สีลายไม้อบพิเศษ"),1,0)</f>
        <v>0</v>
      </c>
      <c r="C30" s="53">
        <v>2000</v>
      </c>
      <c r="D30" s="53">
        <f t="shared" si="0"/>
        <v>0</v>
      </c>
      <c r="E30" s="57" t="s">
        <v>1267</v>
      </c>
    </row>
    <row r="31" spans="1:5" ht="15" customHeight="1" x14ac:dyDescent="0.35">
      <c r="A31" s="58" t="s">
        <v>1268</v>
      </c>
      <c r="D31" s="59">
        <f>SUM(D12:D30)+D51+D56+D57+D58+D59</f>
        <v>7962</v>
      </c>
    </row>
    <row r="32" spans="1:5" ht="15" customHeight="1" x14ac:dyDescent="0.35">
      <c r="A32" s="58" t="s">
        <v>1125</v>
      </c>
      <c r="D32" s="59">
        <f>IFERROR(D31/B7,0)</f>
        <v>15924</v>
      </c>
    </row>
    <row r="33" spans="1:4" ht="15" customHeight="1" x14ac:dyDescent="0.35">
      <c r="A33" s="60" t="s">
        <v>1271</v>
      </c>
      <c r="D33" s="61">
        <f>ROUNDUP(D31*(1+B8/100)/100,0)*100</f>
        <v>16000</v>
      </c>
    </row>
    <row r="34" spans="1:4" ht="15" customHeight="1" x14ac:dyDescent="0.35">
      <c r="A34" s="60" t="s">
        <v>1275</v>
      </c>
      <c r="D34" s="61">
        <f>D33</f>
        <v>16000</v>
      </c>
    </row>
    <row r="35" spans="1:4" ht="15" customHeight="1" x14ac:dyDescent="0.35">
      <c r="A35" s="62" t="s">
        <v>1351</v>
      </c>
      <c r="D35" s="63">
        <f>IFERROR((D33-D31)/D31,0)</f>
        <v>1.009545340366742</v>
      </c>
    </row>
    <row r="36" spans="1:4" ht="15" customHeight="1" x14ac:dyDescent="0.35">
      <c r="A36" s="433"/>
      <c r="B36" s="411"/>
      <c r="C36" s="411"/>
      <c r="D36" s="433"/>
    </row>
    <row r="37" spans="1:4" ht="15" customHeight="1" x14ac:dyDescent="0.35">
      <c r="A37" s="411"/>
      <c r="B37" s="411"/>
      <c r="C37" s="411"/>
      <c r="D37" s="433"/>
    </row>
    <row r="38" spans="1:4" ht="15" customHeight="1" x14ac:dyDescent="0.35">
      <c r="A38" s="6"/>
      <c r="B38" s="7"/>
      <c r="C38" s="7"/>
      <c r="D38" s="8"/>
    </row>
    <row r="39" spans="1:4" x14ac:dyDescent="0.35">
      <c r="A39" s="25" t="s">
        <v>1289</v>
      </c>
    </row>
    <row r="40" spans="1:4" x14ac:dyDescent="0.35">
      <c r="A40" s="64" t="s">
        <v>1290</v>
      </c>
      <c r="D40" s="26">
        <f>MAX(0,VLOOKUP("บานยก (เซมิ)",ค่าแรง!$A$12:$E$27,2,0)+VLOOKUP("บานยก (เซมิ)",ค่าแรง!$A$12:$E$27,3,0)*B7)</f>
        <v>359.7</v>
      </c>
    </row>
    <row r="41" spans="1:4" x14ac:dyDescent="0.35">
      <c r="A41" s="64" t="s">
        <v>1291</v>
      </c>
      <c r="D41" s="26">
        <f>MAX(0,VLOOKUP("บานยก (เซมิ)",ค่าแรง!$A$12:$E$27,4,0)+VLOOKUP("บานยก (เซมิ)",ค่าแรง!$A$12:$E$27,5,0)*B7)</f>
        <v>359.7</v>
      </c>
    </row>
    <row r="42" spans="1:4" x14ac:dyDescent="0.35">
      <c r="A42" s="64" t="s">
        <v>1292</v>
      </c>
      <c r="B42" s="27">
        <v>100</v>
      </c>
    </row>
    <row r="43" spans="1:4" x14ac:dyDescent="0.35">
      <c r="A43" s="25" t="s">
        <v>1293</v>
      </c>
      <c r="D43" s="28">
        <f>ROUNDUP((D31+D40+D60)*(1+B8/100)/100,0)*100</f>
        <v>16700</v>
      </c>
    </row>
    <row r="44" spans="1:4" x14ac:dyDescent="0.35">
      <c r="A44" s="25" t="s">
        <v>1294</v>
      </c>
      <c r="D44" s="28">
        <f>D43+ROUNDUP((D41+D61)*(1+B42/100)/100,0)*100</f>
        <v>17500</v>
      </c>
    </row>
    <row r="45" spans="1:4" x14ac:dyDescent="0.35">
      <c r="A45" s="25" t="s">
        <v>1295</v>
      </c>
      <c r="D45" s="29">
        <f>(D44-(D31+D40+D41+D60+D61))/(D31+D40+D41+D60+D61)</f>
        <v>1.015803902596355</v>
      </c>
    </row>
    <row r="47" spans="1:4" x14ac:dyDescent="0.35">
      <c r="A47" s="154" t="s">
        <v>1325</v>
      </c>
      <c r="B47" s="155"/>
      <c r="C47" s="155"/>
      <c r="D47" s="155"/>
    </row>
    <row r="48" spans="1:4" x14ac:dyDescent="0.35">
      <c r="A48" s="20" t="s">
        <v>1297</v>
      </c>
      <c r="B48" s="156" t="s">
        <v>1298</v>
      </c>
      <c r="C48" s="155"/>
      <c r="D48" s="155"/>
    </row>
    <row r="49" spans="1:11" x14ac:dyDescent="0.35">
      <c r="A49" s="20" t="s">
        <v>1300</v>
      </c>
      <c r="B49" s="156" t="s">
        <v>537</v>
      </c>
      <c r="C49" s="155"/>
      <c r="D49" s="155"/>
    </row>
    <row r="50" spans="1:11" x14ac:dyDescent="0.35">
      <c r="A50" s="155"/>
      <c r="B50" s="155"/>
      <c r="C50" s="155"/>
      <c r="D50" s="155"/>
    </row>
    <row r="51" spans="1:11" x14ac:dyDescent="0.35">
      <c r="A51" s="157" t="s">
        <v>1309</v>
      </c>
      <c r="B51" s="155"/>
      <c r="C51" s="155"/>
      <c r="D51" s="158">
        <f>IF(B48="ไม่มี",0,INDEX(ราคาออโต้!$C:$C,MATCH(B49,ราคาออโต้!$B:$B,0))+INDEX(ราคาออโต้!$D:$D,MATCH(B49,ราคาออโต้!$B:$B,0)))</f>
        <v>0</v>
      </c>
    </row>
    <row r="53" spans="1:11" x14ac:dyDescent="0.35">
      <c r="A53" s="233" t="s">
        <v>1277</v>
      </c>
    </row>
    <row r="54" spans="1:11" x14ac:dyDescent="0.35">
      <c r="A54" s="25" t="s">
        <v>1279</v>
      </c>
      <c r="B54" s="287" t="s">
        <v>670</v>
      </c>
      <c r="C54" t="str">
        <f>IF(B54="ไม่มีมุ้ง","—",IF(H55=1,"✓ ใช้ได้","⚠ ใช้กับบานนี้ไม่ได้(ทุน=0)"))</f>
        <v>—</v>
      </c>
      <c r="D54" t="str">
        <f>IF(B54="ไม่มีมุ้ง","",H60&amp;" บาน")</f>
        <v/>
      </c>
      <c r="H54" s="222" t="str">
        <f>IFERROR(VLOOKUP(B54,ราคามุ้ง!$A$2:$O$15,3,0),"")</f>
        <v/>
      </c>
    </row>
    <row r="55" spans="1:11" x14ac:dyDescent="0.35">
      <c r="A55" s="30" t="s">
        <v>1280</v>
      </c>
      <c r="B55" s="287" t="s">
        <v>682</v>
      </c>
      <c r="C55" s="287" t="s">
        <v>1281</v>
      </c>
      <c r="H55" s="222">
        <f>IF(B54="ไม่มีมุ้ง",0,IF(OR(IFERROR(VLOOKUP(B54,ราคามุ้ง!$A$2:$O$15,4,0),"ALL")="ALL",ISNUMBER(SEARCH("ยก",IFERROR(VLOOKUP(B54,ราคามุ้ง!$A$2:$O$15,4,0),"")))),1,0))</f>
        <v>0</v>
      </c>
    </row>
    <row r="56" spans="1:11" x14ac:dyDescent="0.35">
      <c r="A56" s="30" t="s">
        <v>1282</v>
      </c>
      <c r="B56" s="294">
        <f>IF(AND(H55=1,H56=1),ROUND(H60*2*H59/6,2),0)</f>
        <v>0</v>
      </c>
      <c r="C56" s="291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6" s="123">
        <f>ROUND(B56*C56,0)</f>
        <v>0</v>
      </c>
      <c r="H56" s="222">
        <f>IF(OR(B54="มุ้งเฟรมเล็ก",B54="มุ้งเฟรมใหญ่",B54="มุ้งนิรภัย"),1,0)</f>
        <v>0</v>
      </c>
    </row>
    <row r="57" spans="1:11" x14ac:dyDescent="0.35">
      <c r="A57" s="30" t="s">
        <v>1283</v>
      </c>
      <c r="B57" s="294">
        <f>IF(AND(H55=1,H56=1),ROUND(H60*2*H58/6,2),0)</f>
        <v>0</v>
      </c>
      <c r="C57" s="291">
        <f>IF(B54="มุ้งเฟรมเล็ก",ราคามุ้ง!$B$19,IF(B54="มุ้งเฟรมใหญ่",ROUND(C17*mult_euro,0),IF(B54="มุ้งนิรภัย",ราคามุ้ง!$B$21,0)))</f>
        <v>0</v>
      </c>
      <c r="D57" s="123">
        <f>ROUND(B57*C57,0)</f>
        <v>0</v>
      </c>
      <c r="H57" s="222">
        <f>IFERROR(VLOOKUP(B55,ราคามุ้ง!$I$2:$J$5,2,0),0)</f>
        <v>23</v>
      </c>
    </row>
    <row r="58" spans="1:11" x14ac:dyDescent="0.35">
      <c r="A58" s="30" t="s">
        <v>1284</v>
      </c>
      <c r="B58" s="294">
        <f>IF(AND(H55=1,H56=1),ROUND(H60*2*(H58+H59),2),0)</f>
        <v>0</v>
      </c>
      <c r="C58" s="291">
        <f>ราคามุ้ง!$D$19</f>
        <v>5</v>
      </c>
      <c r="D58" s="123">
        <f>ROUND(B58*C58,0)</f>
        <v>0</v>
      </c>
      <c r="H58" s="222">
        <f>B3/(B5*100)</f>
        <v>1</v>
      </c>
    </row>
    <row r="59" spans="1:11" x14ac:dyDescent="0.35">
      <c r="A59" s="30" t="s">
        <v>1285</v>
      </c>
      <c r="B59" s="294">
        <f>IF(H55=0,0,ROUND(H60*H58*H59,2))</f>
        <v>0</v>
      </c>
      <c r="C59" s="291">
        <f>IF(B54="มุ้งนิรภัย",650,IF(OR(B54="มุ้งเฟรมเล็ก",B54="มุ้งเฟรมใหญ่"),H57,IF(H54="ซื้อสำเร็จ",IFERROR(VLOOKUP(B54,ราคามุ้ง!$A$2:$O$15,2,0),0),0)))</f>
        <v>0</v>
      </c>
      <c r="D59" s="123">
        <f>ROUND(B59*C59,0)</f>
        <v>0</v>
      </c>
      <c r="H59" s="222">
        <f>B4/100</f>
        <v>0.5</v>
      </c>
    </row>
    <row r="60" spans="1:11" x14ac:dyDescent="0.35">
      <c r="A60" s="30" t="s">
        <v>1286</v>
      </c>
      <c r="D60" s="123">
        <f>IF(H55=0,0,ROUND(H60*(VLOOKUP(B54,ราคามุ้ง!$A$2:$O$15,12,0)+VLOOKUP(B54,ราคามุ้ง!$A$2:$O$15,13,0)*H58*H59),0))</f>
        <v>0</v>
      </c>
      <c r="H60" s="222">
        <f>B5</f>
        <v>1</v>
      </c>
    </row>
    <row r="61" spans="1:11" x14ac:dyDescent="0.35">
      <c r="A61" s="30" t="s">
        <v>1287</v>
      </c>
      <c r="D61" s="123">
        <f>IF(H55=0,0,ROUND(H60*(VLOOKUP(B54,ราคามุ้ง!$A$2:$O$15,14,0)+VLOOKUP(B54,ราคามุ้ง!$A$2:$O$15,15,0)*H58*H59),0))</f>
        <v>0</v>
      </c>
    </row>
    <row r="62" spans="1:11" x14ac:dyDescent="0.35">
      <c r="A62" s="333" t="s">
        <v>1326</v>
      </c>
      <c r="D62" s="334">
        <f>SUM(D56:D61)</f>
        <v>0</v>
      </c>
    </row>
    <row r="63" spans="1:11" x14ac:dyDescent="0.35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</row>
    <row r="64" spans="1:11" x14ac:dyDescent="0.35">
      <c r="A64" s="381"/>
      <c r="B64" s="153"/>
      <c r="C64" s="153"/>
      <c r="D64" s="153"/>
      <c r="E64" s="153"/>
      <c r="F64" s="153"/>
      <c r="G64" s="153"/>
      <c r="H64" s="153"/>
      <c r="I64" s="153"/>
      <c r="J64" s="153"/>
      <c r="K64" s="153"/>
    </row>
    <row r="65" spans="1:11" x14ac:dyDescent="0.35">
      <c r="A65" s="382"/>
      <c r="B65" s="383"/>
      <c r="C65" s="153"/>
      <c r="D65" s="153"/>
      <c r="E65" s="153"/>
      <c r="F65" s="153"/>
      <c r="G65" s="153"/>
      <c r="H65" s="153"/>
      <c r="I65" s="153"/>
      <c r="J65" s="153"/>
      <c r="K65" s="153"/>
    </row>
    <row r="66" spans="1:11" x14ac:dyDescent="0.35">
      <c r="A66" s="382"/>
      <c r="B66" s="383"/>
      <c r="C66" s="153"/>
      <c r="D66" s="153"/>
      <c r="E66" s="153"/>
      <c r="F66" s="153"/>
      <c r="G66" s="153"/>
      <c r="H66" s="153"/>
      <c r="I66" s="153"/>
      <c r="J66" s="153"/>
      <c r="K66" s="153"/>
    </row>
    <row r="67" spans="1:11" x14ac:dyDescent="0.35">
      <c r="A67" s="382"/>
      <c r="B67" s="383"/>
      <c r="C67" s="153"/>
      <c r="D67" s="153"/>
      <c r="E67" s="153"/>
      <c r="F67" s="153"/>
      <c r="G67" s="153"/>
      <c r="H67" s="153"/>
      <c r="I67" s="153"/>
      <c r="J67" s="153"/>
      <c r="K67" s="153"/>
    </row>
    <row r="68" spans="1:11" x14ac:dyDescent="0.35">
      <c r="A68" s="382"/>
      <c r="B68" s="384"/>
      <c r="C68" s="153"/>
      <c r="D68" s="153"/>
      <c r="E68" s="153"/>
      <c r="F68" s="153"/>
      <c r="G68" s="153"/>
      <c r="H68" s="153"/>
      <c r="I68" s="153"/>
      <c r="J68" s="153"/>
      <c r="K68" s="153"/>
    </row>
    <row r="69" spans="1:11" x14ac:dyDescent="0.35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</row>
    <row r="70" spans="1:11" x14ac:dyDescent="0.35">
      <c r="A70" s="375" t="s">
        <v>1269</v>
      </c>
    </row>
    <row r="71" spans="1:11" x14ac:dyDescent="0.35">
      <c r="A71" s="376" t="s">
        <v>1270</v>
      </c>
      <c r="B71" s="377">
        <f>D12+D13+D14+D15+D17+D18+D19+D20+D27+D29</f>
        <v>6700</v>
      </c>
    </row>
    <row r="72" spans="1:11" x14ac:dyDescent="0.35">
      <c r="A72" s="378" t="s">
        <v>1272</v>
      </c>
      <c r="B72" s="379">
        <f>D28</f>
        <v>132</v>
      </c>
    </row>
    <row r="73" spans="1:11" x14ac:dyDescent="0.35">
      <c r="A73" s="378" t="s">
        <v>1274</v>
      </c>
      <c r="B73" s="379">
        <f>D16+D21+D22+D23+D24+D25+D26+D30</f>
        <v>1130</v>
      </c>
    </row>
    <row r="74" spans="1:11" x14ac:dyDescent="0.35">
      <c r="A74" s="378" t="s">
        <v>1276</v>
      </c>
      <c r="B74" s="380">
        <f>B71+B72+B73</f>
        <v>7962</v>
      </c>
    </row>
  </sheetData>
  <mergeCells count="2">
    <mergeCell ref="A1:D1"/>
    <mergeCell ref="A36:D37"/>
  </mergeCells>
  <dataValidations count="8">
    <dataValidation type="list" sqref="B6" xr:uid="{00000000-0002-0000-1800-000000000000}">
      <formula1>"เดี่ยว,ถ่วง"</formula1>
      <formula2>0</formula2>
    </dataValidation>
    <dataValidation type="list" sqref="B10" xr:uid="{00000000-0002-0000-1800-000001000000}">
      <formula1>GlassNames</formula1>
      <formula2>0</formula2>
    </dataValidation>
    <dataValidation type="list" sqref="F10" xr:uid="{00000000-0002-0000-1800-000002000000}">
      <formula1>"สีอบขาว/ดำ,เทาซาฮาร่า,ลายไม้ stock,สีอบพิเศษ,สีลายไม้อบพิเศษ"</formula1>
      <formula2>0</formula2>
    </dataValidation>
    <dataValidation type="list" allowBlank="1" sqref="B48" xr:uid="{00000000-0002-0000-1800-000003000000}">
      <formula1>"มี,ไม่มี"</formula1>
    </dataValidation>
    <dataValidation type="list" allowBlank="1" sqref="B49" xr:uid="{00000000-0002-0000-1800-000004000000}">
      <formula1>"ยก 80 กก.,ยก 300 กก."</formula1>
    </dataValidation>
    <dataValidation type="list" allowBlank="1" sqref="B54" xr:uid="{00000000-0002-0000-1800-000005000000}">
      <formula1>MungList</formula1>
    </dataValidation>
    <dataValidation type="list" allowBlank="1" sqref="B55" xr:uid="{00000000-0002-0000-1800-000006000000}">
      <formula1>ClothList</formula1>
    </dataValidation>
    <dataValidation type="list" allowBlank="1" sqref="C55" xr:uid="{00000000-0002-0000-1800-000007000000}">
      <formula1>"เทา,ดำ"</formula1>
    </dataValidation>
  </dataValidations>
  <hyperlinks>
    <hyperlink ref="G1" location="'สารบัญ'!A1" display="🏠 สารบัญ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B9BD5"/>
  </sheetPr>
  <dimension ref="A1:R66"/>
  <sheetViews>
    <sheetView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32.453125" customWidth="1"/>
    <col min="3" max="3" width="9" customWidth="1"/>
    <col min="4" max="4" width="25.7265625" customWidth="1"/>
    <col min="5" max="5" width="17.453125" customWidth="1"/>
    <col min="6" max="6" width="16.90625" customWidth="1"/>
    <col min="7" max="7" width="13" customWidth="1"/>
    <col min="10" max="10" width="34.453125" customWidth="1"/>
    <col min="11" max="18" width="13" customWidth="1"/>
  </cols>
  <sheetData>
    <row r="1" spans="1:18" ht="24" customHeight="1" x14ac:dyDescent="0.35">
      <c r="A1" s="437" t="s">
        <v>1675</v>
      </c>
      <c r="B1" s="411"/>
      <c r="C1" s="411"/>
      <c r="D1" s="411"/>
      <c r="E1" s="411"/>
      <c r="F1" s="319"/>
      <c r="G1" s="388" t="s">
        <v>78</v>
      </c>
      <c r="H1" s="389"/>
      <c r="J1" s="64" t="s">
        <v>1676</v>
      </c>
    </row>
    <row r="2" spans="1:18" ht="15" customHeight="1" x14ac:dyDescent="0.35">
      <c r="A2" s="30" t="s">
        <v>1236</v>
      </c>
      <c r="B2" s="27">
        <v>180</v>
      </c>
      <c r="D2" s="30" t="s">
        <v>1677</v>
      </c>
      <c r="E2" s="30">
        <f>VLOOKUP(B5,$J$2:$R$38,3,0)</f>
        <v>1</v>
      </c>
      <c r="J2" s="64" t="s">
        <v>1422</v>
      </c>
      <c r="K2" s="64">
        <v>2</v>
      </c>
      <c r="L2" s="64">
        <v>1</v>
      </c>
      <c r="M2" s="133">
        <v>2700</v>
      </c>
      <c r="N2" s="133">
        <v>7</v>
      </c>
      <c r="O2" s="133">
        <v>9999</v>
      </c>
      <c r="P2" s="133">
        <v>10</v>
      </c>
      <c r="Q2" s="133">
        <v>9999</v>
      </c>
      <c r="R2" s="133">
        <v>10</v>
      </c>
    </row>
    <row r="3" spans="1:18" ht="15" customHeight="1" x14ac:dyDescent="0.35">
      <c r="A3" s="30" t="s">
        <v>1238</v>
      </c>
      <c r="B3" s="27">
        <v>280</v>
      </c>
      <c r="D3" s="30" t="s">
        <v>1678</v>
      </c>
      <c r="E3" s="30">
        <f>IF(B3*10&lt;=VLOOKUP(B5,$J$2:$R$38,4,0),VLOOKUP(B5,$J$2:$R$38,5,0),IF(B3*10&lt;=VLOOKUP(B5,$J$2:$R$38,6,0),VLOOKUP(B5,$J$2:$R$38,7,0),VLOOKUP(B5,$J$2:$R$38,9,0)))</f>
        <v>10</v>
      </c>
      <c r="J3" s="64" t="s">
        <v>1427</v>
      </c>
      <c r="K3" s="64">
        <v>3</v>
      </c>
      <c r="L3" s="64">
        <v>0</v>
      </c>
      <c r="M3" s="133">
        <v>2500</v>
      </c>
      <c r="N3" s="133">
        <v>7</v>
      </c>
      <c r="O3" s="133">
        <v>3000</v>
      </c>
      <c r="P3" s="133">
        <v>10</v>
      </c>
      <c r="Q3" s="133">
        <v>9999</v>
      </c>
      <c r="R3" s="133">
        <v>13</v>
      </c>
    </row>
    <row r="4" spans="1:18" ht="15" customHeight="1" x14ac:dyDescent="0.35">
      <c r="A4" s="30" t="s">
        <v>1424</v>
      </c>
      <c r="B4" s="27">
        <f>IFERROR(VALUE(LEFT(B5,FIND("บาน",B5)-1)),2)</f>
        <v>2</v>
      </c>
      <c r="D4" s="30" t="s">
        <v>1679</v>
      </c>
      <c r="E4" s="30">
        <f>MATCH(F10,{"สีอบขาว/ดำ","เทาซาฮาร่า","ลายไม้ stock","สีอบพิเศษ","สีลายไม้อบพิเศษ"},0)</f>
        <v>1</v>
      </c>
      <c r="J4" s="64" t="s">
        <v>1430</v>
      </c>
      <c r="K4" s="64">
        <v>3</v>
      </c>
      <c r="L4" s="64">
        <v>0</v>
      </c>
      <c r="M4" s="133">
        <v>2700</v>
      </c>
      <c r="N4" s="133">
        <v>9</v>
      </c>
      <c r="O4" s="133">
        <v>9999</v>
      </c>
      <c r="P4" s="133">
        <v>12</v>
      </c>
      <c r="Q4" s="133">
        <v>9999</v>
      </c>
      <c r="R4" s="133">
        <v>12</v>
      </c>
    </row>
    <row r="5" spans="1:18" ht="15" customHeight="1" x14ac:dyDescent="0.35">
      <c r="A5" s="30" t="s">
        <v>1426</v>
      </c>
      <c r="B5" s="27" t="s">
        <v>1422</v>
      </c>
      <c r="D5" s="30" t="s">
        <v>1680</v>
      </c>
      <c r="E5" s="30">
        <f>(B2*10-110)/B4</f>
        <v>845</v>
      </c>
      <c r="J5" s="64" t="s">
        <v>1433</v>
      </c>
      <c r="K5" s="64">
        <v>4</v>
      </c>
      <c r="L5" s="64">
        <v>1</v>
      </c>
      <c r="M5" s="133">
        <v>2700</v>
      </c>
      <c r="N5" s="133">
        <v>11</v>
      </c>
      <c r="O5" s="133">
        <v>9999</v>
      </c>
      <c r="P5" s="133">
        <v>16</v>
      </c>
      <c r="Q5" s="133">
        <v>9999</v>
      </c>
      <c r="R5" s="133">
        <v>16</v>
      </c>
    </row>
    <row r="6" spans="1:18" ht="15" customHeight="1" x14ac:dyDescent="0.35">
      <c r="A6" s="30" t="s">
        <v>1248</v>
      </c>
      <c r="B6" s="27" t="s">
        <v>1681</v>
      </c>
      <c r="D6" s="30" t="s">
        <v>1682</v>
      </c>
      <c r="E6" s="30">
        <f>B2*10</f>
        <v>1800</v>
      </c>
      <c r="J6" s="64" t="s">
        <v>1434</v>
      </c>
      <c r="K6" s="64">
        <v>4</v>
      </c>
      <c r="L6" s="64">
        <v>0</v>
      </c>
      <c r="M6" s="133">
        <v>2700</v>
      </c>
      <c r="N6" s="133">
        <v>7</v>
      </c>
      <c r="O6" s="133">
        <v>9999</v>
      </c>
      <c r="P6" s="133">
        <v>10</v>
      </c>
      <c r="Q6" s="133">
        <v>9999</v>
      </c>
      <c r="R6" s="133">
        <v>10</v>
      </c>
    </row>
    <row r="7" spans="1:18" ht="15" customHeight="1" x14ac:dyDescent="0.35">
      <c r="A7" s="30" t="s">
        <v>1245</v>
      </c>
      <c r="B7" s="30">
        <f>(B2/100)*(B3/100)</f>
        <v>5.04</v>
      </c>
      <c r="D7" s="30" t="s">
        <v>1683</v>
      </c>
      <c r="E7" s="30">
        <f>B3*10</f>
        <v>2800</v>
      </c>
      <c r="J7" s="64" t="s">
        <v>1435</v>
      </c>
      <c r="K7" s="64">
        <v>4</v>
      </c>
      <c r="L7" s="64">
        <v>2</v>
      </c>
      <c r="M7" s="133">
        <v>2500</v>
      </c>
      <c r="N7" s="133">
        <v>14</v>
      </c>
      <c r="O7" s="133">
        <v>3000</v>
      </c>
      <c r="P7" s="133">
        <v>20</v>
      </c>
      <c r="Q7" s="133">
        <v>9999</v>
      </c>
      <c r="R7" s="133">
        <v>26</v>
      </c>
    </row>
    <row r="8" spans="1:18" ht="15" customHeight="1" x14ac:dyDescent="0.35">
      <c r="A8" s="30" t="s">
        <v>1247</v>
      </c>
      <c r="B8" s="27">
        <v>100</v>
      </c>
      <c r="J8" s="64" t="s">
        <v>1442</v>
      </c>
      <c r="K8" s="64">
        <v>5</v>
      </c>
      <c r="L8" s="64">
        <v>0</v>
      </c>
      <c r="M8" s="133">
        <v>2700</v>
      </c>
      <c r="N8" s="133">
        <v>11</v>
      </c>
      <c r="O8" s="133">
        <v>9999</v>
      </c>
      <c r="P8" s="133">
        <v>16</v>
      </c>
      <c r="Q8" s="133">
        <v>9999</v>
      </c>
      <c r="R8" s="133">
        <v>16</v>
      </c>
    </row>
    <row r="9" spans="1:18" ht="15" customHeight="1" x14ac:dyDescent="0.35">
      <c r="J9" s="64" t="s">
        <v>1445</v>
      </c>
      <c r="K9" s="64">
        <v>5</v>
      </c>
      <c r="L9" s="64">
        <v>0</v>
      </c>
      <c r="M9" s="133">
        <v>2700</v>
      </c>
      <c r="N9" s="133">
        <v>14</v>
      </c>
      <c r="O9" s="133">
        <v>9999</v>
      </c>
      <c r="P9" s="133">
        <v>20</v>
      </c>
      <c r="Q9" s="133">
        <v>9999</v>
      </c>
      <c r="R9" s="133">
        <v>20</v>
      </c>
    </row>
    <row r="10" spans="1:18" ht="15" customHeight="1" x14ac:dyDescent="0.35">
      <c r="A10" s="30" t="s">
        <v>1251</v>
      </c>
      <c r="B10" s="27" t="s">
        <v>778</v>
      </c>
      <c r="C10" s="30">
        <f>INDEX(ราคาวัสดุกลาง!$I$2:$I$106,MATCH(B10,ราคาวัสดุกลาง!$H$2:$H$106,0))</f>
        <v>264</v>
      </c>
      <c r="D10" s="30" t="s">
        <v>1684</v>
      </c>
      <c r="E10" s="30" t="s">
        <v>1253</v>
      </c>
      <c r="F10" s="27" t="s">
        <v>1254</v>
      </c>
      <c r="J10" s="64" t="s">
        <v>1447</v>
      </c>
      <c r="K10" s="64">
        <v>5</v>
      </c>
      <c r="L10" s="64">
        <v>0</v>
      </c>
      <c r="M10" s="133">
        <v>2700</v>
      </c>
      <c r="N10" s="133">
        <v>14</v>
      </c>
      <c r="O10" s="133">
        <v>9999</v>
      </c>
      <c r="P10" s="133">
        <v>20</v>
      </c>
      <c r="Q10" s="133">
        <v>9999</v>
      </c>
      <c r="R10" s="133">
        <v>20</v>
      </c>
    </row>
    <row r="11" spans="1:18" ht="15" customHeight="1" x14ac:dyDescent="0.35">
      <c r="A11" s="90" t="s">
        <v>1685</v>
      </c>
      <c r="B11" s="90" t="s">
        <v>1686</v>
      </c>
      <c r="C11" s="90" t="s">
        <v>489</v>
      </c>
      <c r="D11" s="90" t="s">
        <v>1687</v>
      </c>
      <c r="E11" s="90" t="s">
        <v>1257</v>
      </c>
      <c r="J11" s="64" t="s">
        <v>1455</v>
      </c>
      <c r="K11" s="64">
        <v>6</v>
      </c>
      <c r="L11" s="64">
        <v>1</v>
      </c>
      <c r="M11" s="133">
        <v>2700</v>
      </c>
      <c r="N11" s="133">
        <v>15</v>
      </c>
      <c r="O11" s="133">
        <v>9999</v>
      </c>
      <c r="P11" s="133">
        <v>22</v>
      </c>
      <c r="Q11" s="133">
        <v>9999</v>
      </c>
      <c r="R11" s="133">
        <v>22</v>
      </c>
    </row>
    <row r="12" spans="1:18" ht="15" customHeight="1" x14ac:dyDescent="0.35">
      <c r="A12" s="57" t="s">
        <v>1688</v>
      </c>
      <c r="B12" s="53">
        <f>(E6-36)*1</f>
        <v>1764</v>
      </c>
      <c r="C12" s="53">
        <f t="shared" ref="C12:C20" si="0">ROUNDUP(B12/6400,0)</f>
        <v>1</v>
      </c>
      <c r="D12" s="53">
        <f>CHOOSE($E$4,3140,3370,4980,6076,6365)</f>
        <v>3140</v>
      </c>
      <c r="E12" s="53">
        <f t="shared" ref="E12:E20" si="1">C12*D12*mult_euro</f>
        <v>3140</v>
      </c>
      <c r="J12" s="64" t="s">
        <v>1456</v>
      </c>
      <c r="K12" s="64">
        <v>6</v>
      </c>
      <c r="L12" s="64">
        <v>0</v>
      </c>
      <c r="M12" s="133">
        <v>2700</v>
      </c>
      <c r="N12" s="133">
        <v>11</v>
      </c>
      <c r="O12" s="133">
        <v>9999</v>
      </c>
      <c r="P12" s="133">
        <v>16</v>
      </c>
      <c r="Q12" s="133">
        <v>9999</v>
      </c>
      <c r="R12" s="133">
        <v>16</v>
      </c>
    </row>
    <row r="13" spans="1:18" ht="15" customHeight="1" x14ac:dyDescent="0.35">
      <c r="A13" s="57" t="s">
        <v>1689</v>
      </c>
      <c r="B13" s="53">
        <f>(E6-36)*1</f>
        <v>1764</v>
      </c>
      <c r="C13" s="53">
        <f t="shared" si="0"/>
        <v>1</v>
      </c>
      <c r="D13" s="53">
        <f>CHOOSE($E$4,1730,1860,2745,3348,3507)</f>
        <v>1730</v>
      </c>
      <c r="E13" s="53">
        <f t="shared" si="1"/>
        <v>1730</v>
      </c>
      <c r="J13" s="64" t="s">
        <v>1457</v>
      </c>
      <c r="K13" s="64">
        <v>6</v>
      </c>
      <c r="L13" s="64">
        <v>2</v>
      </c>
      <c r="M13" s="133">
        <v>2700</v>
      </c>
      <c r="N13" s="133">
        <v>16</v>
      </c>
      <c r="O13" s="133">
        <v>9999</v>
      </c>
      <c r="P13" s="133">
        <v>24</v>
      </c>
      <c r="Q13" s="133">
        <v>9999</v>
      </c>
      <c r="R13" s="133">
        <v>24</v>
      </c>
    </row>
    <row r="14" spans="1:18" ht="15" customHeight="1" x14ac:dyDescent="0.35">
      <c r="A14" s="57" t="s">
        <v>1690</v>
      </c>
      <c r="B14" s="53">
        <f>E7*2</f>
        <v>5600</v>
      </c>
      <c r="C14" s="53">
        <f t="shared" si="0"/>
        <v>1</v>
      </c>
      <c r="D14" s="53">
        <f>CHOOSE($E$4,1065,1140,1685,2061,2159)</f>
        <v>1065</v>
      </c>
      <c r="E14" s="53">
        <f t="shared" si="1"/>
        <v>1065</v>
      </c>
      <c r="J14" s="64" t="s">
        <v>1460</v>
      </c>
      <c r="K14" s="64">
        <v>6</v>
      </c>
      <c r="L14" s="64">
        <v>0</v>
      </c>
      <c r="M14" s="133">
        <v>2500</v>
      </c>
      <c r="N14" s="133">
        <v>14</v>
      </c>
      <c r="O14" s="133">
        <v>3000</v>
      </c>
      <c r="P14" s="133">
        <v>18</v>
      </c>
      <c r="Q14" s="133">
        <v>9999</v>
      </c>
      <c r="R14" s="133">
        <v>22</v>
      </c>
    </row>
    <row r="15" spans="1:18" ht="15" customHeight="1" x14ac:dyDescent="0.35">
      <c r="A15" s="57" t="s">
        <v>1691</v>
      </c>
      <c r="B15" s="53">
        <f>(E7-120)*2</f>
        <v>5360</v>
      </c>
      <c r="C15" s="53">
        <f t="shared" si="0"/>
        <v>1</v>
      </c>
      <c r="D15" s="53">
        <f>CHOOSE($E$4,475,510,750,919,963)</f>
        <v>475</v>
      </c>
      <c r="E15" s="53">
        <f t="shared" si="1"/>
        <v>475</v>
      </c>
      <c r="J15" s="64" t="s">
        <v>1464</v>
      </c>
      <c r="K15" s="64">
        <v>7</v>
      </c>
      <c r="L15" s="64">
        <v>0</v>
      </c>
      <c r="M15" s="133">
        <v>2700</v>
      </c>
      <c r="N15" s="133">
        <v>15</v>
      </c>
      <c r="O15" s="133">
        <v>9999</v>
      </c>
      <c r="P15" s="133">
        <v>22</v>
      </c>
      <c r="Q15" s="133">
        <v>9999</v>
      </c>
      <c r="R15" s="133">
        <v>22</v>
      </c>
    </row>
    <row r="16" spans="1:18" ht="15" customHeight="1" x14ac:dyDescent="0.35">
      <c r="A16" s="57" t="s">
        <v>1692</v>
      </c>
      <c r="B16" s="53">
        <f>(E6-36)*1</f>
        <v>1764</v>
      </c>
      <c r="C16" s="53">
        <f t="shared" si="0"/>
        <v>1</v>
      </c>
      <c r="D16" s="53">
        <f>CHOOSE($E$4,230,245,360,445,466)</f>
        <v>230</v>
      </c>
      <c r="E16" s="53">
        <f t="shared" si="1"/>
        <v>230</v>
      </c>
      <c r="J16" s="64" t="s">
        <v>1465</v>
      </c>
      <c r="K16" s="64">
        <v>7</v>
      </c>
      <c r="L16" s="64">
        <v>0</v>
      </c>
      <c r="M16" s="133">
        <v>2700</v>
      </c>
      <c r="N16" s="133">
        <v>17</v>
      </c>
      <c r="O16" s="133">
        <v>9999</v>
      </c>
      <c r="P16" s="133">
        <v>24</v>
      </c>
      <c r="Q16" s="133">
        <v>9999</v>
      </c>
      <c r="R16" s="133">
        <v>24</v>
      </c>
    </row>
    <row r="17" spans="1:18" ht="15" customHeight="1" x14ac:dyDescent="0.35">
      <c r="A17" s="57" t="s">
        <v>1693</v>
      </c>
      <c r="B17" s="53">
        <f>(E7-94)*(2*B4)+E5*(2*B4)</f>
        <v>14204</v>
      </c>
      <c r="C17" s="53">
        <f t="shared" si="0"/>
        <v>3</v>
      </c>
      <c r="D17" s="53">
        <f>CHOOSE($E$4,1670,1795,2650,3232,3385)</f>
        <v>1670</v>
      </c>
      <c r="E17" s="53">
        <f t="shared" si="1"/>
        <v>5010</v>
      </c>
      <c r="J17" s="64" t="s">
        <v>1466</v>
      </c>
      <c r="K17" s="64">
        <v>7</v>
      </c>
      <c r="L17" s="64">
        <v>0</v>
      </c>
      <c r="M17" s="133">
        <v>2700</v>
      </c>
      <c r="N17" s="133">
        <v>18</v>
      </c>
      <c r="O17" s="133">
        <v>9999</v>
      </c>
      <c r="P17" s="133">
        <v>26</v>
      </c>
      <c r="Q17" s="133">
        <v>9999</v>
      </c>
      <c r="R17" s="133">
        <v>26</v>
      </c>
    </row>
    <row r="18" spans="1:18" ht="15" customHeight="1" x14ac:dyDescent="0.35">
      <c r="A18" s="57" t="s">
        <v>1694</v>
      </c>
      <c r="B18" s="53">
        <f>IF(ISNUMBER(SEARCH("เปิดกลาง",B5)),(E7-94)*E2,0)</f>
        <v>0</v>
      </c>
      <c r="C18" s="53">
        <f t="shared" si="0"/>
        <v>0</v>
      </c>
      <c r="D18" s="53">
        <f>CHOOSE($E$4,540,580,855,1045,1095)</f>
        <v>540</v>
      </c>
      <c r="E18" s="53">
        <f t="shared" si="1"/>
        <v>0</v>
      </c>
      <c r="J18" s="64" t="s">
        <v>1468</v>
      </c>
      <c r="K18" s="64">
        <v>7</v>
      </c>
      <c r="L18" s="64">
        <v>0</v>
      </c>
      <c r="M18" s="133">
        <v>2500</v>
      </c>
      <c r="N18" s="133">
        <v>18</v>
      </c>
      <c r="O18" s="133">
        <v>3000</v>
      </c>
      <c r="P18" s="133">
        <v>26</v>
      </c>
      <c r="Q18" s="133">
        <v>9999</v>
      </c>
      <c r="R18" s="133">
        <v>34</v>
      </c>
    </row>
    <row r="19" spans="1:18" ht="15" customHeight="1" x14ac:dyDescent="0.35">
      <c r="A19" s="57" t="s">
        <v>1695</v>
      </c>
      <c r="B19" s="53">
        <f>(E7-80)*1</f>
        <v>2720</v>
      </c>
      <c r="C19" s="53">
        <f t="shared" si="0"/>
        <v>1</v>
      </c>
      <c r="D19" s="53">
        <f>CHOOSE($E$4,965,1035,1525,1867,1956)</f>
        <v>965</v>
      </c>
      <c r="E19" s="53">
        <f t="shared" si="1"/>
        <v>965</v>
      </c>
      <c r="J19" s="64" t="s">
        <v>1478</v>
      </c>
      <c r="K19" s="64">
        <v>8</v>
      </c>
      <c r="L19" s="64">
        <v>1</v>
      </c>
      <c r="M19" s="133">
        <v>2700</v>
      </c>
      <c r="N19" s="133">
        <v>19</v>
      </c>
      <c r="O19" s="133">
        <v>9999</v>
      </c>
      <c r="P19" s="133">
        <v>28</v>
      </c>
      <c r="Q19" s="133">
        <v>9999</v>
      </c>
      <c r="R19" s="133">
        <v>28</v>
      </c>
    </row>
    <row r="20" spans="1:18" ht="15" customHeight="1" x14ac:dyDescent="0.35">
      <c r="A20" s="57" t="s">
        <v>1696</v>
      </c>
      <c r="B20" s="53">
        <f>(E7-254)*(2*B4)+(E5-120)*(2*B4)</f>
        <v>13084</v>
      </c>
      <c r="C20" s="53">
        <f t="shared" si="0"/>
        <v>3</v>
      </c>
      <c r="D20" s="53">
        <f>CHOOSE($E$4,340,365,535,658,689)</f>
        <v>340</v>
      </c>
      <c r="E20" s="53">
        <f t="shared" si="1"/>
        <v>1020</v>
      </c>
      <c r="J20" s="64" t="s">
        <v>1480</v>
      </c>
      <c r="K20" s="64">
        <v>8</v>
      </c>
      <c r="L20" s="64">
        <v>0</v>
      </c>
      <c r="M20" s="133">
        <v>2700</v>
      </c>
      <c r="N20" s="133">
        <v>15</v>
      </c>
      <c r="O20" s="133">
        <v>9999</v>
      </c>
      <c r="P20" s="133">
        <v>22</v>
      </c>
      <c r="Q20" s="133">
        <v>9999</v>
      </c>
      <c r="R20" s="133">
        <v>22</v>
      </c>
    </row>
    <row r="21" spans="1:18" ht="15" customHeight="1" x14ac:dyDescent="0.35">
      <c r="A21" s="57" t="s">
        <v>1697</v>
      </c>
      <c r="J21" s="64" t="s">
        <v>1482</v>
      </c>
      <c r="K21" s="64">
        <v>8</v>
      </c>
      <c r="L21" s="64">
        <v>2</v>
      </c>
      <c r="M21" s="133">
        <v>2700</v>
      </c>
      <c r="N21" s="133">
        <v>22</v>
      </c>
      <c r="O21" s="133">
        <v>9999</v>
      </c>
      <c r="P21" s="133">
        <v>32</v>
      </c>
      <c r="Q21" s="133">
        <v>9999</v>
      </c>
      <c r="R21" s="133">
        <v>32</v>
      </c>
    </row>
    <row r="22" spans="1:18" ht="15" customHeight="1" x14ac:dyDescent="0.35">
      <c r="A22" s="57" t="s">
        <v>1698</v>
      </c>
      <c r="C22" s="53">
        <f>1</f>
        <v>1</v>
      </c>
      <c r="D22" s="53">
        <v>299</v>
      </c>
      <c r="E22" s="53">
        <f t="shared" ref="E22:E30" si="2">C22*D22</f>
        <v>299</v>
      </c>
      <c r="J22" s="64" t="s">
        <v>1484</v>
      </c>
      <c r="K22" s="64">
        <v>8</v>
      </c>
      <c r="L22" s="64">
        <v>0</v>
      </c>
      <c r="M22" s="133">
        <v>2700</v>
      </c>
      <c r="N22" s="133">
        <v>18</v>
      </c>
      <c r="O22" s="133">
        <v>9999</v>
      </c>
      <c r="P22" s="133">
        <v>26</v>
      </c>
      <c r="Q22" s="133">
        <v>9999</v>
      </c>
      <c r="R22" s="133">
        <v>26</v>
      </c>
    </row>
    <row r="23" spans="1:18" ht="15" customHeight="1" x14ac:dyDescent="0.35">
      <c r="A23" s="57" t="s">
        <v>1699</v>
      </c>
      <c r="C23" s="53">
        <f>$E$3</f>
        <v>10</v>
      </c>
      <c r="D23" s="53">
        <v>72</v>
      </c>
      <c r="E23" s="53">
        <f t="shared" si="2"/>
        <v>720</v>
      </c>
      <c r="J23" s="64" t="s">
        <v>1486</v>
      </c>
      <c r="K23" s="64">
        <v>8</v>
      </c>
      <c r="L23" s="64">
        <v>2</v>
      </c>
      <c r="M23" s="133">
        <v>2700</v>
      </c>
      <c r="N23" s="133">
        <v>22</v>
      </c>
      <c r="O23" s="133">
        <v>9999</v>
      </c>
      <c r="P23" s="133">
        <v>32</v>
      </c>
      <c r="Q23" s="133">
        <v>9999</v>
      </c>
      <c r="R23" s="133">
        <v>32</v>
      </c>
    </row>
    <row r="24" spans="1:18" ht="15" customHeight="1" x14ac:dyDescent="0.35">
      <c r="A24" s="57" t="s">
        <v>1700</v>
      </c>
      <c r="C24" s="53">
        <f>1</f>
        <v>1</v>
      </c>
      <c r="D24" s="53">
        <v>109</v>
      </c>
      <c r="E24" s="53">
        <f t="shared" si="2"/>
        <v>109</v>
      </c>
      <c r="J24" s="64" t="s">
        <v>1496</v>
      </c>
      <c r="K24" s="64">
        <v>9</v>
      </c>
      <c r="L24" s="64">
        <v>0</v>
      </c>
      <c r="M24" s="133">
        <v>2700</v>
      </c>
      <c r="N24" s="133">
        <v>19</v>
      </c>
      <c r="O24" s="133">
        <v>9999</v>
      </c>
      <c r="P24" s="133">
        <v>28</v>
      </c>
      <c r="Q24" s="133">
        <v>9999</v>
      </c>
      <c r="R24" s="133">
        <v>28</v>
      </c>
    </row>
    <row r="25" spans="1:18" ht="15" customHeight="1" x14ac:dyDescent="0.35">
      <c r="A25" s="57" t="s">
        <v>1701</v>
      </c>
      <c r="C25" s="53">
        <f>1</f>
        <v>1</v>
      </c>
      <c r="D25" s="53">
        <v>199</v>
      </c>
      <c r="E25" s="53">
        <f t="shared" si="2"/>
        <v>199</v>
      </c>
      <c r="J25" s="64" t="s">
        <v>1498</v>
      </c>
      <c r="K25" s="64">
        <v>9</v>
      </c>
      <c r="L25" s="64">
        <v>0</v>
      </c>
      <c r="M25" s="133">
        <v>2700</v>
      </c>
      <c r="N25" s="133">
        <v>21</v>
      </c>
      <c r="O25" s="133">
        <v>9999</v>
      </c>
      <c r="P25" s="133">
        <v>30</v>
      </c>
      <c r="Q25" s="133">
        <v>9999</v>
      </c>
      <c r="R25" s="133">
        <v>30</v>
      </c>
    </row>
    <row r="26" spans="1:18" ht="15" customHeight="1" x14ac:dyDescent="0.35">
      <c r="A26" s="57" t="s">
        <v>1702</v>
      </c>
      <c r="C26" s="53">
        <f>1</f>
        <v>1</v>
      </c>
      <c r="D26" s="53">
        <v>85</v>
      </c>
      <c r="E26" s="53">
        <f t="shared" si="2"/>
        <v>85</v>
      </c>
      <c r="J26" s="64" t="s">
        <v>1500</v>
      </c>
      <c r="K26" s="64">
        <v>9</v>
      </c>
      <c r="L26" s="64">
        <v>0</v>
      </c>
      <c r="M26" s="133">
        <v>2700</v>
      </c>
      <c r="N26" s="133">
        <v>22</v>
      </c>
      <c r="O26" s="133">
        <v>9999</v>
      </c>
      <c r="P26" s="133">
        <v>32</v>
      </c>
      <c r="Q26" s="133">
        <v>9999</v>
      </c>
      <c r="R26" s="133">
        <v>32</v>
      </c>
    </row>
    <row r="27" spans="1:18" ht="15" customHeight="1" x14ac:dyDescent="0.35">
      <c r="A27" s="57" t="s">
        <v>1703</v>
      </c>
      <c r="C27" s="53">
        <f>1</f>
        <v>1</v>
      </c>
      <c r="D27" s="53">
        <v>88</v>
      </c>
      <c r="E27" s="53">
        <f t="shared" si="2"/>
        <v>88</v>
      </c>
      <c r="J27" s="64" t="s">
        <v>1501</v>
      </c>
      <c r="K27" s="64">
        <v>9</v>
      </c>
      <c r="L27" s="64">
        <v>0</v>
      </c>
      <c r="M27" s="133">
        <v>2700</v>
      </c>
      <c r="N27" s="133">
        <v>22</v>
      </c>
      <c r="O27" s="133">
        <v>9999</v>
      </c>
      <c r="P27" s="133">
        <v>32</v>
      </c>
      <c r="Q27" s="133">
        <v>9999</v>
      </c>
      <c r="R27" s="133">
        <v>32</v>
      </c>
    </row>
    <row r="28" spans="1:18" ht="15" customHeight="1" x14ac:dyDescent="0.35">
      <c r="A28" s="57" t="s">
        <v>1704</v>
      </c>
      <c r="C28" s="53">
        <f>2</f>
        <v>2</v>
      </c>
      <c r="D28" s="53">
        <v>73</v>
      </c>
      <c r="E28" s="53">
        <f t="shared" si="2"/>
        <v>146</v>
      </c>
      <c r="J28" s="64" t="s">
        <v>1502</v>
      </c>
      <c r="K28" s="64">
        <v>9</v>
      </c>
      <c r="L28" s="64">
        <v>0</v>
      </c>
      <c r="M28" s="133">
        <v>2700</v>
      </c>
      <c r="N28" s="133">
        <v>22</v>
      </c>
      <c r="O28" s="133">
        <v>9999</v>
      </c>
      <c r="P28" s="133">
        <v>32</v>
      </c>
      <c r="Q28" s="133">
        <v>9999</v>
      </c>
      <c r="R28" s="133">
        <v>32</v>
      </c>
    </row>
    <row r="29" spans="1:18" ht="15" customHeight="1" x14ac:dyDescent="0.35">
      <c r="A29" s="57" t="s">
        <v>1705</v>
      </c>
      <c r="C29" s="53">
        <f>4*B4</f>
        <v>8</v>
      </c>
      <c r="D29" s="53">
        <v>15</v>
      </c>
      <c r="E29" s="53">
        <f t="shared" si="2"/>
        <v>120</v>
      </c>
      <c r="J29" s="64" t="s">
        <v>1512</v>
      </c>
      <c r="K29" s="64">
        <v>10</v>
      </c>
      <c r="L29" s="64">
        <v>1</v>
      </c>
      <c r="M29" s="133">
        <v>2700</v>
      </c>
      <c r="N29" s="133">
        <v>23</v>
      </c>
      <c r="O29" s="133">
        <v>9999</v>
      </c>
      <c r="P29" s="133">
        <v>34</v>
      </c>
      <c r="Q29" s="133">
        <v>9999</v>
      </c>
      <c r="R29" s="133">
        <v>34</v>
      </c>
    </row>
    <row r="30" spans="1:18" ht="15" customHeight="1" x14ac:dyDescent="0.35">
      <c r="A30" s="57" t="s">
        <v>1706</v>
      </c>
      <c r="C30" s="53">
        <f>12*B4</f>
        <v>24</v>
      </c>
      <c r="D30" s="53">
        <v>1.5</v>
      </c>
      <c r="E30" s="53">
        <f t="shared" si="2"/>
        <v>36</v>
      </c>
      <c r="J30" s="64" t="s">
        <v>1514</v>
      </c>
      <c r="K30" s="64">
        <v>10</v>
      </c>
      <c r="L30" s="64">
        <v>0</v>
      </c>
      <c r="M30" s="133">
        <v>2700</v>
      </c>
      <c r="N30" s="133">
        <v>20</v>
      </c>
      <c r="O30" s="133">
        <v>9999</v>
      </c>
      <c r="P30" s="133">
        <v>30</v>
      </c>
      <c r="Q30" s="133">
        <v>9999</v>
      </c>
      <c r="R30" s="133">
        <v>30</v>
      </c>
    </row>
    <row r="31" spans="1:18" ht="15" customHeight="1" x14ac:dyDescent="0.35">
      <c r="A31" s="57" t="s">
        <v>1707</v>
      </c>
      <c r="J31" s="64" t="s">
        <v>1516</v>
      </c>
      <c r="K31" s="64">
        <v>10</v>
      </c>
      <c r="L31" s="64">
        <v>2</v>
      </c>
      <c r="M31" s="133">
        <v>2700</v>
      </c>
      <c r="N31" s="133">
        <v>26</v>
      </c>
      <c r="O31" s="133">
        <v>9999</v>
      </c>
      <c r="P31" s="133">
        <v>38</v>
      </c>
      <c r="Q31" s="133">
        <v>9999</v>
      </c>
      <c r="R31" s="133">
        <v>38</v>
      </c>
    </row>
    <row r="32" spans="1:18" ht="15" customHeight="1" x14ac:dyDescent="0.35">
      <c r="A32" s="57" t="s">
        <v>1708</v>
      </c>
      <c r="B32" s="53">
        <f>((E6-36)+(E6-36)+E7+(E7-120)*2+(E7-94)*(2*B4)*2+(E7-94)*(2*B4)*2+E5*3+(E7-80))/1000</f>
        <v>60.238999999999997</v>
      </c>
      <c r="C32" s="53">
        <f>ROUND(B32,1)</f>
        <v>60.2</v>
      </c>
      <c r="D32" s="53">
        <v>7</v>
      </c>
      <c r="E32" s="53">
        <f>C32*D32</f>
        <v>421.40000000000003</v>
      </c>
      <c r="J32" s="64" t="s">
        <v>1517</v>
      </c>
      <c r="K32" s="64">
        <v>10</v>
      </c>
      <c r="L32" s="64">
        <v>0</v>
      </c>
      <c r="M32" s="133">
        <v>2700</v>
      </c>
      <c r="N32" s="133">
        <v>22</v>
      </c>
      <c r="O32" s="133">
        <v>9999</v>
      </c>
      <c r="P32" s="133">
        <v>28</v>
      </c>
      <c r="Q32" s="133">
        <v>9999</v>
      </c>
      <c r="R32" s="133">
        <v>28</v>
      </c>
    </row>
    <row r="33" spans="1:18" ht="15" customHeight="1" x14ac:dyDescent="0.35">
      <c r="A33" s="57" t="s">
        <v>1709</v>
      </c>
      <c r="B33" s="53">
        <f>((E7-94)*2+(E7-80)*2)/1000</f>
        <v>10.852</v>
      </c>
      <c r="C33" s="53">
        <f>ROUND(B33,1)</f>
        <v>10.9</v>
      </c>
      <c r="D33" s="53">
        <v>1.22</v>
      </c>
      <c r="E33" s="53">
        <f>C33*D33</f>
        <v>13.298</v>
      </c>
      <c r="J33" s="64" t="s">
        <v>1519</v>
      </c>
      <c r="K33" s="64">
        <v>10</v>
      </c>
      <c r="L33" s="64">
        <v>2</v>
      </c>
      <c r="M33" s="133">
        <v>2700</v>
      </c>
      <c r="N33" s="133">
        <v>26</v>
      </c>
      <c r="O33" s="133">
        <v>9999</v>
      </c>
      <c r="P33" s="133">
        <v>38</v>
      </c>
      <c r="Q33" s="133">
        <v>9999</v>
      </c>
      <c r="R33" s="133">
        <v>38</v>
      </c>
    </row>
    <row r="34" spans="1:18" ht="15" customHeight="1" x14ac:dyDescent="0.35">
      <c r="A34" s="57" t="s">
        <v>1710</v>
      </c>
      <c r="B34" s="53">
        <f>(((E7-224)+(E5-130))*2)*B4/1000</f>
        <v>13.164</v>
      </c>
      <c r="C34" s="53">
        <f>ROUND(B34,1)</f>
        <v>13.2</v>
      </c>
      <c r="D34" s="53">
        <v>8</v>
      </c>
      <c r="E34" s="53">
        <f>C34*D34</f>
        <v>105.6</v>
      </c>
      <c r="J34" s="64" t="s">
        <v>1521</v>
      </c>
      <c r="K34" s="64">
        <v>10</v>
      </c>
      <c r="L34" s="64">
        <v>0</v>
      </c>
      <c r="M34" s="133">
        <v>2700</v>
      </c>
      <c r="N34" s="133">
        <v>22</v>
      </c>
      <c r="O34" s="133">
        <v>9999</v>
      </c>
      <c r="P34" s="133">
        <v>28</v>
      </c>
      <c r="Q34" s="133">
        <v>9999</v>
      </c>
      <c r="R34" s="133">
        <v>28</v>
      </c>
    </row>
    <row r="35" spans="1:18" ht="15" customHeight="1" x14ac:dyDescent="0.35">
      <c r="A35" s="57" t="s">
        <v>1711</v>
      </c>
      <c r="B35" s="53">
        <f>(((E7-224)+(E5-130))*2)*B4/1000</f>
        <v>13.164</v>
      </c>
      <c r="C35" s="53">
        <f>ROUND(B35,1)</f>
        <v>13.2</v>
      </c>
      <c r="D35" s="53">
        <v>8</v>
      </c>
      <c r="E35" s="53">
        <f>C35*D35</f>
        <v>105.6</v>
      </c>
    </row>
    <row r="36" spans="1:18" ht="15" customHeight="1" x14ac:dyDescent="0.35">
      <c r="A36" s="57" t="s">
        <v>1259</v>
      </c>
      <c r="B36" s="53">
        <f>B7</f>
        <v>5.04</v>
      </c>
      <c r="C36" s="53">
        <f>B36</f>
        <v>5.04</v>
      </c>
      <c r="D36" s="53">
        <f>C10</f>
        <v>264</v>
      </c>
      <c r="E36" s="53">
        <f>B7*C10</f>
        <v>1330.56</v>
      </c>
    </row>
    <row r="37" spans="1:18" ht="15" customHeight="1" x14ac:dyDescent="0.35">
      <c r="A37" s="57" t="s">
        <v>1712</v>
      </c>
      <c r="E37" s="53">
        <f>IF(B6="รางยู",ROUNDUP(B2/600,0)*(IF(F10="สีอบขาว/ดำ",305,IF(F10="เทาซาฮาร่า",VLOOKUP("B24017",ราคาสี!$A:$F,5,0),IF(F10="ลายไม้ stock",(VLOOKUP("B24017",ราคาสี!$A:$F,6,0)*mult_wood/mult_euro),305+IF(F10="สีอบพิเศษ",rate_special,rate_woodbake)*1.6944))))+ROUND(200*B2/100,0),0)</f>
        <v>0</v>
      </c>
    </row>
    <row r="38" spans="1:18" x14ac:dyDescent="0.35">
      <c r="A38" t="s">
        <v>1386</v>
      </c>
      <c r="E38">
        <f>IF(OR(F10="สีอบพิเศษ",F10="สีลายไม้อบพิเศษ"),2000,0)</f>
        <v>0</v>
      </c>
    </row>
    <row r="39" spans="1:18" ht="15" customHeight="1" x14ac:dyDescent="0.35">
      <c r="A39" s="69" t="s">
        <v>1268</v>
      </c>
      <c r="E39" s="70">
        <f>SUM(E12:E38)+E54</f>
        <v>17413.458000000002</v>
      </c>
    </row>
    <row r="40" spans="1:18" ht="15" customHeight="1" x14ac:dyDescent="0.35">
      <c r="A40" s="69" t="s">
        <v>1125</v>
      </c>
      <c r="E40" s="70">
        <f>E39/B7</f>
        <v>3455.0511904761911</v>
      </c>
    </row>
    <row r="41" spans="1:18" ht="15" customHeight="1" x14ac:dyDescent="0.35">
      <c r="A41" s="69" t="s">
        <v>1713</v>
      </c>
      <c r="E41" s="28">
        <f>ROUNDUP(E40*(1+B8/100)/100,0)*100</f>
        <v>7000</v>
      </c>
    </row>
    <row r="42" spans="1:18" ht="15" customHeight="1" x14ac:dyDescent="0.35">
      <c r="A42" s="69" t="s">
        <v>1275</v>
      </c>
      <c r="E42" s="28">
        <f>B7*E41</f>
        <v>35280</v>
      </c>
    </row>
    <row r="43" spans="1:18" ht="15" customHeight="1" x14ac:dyDescent="0.35">
      <c r="A43" s="69" t="s">
        <v>1273</v>
      </c>
      <c r="E43" s="29">
        <f>(E42-E39)/E39</f>
        <v>1.026019185850392</v>
      </c>
    </row>
    <row r="45" spans="1:18" x14ac:dyDescent="0.35">
      <c r="A45" s="25" t="s">
        <v>1289</v>
      </c>
    </row>
    <row r="46" spans="1:18" x14ac:dyDescent="0.35">
      <c r="A46" s="64" t="s">
        <v>1290</v>
      </c>
      <c r="E46" s="26">
        <f>ROUND(VLOOKUP("บานเฟี้ยมยูโร",ค่าแรง!$A$12:$E$27,2,0)*B4,0)</f>
        <v>704</v>
      </c>
    </row>
    <row r="47" spans="1:18" x14ac:dyDescent="0.35">
      <c r="A47" s="64" t="s">
        <v>1291</v>
      </c>
      <c r="E47" s="26">
        <f>ROUND(VLOOKUP("บานเฟี้ยมยูโร",ค่าแรง!$A$12:$E$27,4,0)*B4,0)</f>
        <v>352</v>
      </c>
    </row>
    <row r="48" spans="1:18" x14ac:dyDescent="0.35">
      <c r="A48" s="64" t="s">
        <v>1292</v>
      </c>
      <c r="B48" s="27">
        <v>100</v>
      </c>
    </row>
    <row r="49" spans="1:11" x14ac:dyDescent="0.35">
      <c r="A49" s="25" t="s">
        <v>1293</v>
      </c>
      <c r="E49" s="28">
        <f>ROUNDUP((E39+E46)*(1+B8/100)/100,0)*100</f>
        <v>36300</v>
      </c>
    </row>
    <row r="50" spans="1:11" x14ac:dyDescent="0.35">
      <c r="A50" s="25" t="s">
        <v>1294</v>
      </c>
      <c r="E50" s="28">
        <f>E49+ROUNDUP(E47*(1+B48/100)/100,0)*100</f>
        <v>37100</v>
      </c>
    </row>
    <row r="51" spans="1:11" x14ac:dyDescent="0.35">
      <c r="A51" s="25" t="s">
        <v>1295</v>
      </c>
      <c r="E51" s="29">
        <f>(E50-(E39+E46+E47))/(E39+E46+E47)</f>
        <v>1.0087216419669702</v>
      </c>
    </row>
    <row r="52" spans="1:11" x14ac:dyDescent="0.35">
      <c r="A52" s="321" t="s">
        <v>1657</v>
      </c>
    </row>
    <row r="53" spans="1:11" x14ac:dyDescent="0.35">
      <c r="A53" t="s">
        <v>1279</v>
      </c>
      <c r="B53" s="193" t="s">
        <v>670</v>
      </c>
    </row>
    <row r="54" spans="1:11" x14ac:dyDescent="0.35">
      <c r="A54" s="333" t="s">
        <v>1326</v>
      </c>
      <c r="E54" s="334">
        <f>IF(B53="ไม่มีมุ้ง",0,ROUND((VLOOKUP(B53,ราคามุ้ง!$A:$F,2,0)+VLOOKUP(B53,ราคามุ้ง!$A:$F,6,0))*B7,0))</f>
        <v>0</v>
      </c>
    </row>
    <row r="55" spans="1:11" x14ac:dyDescent="0.3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x14ac:dyDescent="0.35">
      <c r="A56" s="381"/>
      <c r="B56" s="153"/>
      <c r="C56" s="153"/>
      <c r="D56" s="153"/>
      <c r="E56" s="153"/>
      <c r="F56" s="153"/>
      <c r="G56" s="153"/>
      <c r="H56" s="153"/>
      <c r="I56" s="153"/>
      <c r="J56" s="153"/>
      <c r="K56" s="153"/>
    </row>
    <row r="57" spans="1:11" x14ac:dyDescent="0.35">
      <c r="A57" s="382"/>
      <c r="B57" s="383"/>
      <c r="C57" s="153"/>
      <c r="D57" s="153"/>
      <c r="E57" s="153"/>
      <c r="F57" s="153"/>
      <c r="G57" s="153"/>
      <c r="H57" s="153"/>
      <c r="I57" s="153"/>
      <c r="J57" s="153"/>
      <c r="K57" s="153"/>
    </row>
    <row r="58" spans="1:11" x14ac:dyDescent="0.35">
      <c r="A58" s="382"/>
      <c r="B58" s="383"/>
      <c r="C58" s="153"/>
      <c r="D58" s="153"/>
      <c r="E58" s="153"/>
      <c r="F58" s="153"/>
      <c r="G58" s="153"/>
      <c r="H58" s="153"/>
      <c r="I58" s="153"/>
      <c r="J58" s="153"/>
      <c r="K58" s="153"/>
    </row>
    <row r="59" spans="1:11" x14ac:dyDescent="0.35">
      <c r="A59" s="382"/>
      <c r="B59" s="38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x14ac:dyDescent="0.35">
      <c r="A60" s="382"/>
      <c r="B60" s="384"/>
      <c r="C60" s="153"/>
      <c r="D60" s="153"/>
      <c r="E60" s="153"/>
      <c r="F60" s="153"/>
      <c r="G60" s="153"/>
      <c r="H60" s="153"/>
      <c r="I60" s="153"/>
      <c r="J60" s="153"/>
      <c r="K60" s="153"/>
    </row>
    <row r="61" spans="1:11" x14ac:dyDescent="0.35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</row>
    <row r="62" spans="1:11" x14ac:dyDescent="0.35">
      <c r="A62" s="375" t="s">
        <v>1269</v>
      </c>
    </row>
    <row r="63" spans="1:11" x14ac:dyDescent="0.35">
      <c r="A63" s="376" t="s">
        <v>1270</v>
      </c>
      <c r="B63" s="377">
        <f>E12+E13+E14+E15+E16+E17+E18+E19+E29+E30+E37</f>
        <v>12771</v>
      </c>
    </row>
    <row r="64" spans="1:11" x14ac:dyDescent="0.35">
      <c r="A64" s="378" t="s">
        <v>1272</v>
      </c>
      <c r="B64" s="379">
        <f>E20+E36</f>
        <v>2350.56</v>
      </c>
    </row>
    <row r="65" spans="1:2" x14ac:dyDescent="0.35">
      <c r="A65" s="378" t="s">
        <v>1274</v>
      </c>
      <c r="B65" s="379">
        <f>E22+E23+E24+E25+E26+E27+E28+E32+E33+E34+E35+E38</f>
        <v>2291.8979999999997</v>
      </c>
    </row>
    <row r="66" spans="1:2" x14ac:dyDescent="0.35">
      <c r="A66" s="378" t="s">
        <v>1276</v>
      </c>
      <c r="B66" s="380">
        <f>B63+B64+B65</f>
        <v>17413.457999999999</v>
      </c>
    </row>
  </sheetData>
  <mergeCells count="1">
    <mergeCell ref="A1:E1"/>
  </mergeCells>
  <dataValidations count="5">
    <dataValidation type="list" sqref="B5" xr:uid="{00000000-0002-0000-1900-000000000000}">
      <formula1>$J$2:$J$38</formula1>
      <formula2>0</formula2>
    </dataValidation>
    <dataValidation type="list" sqref="B6" xr:uid="{00000000-0002-0000-1900-000001000000}">
      <formula1>"ปกติ,รางยู"</formula1>
      <formula2>0</formula2>
    </dataValidation>
    <dataValidation type="list" sqref="B10" xr:uid="{00000000-0002-0000-1900-000002000000}">
      <formula1>GlassNames</formula1>
      <formula2>0</formula2>
    </dataValidation>
    <dataValidation type="list" allowBlank="1" sqref="F10" xr:uid="{00000000-0002-0000-1900-000003000000}">
      <formula1>"สีอบขาว/ดำ,เทาซาฮาร่า,ลายไม้ stock,สีอบพิเศษ,สีลายไม้อบพิเศษ"</formula1>
    </dataValidation>
    <dataValidation type="list" allowBlank="1" sqref="B53" xr:uid="{00000000-0002-0000-1900-000004000000}">
      <formula1>MungReady</formula1>
    </dataValidation>
  </dataValidations>
  <hyperlinks>
    <hyperlink ref="G1" location="'สารบัญ'!A1" display="🏠 สารบัญ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B9BD5"/>
  </sheetPr>
  <dimension ref="A1:K37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15.7265625" customWidth="1"/>
    <col min="3" max="3" width="16.90625" customWidth="1"/>
    <col min="4" max="4" width="17.453125" customWidth="1"/>
    <col min="5" max="5" width="40" customWidth="1"/>
    <col min="7" max="7" width="13" customWidth="1"/>
  </cols>
  <sheetData>
    <row r="1" spans="1:8" ht="24" customHeight="1" x14ac:dyDescent="0.35">
      <c r="A1" s="437" t="s">
        <v>1714</v>
      </c>
      <c r="B1" s="411"/>
      <c r="C1" s="411"/>
      <c r="D1" s="411"/>
      <c r="E1" s="411"/>
      <c r="F1" s="319"/>
      <c r="G1" s="388" t="s">
        <v>78</v>
      </c>
      <c r="H1" s="389"/>
    </row>
    <row r="2" spans="1:8" ht="15" customHeight="1" x14ac:dyDescent="0.35">
      <c r="A2" s="30" t="s">
        <v>1715</v>
      </c>
      <c r="B2" s="27">
        <v>100</v>
      </c>
    </row>
    <row r="3" spans="1:8" ht="15" customHeight="1" x14ac:dyDescent="0.35">
      <c r="A3" s="30" t="s">
        <v>1238</v>
      </c>
      <c r="B3" s="27">
        <v>50</v>
      </c>
    </row>
    <row r="4" spans="1:8" ht="15" customHeight="1" x14ac:dyDescent="0.35">
      <c r="A4" s="30" t="s">
        <v>1558</v>
      </c>
      <c r="B4" s="27" t="s">
        <v>778</v>
      </c>
    </row>
    <row r="5" spans="1:8" ht="15" customHeight="1" x14ac:dyDescent="0.35">
      <c r="A5" s="30" t="s">
        <v>1716</v>
      </c>
      <c r="B5" s="27">
        <f>INDEX(ราคาวัสดุกลาง!$I$2:$I$106,MATCH(B4,ราคาวัสดุกลาง!$H$2:$H$106,0))</f>
        <v>264</v>
      </c>
    </row>
    <row r="6" spans="1:8" ht="15" customHeight="1" x14ac:dyDescent="0.35">
      <c r="A6" s="30" t="s">
        <v>1245</v>
      </c>
      <c r="B6" s="64">
        <f>(B2/100)*(B3/100)</f>
        <v>0.5</v>
      </c>
    </row>
    <row r="7" spans="1:8" ht="15" customHeight="1" x14ac:dyDescent="0.35">
      <c r="A7" s="30" t="s">
        <v>1247</v>
      </c>
      <c r="B7" s="27">
        <v>100</v>
      </c>
    </row>
    <row r="8" spans="1:8" ht="15" customHeight="1" x14ac:dyDescent="0.35">
      <c r="A8" s="30" t="s">
        <v>1250</v>
      </c>
      <c r="B8" s="27">
        <v>90</v>
      </c>
    </row>
    <row r="9" spans="1:8" x14ac:dyDescent="0.35">
      <c r="A9" t="s">
        <v>1717</v>
      </c>
      <c r="B9">
        <v>1</v>
      </c>
    </row>
    <row r="10" spans="1:8" ht="15" customHeight="1" x14ac:dyDescent="0.35">
      <c r="A10" s="76" t="s">
        <v>482</v>
      </c>
      <c r="B10" s="76" t="s">
        <v>1255</v>
      </c>
      <c r="C10" s="76" t="s">
        <v>1256</v>
      </c>
      <c r="D10" s="76" t="s">
        <v>1257</v>
      </c>
      <c r="E10" s="76" t="s">
        <v>587</v>
      </c>
    </row>
    <row r="11" spans="1:8" ht="15" customHeight="1" x14ac:dyDescent="0.35">
      <c r="A11" s="57" t="s">
        <v>1718</v>
      </c>
      <c r="D11" s="53">
        <f>(ROUNDUP(((B2/100)+(B3/100)+0.4)*1.4*220+1500,0))*B9</f>
        <v>2086</v>
      </c>
      <c r="E11" s="57"/>
    </row>
    <row r="12" spans="1:8" ht="15" customHeight="1" x14ac:dyDescent="0.35">
      <c r="A12" s="57" t="s">
        <v>1259</v>
      </c>
      <c r="B12" s="57">
        <f>B6</f>
        <v>0.5</v>
      </c>
      <c r="C12" s="53">
        <f>B5</f>
        <v>264</v>
      </c>
      <c r="D12" s="53">
        <f>B12*C12</f>
        <v>132</v>
      </c>
    </row>
    <row r="13" spans="1:8" ht="15" customHeight="1" x14ac:dyDescent="0.35">
      <c r="A13" s="57" t="s">
        <v>1265</v>
      </c>
      <c r="B13" s="57">
        <f>ROUNDUP(2*(B2+B3)/100*2/12.5,0)</f>
        <v>1</v>
      </c>
      <c r="C13" s="53">
        <f>B8</f>
        <v>90</v>
      </c>
      <c r="D13" s="53">
        <f>B13*C13</f>
        <v>90</v>
      </c>
    </row>
    <row r="14" spans="1:8" x14ac:dyDescent="0.35">
      <c r="A14" s="30" t="s">
        <v>1719</v>
      </c>
      <c r="D14" s="66">
        <f>ROUNDUP(B2/600,0)*(1267+582)</f>
        <v>1849</v>
      </c>
    </row>
    <row r="15" spans="1:8" ht="15" customHeight="1" x14ac:dyDescent="0.35">
      <c r="A15" s="25" t="s">
        <v>1268</v>
      </c>
      <c r="D15" s="70">
        <f>ROUNDUP(SUM(D11:D14)/100,0)*100</f>
        <v>4200</v>
      </c>
      <c r="E15" s="64" t="s">
        <v>1720</v>
      </c>
    </row>
    <row r="16" spans="1:8" ht="15" customHeight="1" x14ac:dyDescent="0.35">
      <c r="A16" s="25" t="s">
        <v>1125</v>
      </c>
      <c r="D16" s="70">
        <f>IF(B6&gt;0,ROUNDUP(D15/B6,0),0)</f>
        <v>8400</v>
      </c>
    </row>
    <row r="17" spans="1:11" ht="15" customHeight="1" x14ac:dyDescent="0.35">
      <c r="A17" s="25" t="s">
        <v>1350</v>
      </c>
      <c r="D17" s="28">
        <f>ROUNDUP(D16*(1+B7/100)/100,0)*100</f>
        <v>16800</v>
      </c>
    </row>
    <row r="18" spans="1:11" ht="15" customHeight="1" x14ac:dyDescent="0.35">
      <c r="A18" s="25" t="s">
        <v>1275</v>
      </c>
      <c r="D18" s="28">
        <f>B6*D17</f>
        <v>8400</v>
      </c>
    </row>
    <row r="19" spans="1:11" ht="15" customHeight="1" x14ac:dyDescent="0.35">
      <c r="A19" s="25" t="s">
        <v>1351</v>
      </c>
      <c r="D19" s="29">
        <f>(D18-D15)/D15</f>
        <v>1</v>
      </c>
    </row>
    <row r="21" spans="1:11" x14ac:dyDescent="0.35">
      <c r="A21" s="30" t="s">
        <v>1721</v>
      </c>
      <c r="D21" s="66">
        <f>ROUND(VLOOKUP("ตายดัดโค้ง",ค่าแรง!$A$12:$E$27,2,0)+VLOOKUP("ตายดัดโค้ง",ค่าแรง!$A$12:$E$27,3,0)*B6,0)</f>
        <v>624</v>
      </c>
    </row>
    <row r="22" spans="1:11" x14ac:dyDescent="0.35">
      <c r="A22" s="30" t="s">
        <v>1722</v>
      </c>
      <c r="D22" s="66">
        <f>ROUND(VLOOKUP("ตายดัดโค้ง",ค่าแรง!$A$12:$E$27,4,0)+VLOOKUP("ตายดัดโค้ง",ค่าแรง!$A$12:$E$27,5,0)*B6,0)</f>
        <v>272</v>
      </c>
    </row>
    <row r="23" spans="1:11" x14ac:dyDescent="0.35">
      <c r="A23" s="25" t="s">
        <v>1567</v>
      </c>
      <c r="D23" s="123">
        <f>ROUNDUP((D15+D21)*(1+B7/100)/100,0)*100</f>
        <v>9700</v>
      </c>
    </row>
    <row r="24" spans="1:11" x14ac:dyDescent="0.35">
      <c r="A24" s="25" t="s">
        <v>1568</v>
      </c>
      <c r="D24" s="123">
        <f>D23+ROUNDUP(D22*(1+B7/100)/100,0)*100</f>
        <v>10300</v>
      </c>
    </row>
    <row r="25" spans="1:11" x14ac:dyDescent="0.35">
      <c r="A25" s="30" t="s">
        <v>1569</v>
      </c>
      <c r="D25" s="124">
        <f>(D23-(D15+D21))/(D15+D21)</f>
        <v>1.0107794361525704</v>
      </c>
    </row>
    <row r="26" spans="1:11" x14ac:dyDescent="0.35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</row>
    <row r="27" spans="1:11" x14ac:dyDescent="0.35">
      <c r="A27" s="381"/>
      <c r="B27" s="153"/>
      <c r="C27" s="153"/>
      <c r="D27" s="153"/>
      <c r="E27" s="153"/>
      <c r="F27" s="153"/>
      <c r="G27" s="153"/>
      <c r="H27" s="153"/>
      <c r="I27" s="153"/>
      <c r="J27" s="153"/>
      <c r="K27" s="153"/>
    </row>
    <row r="28" spans="1:11" x14ac:dyDescent="0.35">
      <c r="A28" s="382"/>
      <c r="B28" s="383"/>
      <c r="C28" s="153"/>
      <c r="D28" s="153"/>
      <c r="E28" s="153"/>
      <c r="F28" s="153"/>
      <c r="G28" s="153"/>
      <c r="H28" s="153"/>
      <c r="I28" s="153"/>
      <c r="J28" s="153"/>
      <c r="K28" s="153"/>
    </row>
    <row r="29" spans="1:11" x14ac:dyDescent="0.35">
      <c r="A29" s="382"/>
      <c r="B29" s="383"/>
      <c r="C29" s="153"/>
      <c r="D29" s="153"/>
      <c r="E29" s="153"/>
      <c r="F29" s="153"/>
      <c r="G29" s="153"/>
      <c r="H29" s="153"/>
      <c r="I29" s="153"/>
      <c r="J29" s="153"/>
      <c r="K29" s="153"/>
    </row>
    <row r="30" spans="1:11" x14ac:dyDescent="0.35">
      <c r="A30" s="382"/>
      <c r="B30" s="383"/>
      <c r="C30" s="153"/>
      <c r="D30" s="153"/>
      <c r="E30" s="153"/>
      <c r="F30" s="153"/>
      <c r="G30" s="153"/>
      <c r="H30" s="153"/>
      <c r="I30" s="153"/>
      <c r="J30" s="153"/>
      <c r="K30" s="153"/>
    </row>
    <row r="31" spans="1:11" x14ac:dyDescent="0.35">
      <c r="A31" s="382"/>
      <c r="B31" s="384"/>
      <c r="C31" s="153"/>
      <c r="D31" s="153"/>
      <c r="E31" s="153"/>
      <c r="F31" s="153"/>
      <c r="G31" s="153"/>
      <c r="H31" s="153"/>
      <c r="I31" s="153"/>
      <c r="J31" s="153"/>
      <c r="K31" s="153"/>
    </row>
    <row r="32" spans="1:11" x14ac:dyDescent="0.3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2" x14ac:dyDescent="0.35">
      <c r="A33" s="375" t="s">
        <v>1269</v>
      </c>
    </row>
    <row r="34" spans="1:2" x14ac:dyDescent="0.35">
      <c r="A34" s="376" t="s">
        <v>1270</v>
      </c>
      <c r="B34" s="377">
        <f>D11+D13+D14</f>
        <v>4025</v>
      </c>
    </row>
    <row r="35" spans="1:2" x14ac:dyDescent="0.35">
      <c r="A35" s="378" t="s">
        <v>1272</v>
      </c>
      <c r="B35" s="379">
        <f>D12</f>
        <v>132</v>
      </c>
    </row>
    <row r="36" spans="1:2" x14ac:dyDescent="0.35">
      <c r="A36" s="378" t="s">
        <v>1274</v>
      </c>
      <c r="B36" s="379">
        <f>0</f>
        <v>0</v>
      </c>
    </row>
    <row r="37" spans="1:2" x14ac:dyDescent="0.35">
      <c r="A37" s="378" t="s">
        <v>1276</v>
      </c>
      <c r="B37" s="380">
        <f>B34+B35+B36</f>
        <v>4157</v>
      </c>
    </row>
  </sheetData>
  <mergeCells count="1">
    <mergeCell ref="A1:E1"/>
  </mergeCells>
  <dataValidations count="1">
    <dataValidation type="list" sqref="B4" xr:uid="{00000000-0002-0000-1A00-000000000000}">
      <formula1>GlassNames</formula1>
      <formula2>0</formula2>
    </dataValidation>
  </dataValidations>
  <hyperlinks>
    <hyperlink ref="G1" location="'สารบัญ'!A1" display="🏠 สารบัญ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B9BD5"/>
  </sheetPr>
  <dimension ref="A1:M39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20.453125" customWidth="1"/>
    <col min="3" max="3" width="34" customWidth="1"/>
    <col min="4" max="4" width="18.453125" customWidth="1"/>
    <col min="5" max="5" width="13" customWidth="1"/>
    <col min="6" max="6" width="24.7265625" customWidth="1"/>
    <col min="7" max="7" width="13" customWidth="1"/>
    <col min="10" max="10" width="46" customWidth="1"/>
    <col min="11" max="13" width="13" customWidth="1"/>
  </cols>
  <sheetData>
    <row r="1" spans="1:13" ht="24" customHeight="1" x14ac:dyDescent="0.35">
      <c r="A1" s="437" t="s">
        <v>1723</v>
      </c>
      <c r="B1" s="411"/>
      <c r="C1" s="411"/>
      <c r="D1" s="411"/>
      <c r="E1" s="388" t="s">
        <v>78</v>
      </c>
      <c r="F1" s="389" t="s">
        <v>1724</v>
      </c>
      <c r="G1">
        <f>ROUNDUP((B2+2*B3)/640,0)*6.11+ROUNDUP(B2/640,0)*7.78+ROUNDUP(B2/640,0)*3.19+ROUNDUP((2*B4*B3+2*B2)/640,0)*11.08+ROUNDUP((2*B4*B3+2*B2)/640,0)*2+IF(B4&gt;1,1,0)*4.31</f>
        <v>43.24</v>
      </c>
      <c r="H1" s="339"/>
      <c r="J1" s="64" t="s">
        <v>1725</v>
      </c>
    </row>
    <row r="2" spans="1:13" ht="15" customHeight="1" x14ac:dyDescent="0.35">
      <c r="A2" s="30" t="s">
        <v>1715</v>
      </c>
      <c r="B2" s="27">
        <v>90</v>
      </c>
      <c r="D2" s="64" t="s">
        <v>1679</v>
      </c>
      <c r="E2" s="64">
        <f>MATCH(B6,{"ขาว/ดำ","เทาซาฮาร่า","ลายไม้","สีอบพิเศษ","สีลายไม้อบพิเศษ"},0)</f>
        <v>1</v>
      </c>
      <c r="J2" s="64" t="s">
        <v>1726</v>
      </c>
      <c r="K2" s="64">
        <v>16000</v>
      </c>
      <c r="L2" s="64">
        <v>16500</v>
      </c>
      <c r="M2" s="133">
        <v>21000</v>
      </c>
    </row>
    <row r="3" spans="1:13" ht="15" customHeight="1" x14ac:dyDescent="0.35">
      <c r="A3" s="30" t="s">
        <v>1727</v>
      </c>
      <c r="B3" s="27">
        <v>240</v>
      </c>
      <c r="D3" s="64" t="s">
        <v>1728</v>
      </c>
      <c r="E3" s="64" t="str">
        <f>B4&amp;"|"&amp;IF(B3/100&lt;=2.4,"2.4",IF(B3/100&lt;=2.6,"2.6",IF(B3/100&lt;=2.7,"2.7",IF(B3/100&lt;=2.8,"2.8","X"))))</f>
        <v>1|2.4</v>
      </c>
      <c r="J3" s="64" t="s">
        <v>1729</v>
      </c>
      <c r="K3" s="64">
        <v>16500</v>
      </c>
      <c r="L3" s="64">
        <v>17000</v>
      </c>
      <c r="M3" s="133">
        <v>21500</v>
      </c>
    </row>
    <row r="4" spans="1:13" ht="15" customHeight="1" x14ac:dyDescent="0.35">
      <c r="A4" s="30" t="s">
        <v>1240</v>
      </c>
      <c r="B4" s="27">
        <v>1</v>
      </c>
      <c r="J4" s="64" t="s">
        <v>1730</v>
      </c>
      <c r="K4" s="64">
        <v>17000</v>
      </c>
      <c r="L4" s="64">
        <v>17500</v>
      </c>
      <c r="M4" s="133">
        <v>22000</v>
      </c>
    </row>
    <row r="5" spans="1:13" ht="15" customHeight="1" x14ac:dyDescent="0.35">
      <c r="A5" s="30" t="s">
        <v>1731</v>
      </c>
      <c r="B5" s="27">
        <v>40</v>
      </c>
      <c r="J5" s="64" t="s">
        <v>1732</v>
      </c>
      <c r="K5" s="64">
        <v>17000</v>
      </c>
      <c r="L5" s="64">
        <v>17500</v>
      </c>
      <c r="M5" s="133">
        <v>22000</v>
      </c>
    </row>
    <row r="6" spans="1:13" ht="15" customHeight="1" x14ac:dyDescent="0.35">
      <c r="A6" s="30" t="s">
        <v>1371</v>
      </c>
      <c r="B6" s="27" t="s">
        <v>112</v>
      </c>
      <c r="J6" s="64" t="s">
        <v>1733</v>
      </c>
      <c r="K6" s="64">
        <v>26000</v>
      </c>
      <c r="L6" s="64">
        <v>26500</v>
      </c>
      <c r="M6" s="133">
        <v>34500</v>
      </c>
    </row>
    <row r="7" spans="1:13" ht="15" customHeight="1" x14ac:dyDescent="0.35">
      <c r="A7" s="30" t="s">
        <v>1558</v>
      </c>
      <c r="B7" s="27" t="s">
        <v>785</v>
      </c>
      <c r="J7" s="64" t="s">
        <v>1734</v>
      </c>
      <c r="K7" s="64">
        <v>26500</v>
      </c>
      <c r="L7" s="64">
        <v>27000</v>
      </c>
      <c r="M7" s="133">
        <v>35000</v>
      </c>
    </row>
    <row r="8" spans="1:13" ht="15" customHeight="1" x14ac:dyDescent="0.35">
      <c r="A8" s="30" t="s">
        <v>1716</v>
      </c>
      <c r="B8" s="27">
        <f>INDEX(ราคาวัสดุกลาง!$I$2:$I$106,MATCH(B7,ราคาวัสดุกลาง!$H$2:$H$106,0))</f>
        <v>403</v>
      </c>
      <c r="J8" s="64" t="s">
        <v>1735</v>
      </c>
      <c r="K8" s="64">
        <v>27000</v>
      </c>
      <c r="L8" s="64">
        <v>27500</v>
      </c>
      <c r="M8" s="133">
        <v>35000</v>
      </c>
    </row>
    <row r="9" spans="1:13" ht="15" customHeight="1" x14ac:dyDescent="0.35">
      <c r="A9" s="30" t="s">
        <v>1247</v>
      </c>
      <c r="B9" s="27">
        <v>30</v>
      </c>
      <c r="J9" s="64" t="s">
        <v>1736</v>
      </c>
      <c r="K9" s="64">
        <v>28000</v>
      </c>
      <c r="L9" s="64">
        <v>28500</v>
      </c>
      <c r="M9" s="133">
        <v>36000</v>
      </c>
    </row>
    <row r="10" spans="1:13" ht="15" customHeight="1" x14ac:dyDescent="0.35">
      <c r="A10" s="30" t="s">
        <v>1737</v>
      </c>
      <c r="B10" s="27">
        <v>90</v>
      </c>
    </row>
    <row r="11" spans="1:13" ht="15" customHeight="1" x14ac:dyDescent="0.35">
      <c r="A11" s="30" t="s">
        <v>1245</v>
      </c>
      <c r="B11" s="64">
        <f>(B2/100)*(B3/100)</f>
        <v>2.16</v>
      </c>
    </row>
    <row r="12" spans="1:13" ht="15" customHeight="1" x14ac:dyDescent="0.35">
      <c r="A12" s="30" t="s">
        <v>1738</v>
      </c>
      <c r="B12" s="150"/>
      <c r="C12" s="30" t="s">
        <v>1739</v>
      </c>
      <c r="D12" s="25" t="str">
        <f>IF(B5&gt;B2/2,"⚠ โค้งเกินกว้าง÷2","✅ OK")</f>
        <v>✅ OK</v>
      </c>
    </row>
    <row r="13" spans="1:13" ht="15" customHeight="1" x14ac:dyDescent="0.35">
      <c r="A13" s="76" t="s">
        <v>482</v>
      </c>
      <c r="C13" s="76" t="s">
        <v>587</v>
      </c>
      <c r="D13" s="76" t="s">
        <v>1257</v>
      </c>
    </row>
    <row r="14" spans="1:13" ht="15" customHeight="1" x14ac:dyDescent="0.35">
      <c r="A14" s="57" t="s">
        <v>1740</v>
      </c>
      <c r="C14" s="57" t="str">
        <f>IF(ISNUMBER(B12),"กรอกเอง",IF(ISNA(MATCH($E$3,$J$2:$J$9,0)),"⚠ นอกตาราง — กรอกราคาร้านช่องบน","ตาราง: บาน+สูง+สี"))</f>
        <v>ตาราง: บาน+สูง+สี</v>
      </c>
      <c r="D14" s="53">
        <f>IF(ISNUMBER(B12),B12,IFERROR(INDEX($K$2:$M$9,MATCH($E$3,$J$2:$J$9,0),IF($E$2&lt;=3,$E$2,1)),0))+IF(OR(B6="สีอบพิเศษ",B6="สีลายไม้อบพิเศษ"),ROUND(IF(B6="สีอบพิเศษ",rate_special,rate_woodbake)*G1,0)+2000,0)</f>
        <v>16000</v>
      </c>
    </row>
    <row r="15" spans="1:13" ht="15" customHeight="1" x14ac:dyDescent="0.35">
      <c r="A15" s="57" t="s">
        <v>1741</v>
      </c>
      <c r="C15" s="57" t="s">
        <v>1742</v>
      </c>
      <c r="D15" s="53">
        <f>ROUND(B11*B8,0)</f>
        <v>870</v>
      </c>
    </row>
    <row r="16" spans="1:13" ht="15" customHeight="1" x14ac:dyDescent="0.35">
      <c r="A16" s="57" t="s">
        <v>1743</v>
      </c>
      <c r="C16" s="57" t="s">
        <v>1744</v>
      </c>
      <c r="D16" s="53">
        <f>ROUNDUP(2*(B2+B3)/100*2/12.5,0)*B10</f>
        <v>180</v>
      </c>
    </row>
    <row r="17" spans="1:11" ht="15" customHeight="1" x14ac:dyDescent="0.35">
      <c r="A17" s="57" t="s">
        <v>1745</v>
      </c>
      <c r="D17" s="53">
        <f>ROUND(90*B11,0)</f>
        <v>194</v>
      </c>
    </row>
    <row r="18" spans="1:11" ht="15" customHeight="1" x14ac:dyDescent="0.35">
      <c r="A18" s="57" t="s">
        <v>1746</v>
      </c>
      <c r="D18" s="53">
        <f>ROUND(690+47*B11,0)</f>
        <v>792</v>
      </c>
    </row>
    <row r="20" spans="1:11" ht="15" customHeight="1" x14ac:dyDescent="0.35">
      <c r="A20" s="25" t="s">
        <v>1268</v>
      </c>
      <c r="D20" s="70">
        <f>SUM(D14:D18)</f>
        <v>18036</v>
      </c>
    </row>
    <row r="21" spans="1:11" ht="15" customHeight="1" x14ac:dyDescent="0.35">
      <c r="A21" s="25" t="s">
        <v>1125</v>
      </c>
      <c r="D21" s="70">
        <f>IF(B11&gt;0,ROUND(D20/B11,0),0)</f>
        <v>8350</v>
      </c>
    </row>
    <row r="22" spans="1:11" ht="15" customHeight="1" x14ac:dyDescent="0.35">
      <c r="A22" s="25" t="s">
        <v>1747</v>
      </c>
      <c r="D22" s="28">
        <f>ROUNDUP(D20*(1+B9/100)/100,0)*100</f>
        <v>23500</v>
      </c>
    </row>
    <row r="23" spans="1:11" ht="15" customHeight="1" x14ac:dyDescent="0.35">
      <c r="A23" s="25" t="s">
        <v>1273</v>
      </c>
      <c r="D23" s="29">
        <f>(D22-D20)/D20</f>
        <v>0.30294965624306941</v>
      </c>
    </row>
    <row r="25" spans="1:11" x14ac:dyDescent="0.35">
      <c r="A25" s="25" t="s">
        <v>1567</v>
      </c>
      <c r="D25" s="123">
        <f>ROUNDUP((SUM(D14:D16)+D17)*(1+B9/100)/100,0)*100</f>
        <v>22500</v>
      </c>
    </row>
    <row r="26" spans="1:11" x14ac:dyDescent="0.35">
      <c r="A26" s="25" t="s">
        <v>1568</v>
      </c>
      <c r="D26" s="123">
        <f>D25+ROUNDUP(D18*(1+B9/100)/100,0)*100</f>
        <v>23600</v>
      </c>
    </row>
    <row r="27" spans="1:11" x14ac:dyDescent="0.35">
      <c r="A27" s="30" t="s">
        <v>1569</v>
      </c>
      <c r="D27" s="124">
        <f>(D25-(SUM(D14:D16)+D17))/(SUM(D14:D16)+D17)</f>
        <v>0.30480167014613779</v>
      </c>
    </row>
    <row r="28" spans="1:11" x14ac:dyDescent="0.35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</row>
    <row r="29" spans="1:11" x14ac:dyDescent="0.35">
      <c r="A29" s="381"/>
      <c r="B29" s="153"/>
      <c r="C29" s="153"/>
      <c r="D29" s="153"/>
      <c r="E29" s="153"/>
      <c r="F29" s="153"/>
      <c r="G29" s="153"/>
      <c r="H29" s="153"/>
      <c r="I29" s="153"/>
      <c r="J29" s="153"/>
      <c r="K29" s="153"/>
    </row>
    <row r="30" spans="1:11" x14ac:dyDescent="0.35">
      <c r="A30" s="382"/>
      <c r="B30" s="383"/>
      <c r="C30" s="153"/>
      <c r="D30" s="153"/>
      <c r="E30" s="153"/>
      <c r="F30" s="153"/>
      <c r="G30" s="153"/>
      <c r="H30" s="153"/>
      <c r="I30" s="153"/>
      <c r="J30" s="153"/>
      <c r="K30" s="153"/>
    </row>
    <row r="31" spans="1:11" x14ac:dyDescent="0.35">
      <c r="A31" s="382"/>
      <c r="B31" s="383"/>
      <c r="C31" s="153"/>
      <c r="D31" s="153"/>
      <c r="E31" s="153"/>
      <c r="F31" s="153"/>
      <c r="G31" s="153"/>
      <c r="H31" s="153"/>
      <c r="I31" s="153"/>
      <c r="J31" s="153"/>
      <c r="K31" s="153"/>
    </row>
    <row r="32" spans="1:11" x14ac:dyDescent="0.35">
      <c r="A32" s="382"/>
      <c r="B32" s="383"/>
      <c r="C32" s="153"/>
      <c r="D32" s="153"/>
      <c r="E32" s="153"/>
      <c r="F32" s="153"/>
      <c r="G32" s="153"/>
      <c r="H32" s="153"/>
      <c r="I32" s="153"/>
      <c r="J32" s="153"/>
      <c r="K32" s="153"/>
    </row>
    <row r="33" spans="1:11" x14ac:dyDescent="0.35">
      <c r="A33" s="382"/>
      <c r="B33" s="384"/>
      <c r="C33" s="153"/>
      <c r="D33" s="153"/>
      <c r="E33" s="153"/>
      <c r="F33" s="153"/>
      <c r="G33" s="153"/>
      <c r="H33" s="153"/>
      <c r="I33" s="153"/>
      <c r="J33" s="153"/>
      <c r="K33" s="153"/>
    </row>
    <row r="34" spans="1:11" x14ac:dyDescent="0.3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</row>
    <row r="35" spans="1:11" x14ac:dyDescent="0.35">
      <c r="A35" s="375" t="s">
        <v>1269</v>
      </c>
    </row>
    <row r="36" spans="1:11" x14ac:dyDescent="0.35">
      <c r="A36" s="376" t="s">
        <v>1270</v>
      </c>
      <c r="B36" s="377">
        <f>D16</f>
        <v>180</v>
      </c>
    </row>
    <row r="37" spans="1:11" x14ac:dyDescent="0.35">
      <c r="A37" s="378" t="s">
        <v>1272</v>
      </c>
      <c r="B37" s="379">
        <f>D15</f>
        <v>870</v>
      </c>
    </row>
    <row r="38" spans="1:11" x14ac:dyDescent="0.35">
      <c r="A38" s="378" t="s">
        <v>1274</v>
      </c>
      <c r="B38" s="379">
        <f>D14+D17+D18</f>
        <v>16986</v>
      </c>
    </row>
    <row r="39" spans="1:11" x14ac:dyDescent="0.35">
      <c r="A39" s="378" t="s">
        <v>1276</v>
      </c>
      <c r="B39" s="380">
        <f>B36+B37+B38</f>
        <v>18036</v>
      </c>
    </row>
  </sheetData>
  <mergeCells count="1">
    <mergeCell ref="A1:D1"/>
  </mergeCells>
  <dataValidations count="4">
    <dataValidation type="list" sqref="B4" xr:uid="{00000000-0002-0000-1B00-000000000000}">
      <formula1>"1,2"</formula1>
      <formula2>0</formula2>
    </dataValidation>
    <dataValidation type="list" sqref="B7" xr:uid="{00000000-0002-0000-1B00-000001000000}">
      <formula1>GlassNames</formula1>
      <formula2>0</formula2>
    </dataValidation>
    <dataValidation type="list" allowBlank="1" sqref="B7" xr:uid="{00000000-0002-0000-1B00-000002000000}">
      <formula1>"เทมเปอร์ 6มม.,เทมเปอร์ 8มม.,เทมเปอร์ 10มม.,เทมเปอร์ 12มม.,เทมเปอร์ใส 6มม.,เทมเปอร์ใส 8มม.,เทมเปอร์ใส 10มม.,เทมเปอร์ใส 12มม."</formula1>
    </dataValidation>
    <dataValidation type="list" allowBlank="1" sqref="B6" xr:uid="{00000000-0002-0000-1B00-000003000000}">
      <formula1>"ขาว/ดำ,เทาซาฮาร่า,ลายไม้,สีอบพิเศษ,สีลายไม้อบพิเศษ"</formula1>
    </dataValidation>
  </dataValidations>
  <hyperlinks>
    <hyperlink ref="E1" location="'สารบัญ'!A1" display="🏠 สารบัญ" xr:uid="{00000000-0004-0000-1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B9BD5"/>
  </sheetPr>
  <dimension ref="A1:AF38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17.453125" customWidth="1"/>
    <col min="3" max="3" width="16.90625" customWidth="1"/>
    <col min="4" max="4" width="30.7265625" customWidth="1"/>
    <col min="5" max="5" width="24.453125" customWidth="1"/>
    <col min="6" max="6" width="3" customWidth="1"/>
    <col min="7" max="7" width="21.7265625" customWidth="1"/>
    <col min="8" max="8" width="11" customWidth="1"/>
    <col min="10" max="10" width="25.453125" customWidth="1"/>
    <col min="11" max="11" width="17.453125" customWidth="1"/>
    <col min="12" max="12" width="13" customWidth="1"/>
    <col min="14" max="14" width="26.453125" customWidth="1"/>
    <col min="15" max="20" width="13" customWidth="1"/>
    <col min="22" max="22" width="15.08984375" customWidth="1"/>
    <col min="28" max="28" width="19.453125" hidden="1" customWidth="1"/>
    <col min="29" max="30" width="13" hidden="1" customWidth="1"/>
    <col min="32" max="32" width="13" hidden="1" customWidth="1"/>
  </cols>
  <sheetData>
    <row r="1" spans="1:32" ht="24" customHeight="1" x14ac:dyDescent="0.35">
      <c r="A1" s="437" t="s">
        <v>1748</v>
      </c>
      <c r="B1" s="411"/>
      <c r="C1" s="411"/>
      <c r="D1" s="411"/>
      <c r="E1" s="411"/>
      <c r="F1" s="411"/>
      <c r="G1" s="388" t="s">
        <v>78</v>
      </c>
      <c r="H1" s="389"/>
      <c r="I1" s="319"/>
      <c r="J1" s="91" t="s">
        <v>1749</v>
      </c>
      <c r="V1" s="11" t="s">
        <v>1750</v>
      </c>
      <c r="AF1" t="str">
        <f>IFERROR(VLOOKUP(B2,$AB$2:$AD$8,2,0),"")</f>
        <v>1.6"</v>
      </c>
    </row>
    <row r="2" spans="1:32" ht="15" customHeight="1" x14ac:dyDescent="0.35">
      <c r="A2" s="91" t="s">
        <v>1751</v>
      </c>
      <c r="B2" s="92" t="s">
        <v>590</v>
      </c>
      <c r="D2" s="93" t="s">
        <v>1752</v>
      </c>
      <c r="E2" s="94">
        <f>(H16/100)*(H17/100)</f>
        <v>4.8</v>
      </c>
      <c r="G2" s="93" t="s">
        <v>1753</v>
      </c>
      <c r="H2" s="95">
        <f>IF(B5="รวม",ROUNDUP(IF(B9&lt;=250,2,3)/MAX(INT(600/B8),1),0),0)</f>
        <v>0</v>
      </c>
      <c r="J2" s="93" t="s">
        <v>1754</v>
      </c>
      <c r="K2" s="95">
        <v>500</v>
      </c>
      <c r="N2" s="12" t="s">
        <v>1755</v>
      </c>
      <c r="O2" s="13">
        <v>3300</v>
      </c>
      <c r="P2" s="13">
        <v>5200</v>
      </c>
      <c r="Q2" s="13">
        <v>300</v>
      </c>
      <c r="R2" s="13">
        <v>1000</v>
      </c>
      <c r="S2" s="13">
        <v>1700</v>
      </c>
      <c r="T2" s="13">
        <v>2400</v>
      </c>
      <c r="V2" s="12">
        <v>50</v>
      </c>
      <c r="AB2" t="s">
        <v>1754</v>
      </c>
      <c r="AC2" t="s">
        <v>1756</v>
      </c>
      <c r="AD2" t="s">
        <v>1757</v>
      </c>
      <c r="AF2" t="str">
        <f>IFERROR(VLOOKUP(B2,$AB$2:$AD$8,3,0),"")</f>
        <v>4"</v>
      </c>
    </row>
    <row r="3" spans="1:32" ht="15" customHeight="1" x14ac:dyDescent="0.35">
      <c r="A3" s="91" t="s">
        <v>1758</v>
      </c>
      <c r="B3" s="92" t="s">
        <v>1759</v>
      </c>
      <c r="D3" s="93" t="s">
        <v>1760</v>
      </c>
      <c r="E3" s="94">
        <f>VLOOKUP(B3,$J$18:$K$23,2,0)</f>
        <v>4.0599999999999996</v>
      </c>
      <c r="G3" s="93" t="s">
        <v>1761</v>
      </c>
      <c r="H3" s="95">
        <f>ROUND(485*E9/5,0)*5</f>
        <v>485</v>
      </c>
      <c r="J3" s="93" t="s">
        <v>1762</v>
      </c>
      <c r="K3" s="95">
        <v>310</v>
      </c>
      <c r="N3" s="12" t="s">
        <v>1763</v>
      </c>
      <c r="O3" s="13">
        <v>4300</v>
      </c>
      <c r="P3" s="13">
        <v>6000</v>
      </c>
      <c r="Q3" s="13">
        <v>400</v>
      </c>
      <c r="R3" s="13">
        <v>1500</v>
      </c>
      <c r="S3" s="13">
        <v>2500</v>
      </c>
      <c r="T3" s="13">
        <v>3500</v>
      </c>
      <c r="V3" s="12">
        <v>60</v>
      </c>
      <c r="AB3" t="s">
        <v>1762</v>
      </c>
      <c r="AC3" t="s">
        <v>1764</v>
      </c>
      <c r="AD3" t="s">
        <v>1764</v>
      </c>
    </row>
    <row r="4" spans="1:32" ht="15" customHeight="1" x14ac:dyDescent="0.35">
      <c r="A4" s="91" t="s">
        <v>1765</v>
      </c>
      <c r="B4" s="96">
        <v>5</v>
      </c>
      <c r="D4" s="93" t="s">
        <v>1766</v>
      </c>
      <c r="E4" s="94">
        <f>E3+B4</f>
        <v>9.0599999999999987</v>
      </c>
      <c r="G4" s="93" t="s">
        <v>1767</v>
      </c>
      <c r="H4" s="95">
        <f>VLOOKUP(B6,$J$11:$L$15,3,0)</f>
        <v>0</v>
      </c>
      <c r="J4" s="93" t="s">
        <v>1768</v>
      </c>
      <c r="K4" s="95">
        <v>395</v>
      </c>
      <c r="N4" s="12" t="s">
        <v>1769</v>
      </c>
      <c r="O4" s="13">
        <v>5000</v>
      </c>
      <c r="P4" s="13">
        <v>7200</v>
      </c>
      <c r="Q4" s="13">
        <v>500</v>
      </c>
      <c r="R4" s="13">
        <v>1900</v>
      </c>
      <c r="S4" s="13">
        <v>3300</v>
      </c>
      <c r="T4" s="13">
        <v>4700</v>
      </c>
      <c r="V4" s="12">
        <v>75</v>
      </c>
      <c r="AB4" t="s">
        <v>1768</v>
      </c>
      <c r="AC4" t="s">
        <v>1764</v>
      </c>
      <c r="AD4" t="s">
        <v>1770</v>
      </c>
    </row>
    <row r="5" spans="1:32" ht="15" customHeight="1" x14ac:dyDescent="0.35">
      <c r="A5" s="91" t="s">
        <v>1771</v>
      </c>
      <c r="B5" s="92" t="s">
        <v>1772</v>
      </c>
      <c r="D5" s="93" t="s">
        <v>1773</v>
      </c>
      <c r="E5" s="95">
        <f>IF(B7="นอน",H16,H17)</f>
        <v>200</v>
      </c>
      <c r="G5" s="93" t="s">
        <v>1774</v>
      </c>
      <c r="H5" s="95">
        <f>IF(E13=0,0,INDEX($O$2:$O$38,E13))</f>
        <v>5400</v>
      </c>
      <c r="J5" s="93" t="s">
        <v>1775</v>
      </c>
      <c r="K5" s="95">
        <v>485</v>
      </c>
      <c r="N5" s="12" t="s">
        <v>1776</v>
      </c>
      <c r="O5" s="13">
        <v>2800</v>
      </c>
      <c r="P5" s="13">
        <v>4500</v>
      </c>
      <c r="Q5" s="13">
        <v>200</v>
      </c>
      <c r="R5" s="13">
        <v>800</v>
      </c>
      <c r="S5" s="13">
        <v>1100</v>
      </c>
      <c r="T5" s="13">
        <v>1600</v>
      </c>
      <c r="V5" s="12">
        <v>100</v>
      </c>
      <c r="AB5" t="s">
        <v>1775</v>
      </c>
      <c r="AC5" t="s">
        <v>1764</v>
      </c>
      <c r="AD5" t="s">
        <v>1759</v>
      </c>
    </row>
    <row r="6" spans="1:32" ht="15" customHeight="1" x14ac:dyDescent="0.35">
      <c r="A6" s="91" t="s">
        <v>1253</v>
      </c>
      <c r="B6" s="92" t="s">
        <v>112</v>
      </c>
      <c r="D6" s="93" t="s">
        <v>1777</v>
      </c>
      <c r="E6" s="95">
        <f>IF(B7="นอน",H17,H16)</f>
        <v>240</v>
      </c>
      <c r="G6" s="93" t="s">
        <v>1778</v>
      </c>
      <c r="H6" s="95">
        <f>IF(E13=0,0,INDEX($P$2:$P$38,E13))</f>
        <v>7900</v>
      </c>
      <c r="J6" s="93" t="s">
        <v>1779</v>
      </c>
      <c r="K6" s="95">
        <v>905</v>
      </c>
      <c r="N6" s="12" t="s">
        <v>1780</v>
      </c>
      <c r="O6" s="13">
        <v>3200</v>
      </c>
      <c r="P6" s="13">
        <v>4800</v>
      </c>
      <c r="Q6" s="13">
        <v>200</v>
      </c>
      <c r="R6" s="13">
        <v>1000</v>
      </c>
      <c r="S6" s="13">
        <v>1400</v>
      </c>
      <c r="T6" s="13">
        <v>2000</v>
      </c>
      <c r="V6" s="12">
        <v>120</v>
      </c>
      <c r="AB6" t="s">
        <v>1779</v>
      </c>
      <c r="AC6" t="s">
        <v>1764</v>
      </c>
      <c r="AD6" t="s">
        <v>1781</v>
      </c>
    </row>
    <row r="7" spans="1:32" ht="15" customHeight="1" x14ac:dyDescent="0.35">
      <c r="A7" s="91" t="s">
        <v>1782</v>
      </c>
      <c r="B7" s="92" t="s">
        <v>1783</v>
      </c>
      <c r="D7" s="93" t="s">
        <v>1784</v>
      </c>
      <c r="E7" s="95">
        <f>INT(E6/E4)+1</f>
        <v>27</v>
      </c>
      <c r="G7" s="93" t="s">
        <v>1785</v>
      </c>
      <c r="H7" s="95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93" t="s">
        <v>592</v>
      </c>
      <c r="K7" s="95">
        <v>770</v>
      </c>
      <c r="N7" s="12" t="s">
        <v>1786</v>
      </c>
      <c r="O7" s="13">
        <v>3300</v>
      </c>
      <c r="P7" s="13">
        <v>5100</v>
      </c>
      <c r="Q7" s="13">
        <v>300</v>
      </c>
      <c r="R7" s="13">
        <v>1000</v>
      </c>
      <c r="S7" s="13">
        <v>1700</v>
      </c>
      <c r="T7" s="13">
        <v>2400</v>
      </c>
      <c r="V7" s="12">
        <v>150</v>
      </c>
      <c r="AB7" t="s">
        <v>592</v>
      </c>
      <c r="AC7" t="s">
        <v>1759</v>
      </c>
      <c r="AD7" t="s">
        <v>1759</v>
      </c>
    </row>
    <row r="8" spans="1:32" ht="15" customHeight="1" x14ac:dyDescent="0.35">
      <c r="A8" s="91" t="s">
        <v>1715</v>
      </c>
      <c r="B8" s="96">
        <v>200</v>
      </c>
      <c r="D8" s="93" t="s">
        <v>1787</v>
      </c>
      <c r="E8" s="95">
        <f>IF(B11="ต่อ",H21,H20)</f>
        <v>9</v>
      </c>
      <c r="G8" s="93" t="s">
        <v>1788</v>
      </c>
      <c r="H8" s="95">
        <f>IF(B5="ไม่รวม",H5,H6)+H7</f>
        <v>5400</v>
      </c>
      <c r="J8" s="93" t="s">
        <v>590</v>
      </c>
      <c r="K8" s="95">
        <v>1220</v>
      </c>
      <c r="N8" s="12" t="s">
        <v>1789</v>
      </c>
      <c r="O8" s="13">
        <v>3700</v>
      </c>
      <c r="P8" s="13">
        <v>5300</v>
      </c>
      <c r="Q8" s="13">
        <v>300</v>
      </c>
      <c r="R8" s="13">
        <v>1000</v>
      </c>
      <c r="S8" s="13">
        <v>1400</v>
      </c>
      <c r="T8" s="13">
        <v>2000</v>
      </c>
      <c r="V8" s="12">
        <v>200</v>
      </c>
      <c r="AB8" t="s">
        <v>590</v>
      </c>
      <c r="AC8" t="s">
        <v>1759</v>
      </c>
      <c r="AD8" t="s">
        <v>1781</v>
      </c>
    </row>
    <row r="9" spans="1:32" ht="15" customHeight="1" x14ac:dyDescent="0.35">
      <c r="A9" s="91" t="s">
        <v>1238</v>
      </c>
      <c r="B9" s="96">
        <v>240</v>
      </c>
      <c r="D9" s="93" t="s">
        <v>1790</v>
      </c>
      <c r="E9" s="97">
        <f>VLOOKUP(B6,$J$11:$L$15,2,0)</f>
        <v>1</v>
      </c>
      <c r="N9" s="12" t="s">
        <v>1791</v>
      </c>
      <c r="O9" s="13">
        <v>4500</v>
      </c>
      <c r="P9" s="13">
        <v>6400</v>
      </c>
      <c r="Q9" s="13">
        <v>400</v>
      </c>
      <c r="R9" s="13">
        <v>1400</v>
      </c>
      <c r="S9" s="13">
        <v>1900</v>
      </c>
      <c r="T9" s="13">
        <v>2800</v>
      </c>
      <c r="V9" s="12">
        <v>300</v>
      </c>
    </row>
    <row r="10" spans="1:32" ht="15" customHeight="1" x14ac:dyDescent="0.35">
      <c r="A10" s="91" t="s">
        <v>1792</v>
      </c>
      <c r="B10" s="96">
        <v>300</v>
      </c>
      <c r="D10" s="93" t="s">
        <v>1793</v>
      </c>
      <c r="E10" s="95">
        <f>ROUND(VLOOKUP(B2,$J$2:$K$8,2,0)*E9/5,0)*5</f>
        <v>1220</v>
      </c>
      <c r="G10" s="93" t="s">
        <v>1794</v>
      </c>
      <c r="H10" s="95">
        <f>LOOKUP(B8,$V$2:$V$10)</f>
        <v>200</v>
      </c>
      <c r="N10" s="12" t="s">
        <v>1795</v>
      </c>
      <c r="O10" s="13">
        <v>4800</v>
      </c>
      <c r="P10" s="13">
        <v>6900</v>
      </c>
      <c r="Q10" s="13">
        <v>500</v>
      </c>
      <c r="R10" s="13">
        <v>1600</v>
      </c>
      <c r="S10" s="13">
        <v>2200</v>
      </c>
      <c r="T10" s="13">
        <v>3200</v>
      </c>
      <c r="V10" s="12">
        <v>600</v>
      </c>
    </row>
    <row r="11" spans="1:32" ht="15" customHeight="1" x14ac:dyDescent="0.35">
      <c r="A11" s="91" t="s">
        <v>1796</v>
      </c>
      <c r="B11" s="92" t="s">
        <v>1797</v>
      </c>
      <c r="D11" s="93" t="s">
        <v>1798</v>
      </c>
      <c r="E11" s="95">
        <f>IF(B4&gt;=4,5,IF(B4&gt;=2.5,3,IF(B4&gt;=1,2,0)))</f>
        <v>5</v>
      </c>
      <c r="G11" s="93" t="s">
        <v>1799</v>
      </c>
      <c r="H11" s="95">
        <f>IFERROR(INDEX($V$2:$V$10,MATCH(B8,$V$2:$V$10,1)+1),99999)</f>
        <v>300</v>
      </c>
      <c r="J11" s="93" t="s">
        <v>112</v>
      </c>
      <c r="K11" s="97">
        <f>mult_mtong</f>
        <v>1</v>
      </c>
      <c r="L11" s="95">
        <v>0</v>
      </c>
      <c r="N11" s="12" t="s">
        <v>1800</v>
      </c>
      <c r="O11" s="13">
        <v>3200</v>
      </c>
      <c r="P11" s="13">
        <v>4900</v>
      </c>
      <c r="Q11" s="13">
        <v>300</v>
      </c>
      <c r="R11" s="13">
        <v>800</v>
      </c>
      <c r="S11" s="13">
        <v>1100</v>
      </c>
      <c r="T11" s="13">
        <v>1600</v>
      </c>
    </row>
    <row r="12" spans="1:32" ht="15" customHeight="1" x14ac:dyDescent="0.35">
      <c r="A12" s="25" t="s">
        <v>1801</v>
      </c>
      <c r="B12" s="96">
        <v>600</v>
      </c>
      <c r="D12" s="93" t="s">
        <v>870</v>
      </c>
      <c r="E12" s="93" t="str">
        <f>B2&amp;"|"&amp;B3&amp;"|"&amp;E11</f>
        <v>กล่อง 1.6"×4"|1.6"|5</v>
      </c>
      <c r="G12" s="93" t="s">
        <v>1802</v>
      </c>
      <c r="H12" s="95">
        <f>IF(B8-H10&lt;=20,H10,IF(H11-B8&lt;=20,H11,B8))</f>
        <v>200</v>
      </c>
      <c r="J12" s="93" t="s">
        <v>94</v>
      </c>
      <c r="K12" s="97">
        <f>mult_mtong+rate_grey/192</f>
        <v>1.5208333333333335</v>
      </c>
      <c r="L12" s="95">
        <v>0</v>
      </c>
      <c r="N12" s="12" t="s">
        <v>1803</v>
      </c>
      <c r="O12" s="13">
        <v>3700</v>
      </c>
      <c r="P12" s="13">
        <v>5300</v>
      </c>
      <c r="Q12" s="13">
        <v>300</v>
      </c>
      <c r="R12" s="13">
        <v>1000</v>
      </c>
      <c r="S12" s="13">
        <v>1400</v>
      </c>
      <c r="T12" s="13">
        <v>2000</v>
      </c>
    </row>
    <row r="13" spans="1:32" ht="15" customHeight="1" x14ac:dyDescent="0.35">
      <c r="D13" s="93" t="s">
        <v>1804</v>
      </c>
      <c r="E13" s="95">
        <f>IFERROR(MATCH(E12,$N$2:$N$38,0),0)</f>
        <v>32</v>
      </c>
      <c r="G13" s="93" t="s">
        <v>1805</v>
      </c>
      <c r="H13" s="95">
        <f>LOOKUP(B9,$V$2:$V$10)</f>
        <v>200</v>
      </c>
      <c r="J13" s="93" t="s">
        <v>1806</v>
      </c>
      <c r="K13" s="97">
        <f>mult_mtong+rate_woodstock/192</f>
        <v>1.5859375</v>
      </c>
      <c r="L13" s="95">
        <v>0</v>
      </c>
      <c r="N13" s="12" t="s">
        <v>1807</v>
      </c>
      <c r="O13" s="13">
        <v>4000</v>
      </c>
      <c r="P13" s="13">
        <v>5800</v>
      </c>
      <c r="Q13" s="13">
        <v>400</v>
      </c>
      <c r="R13" s="13">
        <v>1200</v>
      </c>
      <c r="S13" s="13">
        <v>1700</v>
      </c>
      <c r="T13" s="13">
        <v>2400</v>
      </c>
    </row>
    <row r="14" spans="1:32" ht="15" customHeight="1" x14ac:dyDescent="0.35">
      <c r="D14" s="346" t="s">
        <v>1808</v>
      </c>
      <c r="E14" s="398">
        <f>ROUND((E6-E7*E3)/(E7-1),2)</f>
        <v>5.01</v>
      </c>
      <c r="G14" s="93" t="s">
        <v>1809</v>
      </c>
      <c r="H14" s="95">
        <f>IFERROR(INDEX($V$2:$V$10,MATCH(B9,$V$2:$V$10,1)+1),99999)</f>
        <v>300</v>
      </c>
      <c r="J14" s="93" t="s">
        <v>96</v>
      </c>
      <c r="K14" s="97">
        <f>mult_mtong+rate_special/192</f>
        <v>1.9010416666666665</v>
      </c>
      <c r="L14" s="95">
        <v>2000</v>
      </c>
      <c r="N14" s="12" t="s">
        <v>1810</v>
      </c>
      <c r="O14" s="13">
        <v>3200</v>
      </c>
      <c r="P14" s="13">
        <v>4700</v>
      </c>
      <c r="Q14" s="13">
        <v>200</v>
      </c>
      <c r="R14" s="13">
        <v>700</v>
      </c>
      <c r="S14" s="13">
        <v>1000</v>
      </c>
      <c r="T14" s="13">
        <v>1400</v>
      </c>
    </row>
    <row r="15" spans="1:32" ht="15" customHeight="1" x14ac:dyDescent="0.35">
      <c r="A15" s="98" t="s">
        <v>1376</v>
      </c>
      <c r="B15" s="98" t="s">
        <v>1255</v>
      </c>
      <c r="C15" s="98" t="s">
        <v>1256</v>
      </c>
      <c r="D15" s="98" t="s">
        <v>1377</v>
      </c>
      <c r="G15" s="93" t="s">
        <v>1811</v>
      </c>
      <c r="H15" s="95">
        <f>IF(B9-H13&lt;=20,H13,IF(H14-B9&lt;=20,H14,B9))</f>
        <v>240</v>
      </c>
      <c r="J15" s="93" t="s">
        <v>98</v>
      </c>
      <c r="K15" s="97">
        <f>mult_mtong+rate_woodbake/192</f>
        <v>1.9895833333333335</v>
      </c>
      <c r="L15" s="95">
        <v>2000</v>
      </c>
      <c r="N15" s="12" t="s">
        <v>1812</v>
      </c>
      <c r="O15" s="13">
        <v>3700</v>
      </c>
      <c r="P15" s="13">
        <v>5400</v>
      </c>
      <c r="Q15" s="13">
        <v>300</v>
      </c>
      <c r="R15" s="13">
        <v>1000</v>
      </c>
      <c r="S15" s="13">
        <v>1300</v>
      </c>
      <c r="T15" s="13">
        <v>1900</v>
      </c>
    </row>
    <row r="16" spans="1:32" ht="15" customHeight="1" x14ac:dyDescent="0.35">
      <c r="A16" s="99" t="str">
        <f>B2&amp;" (ใบระแนง)"</f>
        <v>กล่อง 1.6"×4" (ใบระแนง)</v>
      </c>
      <c r="B16" s="82">
        <f>E8</f>
        <v>9</v>
      </c>
      <c r="C16" s="82">
        <f>E10</f>
        <v>1220</v>
      </c>
      <c r="D16" s="82">
        <f>IF(B11="ต่อ",H23,H22)</f>
        <v>10980</v>
      </c>
      <c r="G16" s="93" t="s">
        <v>1813</v>
      </c>
      <c r="H16" s="95">
        <f>IF(B7="นอน",H12,B8)</f>
        <v>200</v>
      </c>
      <c r="N16" s="12" t="s">
        <v>1814</v>
      </c>
      <c r="O16" s="13">
        <v>3900</v>
      </c>
      <c r="P16" s="13">
        <v>5600</v>
      </c>
      <c r="Q16" s="13">
        <v>300</v>
      </c>
      <c r="R16" s="13">
        <v>1100</v>
      </c>
      <c r="S16" s="13">
        <v>1500</v>
      </c>
      <c r="T16" s="13">
        <v>2200</v>
      </c>
    </row>
    <row r="17" spans="1:20" ht="15" customHeight="1" x14ac:dyDescent="0.35">
      <c r="A17" s="99" t="s">
        <v>1815</v>
      </c>
      <c r="B17" s="82">
        <f>H2</f>
        <v>0</v>
      </c>
      <c r="C17" s="82">
        <f>H3</f>
        <v>485</v>
      </c>
      <c r="D17" s="82">
        <f>B17*C17</f>
        <v>0</v>
      </c>
      <c r="G17" s="93" t="s">
        <v>1816</v>
      </c>
      <c r="H17" s="95">
        <f>IF(B7="ตั้ง",H15,B9)</f>
        <v>240</v>
      </c>
      <c r="N17" s="12" t="s">
        <v>1817</v>
      </c>
      <c r="O17" s="13">
        <v>3300</v>
      </c>
      <c r="P17" s="13">
        <v>5200</v>
      </c>
      <c r="Q17" s="13">
        <v>300</v>
      </c>
      <c r="R17" s="13">
        <v>900</v>
      </c>
      <c r="S17" s="13">
        <v>1400</v>
      </c>
      <c r="T17" s="13">
        <v>2000</v>
      </c>
    </row>
    <row r="18" spans="1:20" ht="15" customHeight="1" x14ac:dyDescent="0.35">
      <c r="A18" s="99" t="s">
        <v>1818</v>
      </c>
      <c r="B18" s="82">
        <f>IF(H4&gt;0,1,0)</f>
        <v>0</v>
      </c>
      <c r="C18" s="82">
        <v>2000</v>
      </c>
      <c r="D18" s="82">
        <f>B18*C18</f>
        <v>0</v>
      </c>
      <c r="G18" s="93" t="s">
        <v>1819</v>
      </c>
      <c r="H18" s="95">
        <f>LOOKUP(E5,$V$2:$V$10)</f>
        <v>200</v>
      </c>
      <c r="J18" s="93" t="s">
        <v>1756</v>
      </c>
      <c r="K18" s="94">
        <v>1</v>
      </c>
      <c r="N18" s="12" t="s">
        <v>1820</v>
      </c>
      <c r="O18" s="13">
        <v>4000</v>
      </c>
      <c r="P18" s="13">
        <v>6100</v>
      </c>
      <c r="Q18" s="13">
        <v>400</v>
      </c>
      <c r="R18" s="13">
        <v>1200</v>
      </c>
      <c r="S18" s="13">
        <v>1900</v>
      </c>
      <c r="T18" s="13">
        <v>2800</v>
      </c>
    </row>
    <row r="19" spans="1:20" ht="15" customHeight="1" x14ac:dyDescent="0.35">
      <c r="A19" s="100" t="s">
        <v>1821</v>
      </c>
      <c r="B19" s="82">
        <f>E2</f>
        <v>4.8</v>
      </c>
      <c r="C19" s="82">
        <f>B10+B12</f>
        <v>900</v>
      </c>
      <c r="D19" s="82">
        <f>B19*C19</f>
        <v>4320</v>
      </c>
      <c r="G19" s="93" t="s">
        <v>1822</v>
      </c>
      <c r="H19" s="95">
        <f>E5-H18</f>
        <v>0</v>
      </c>
      <c r="J19" s="93" t="s">
        <v>1757</v>
      </c>
      <c r="K19" s="94">
        <v>5</v>
      </c>
      <c r="N19" s="12" t="s">
        <v>1823</v>
      </c>
      <c r="O19" s="13">
        <v>4300</v>
      </c>
      <c r="P19" s="13">
        <v>6500</v>
      </c>
      <c r="Q19" s="13">
        <v>400</v>
      </c>
      <c r="R19" s="13">
        <v>1400</v>
      </c>
      <c r="S19" s="13">
        <v>2200</v>
      </c>
      <c r="T19" s="13">
        <v>3200</v>
      </c>
    </row>
    <row r="20" spans="1:20" ht="15" customHeight="1" x14ac:dyDescent="0.35">
      <c r="A20" s="101" t="s">
        <v>1268</v>
      </c>
      <c r="B20" s="153"/>
      <c r="C20" s="153"/>
      <c r="D20" s="102">
        <f>SUM(D16:D19)</f>
        <v>15300</v>
      </c>
      <c r="G20" s="93" t="s">
        <v>1824</v>
      </c>
      <c r="H20" s="95">
        <f>ROUNDUP(E7/MAX(INT(600/E5),1),0)</f>
        <v>9</v>
      </c>
      <c r="J20" s="93" t="s">
        <v>1764</v>
      </c>
      <c r="K20" s="94">
        <v>2.54</v>
      </c>
      <c r="N20" s="12" t="s">
        <v>1825</v>
      </c>
      <c r="O20" s="13">
        <v>3300</v>
      </c>
      <c r="P20" s="13">
        <v>5200</v>
      </c>
      <c r="Q20" s="13">
        <v>300</v>
      </c>
      <c r="R20" s="13">
        <v>900</v>
      </c>
      <c r="S20" s="13">
        <v>1400</v>
      </c>
      <c r="T20" s="13">
        <v>2000</v>
      </c>
    </row>
    <row r="21" spans="1:20" ht="15" customHeight="1" x14ac:dyDescent="0.35">
      <c r="A21" s="101" t="s">
        <v>1125</v>
      </c>
      <c r="B21" s="153"/>
      <c r="C21" s="153"/>
      <c r="D21" s="102">
        <f>D20/E2</f>
        <v>3187.5</v>
      </c>
      <c r="G21" s="93" t="s">
        <v>1826</v>
      </c>
      <c r="H21" s="95">
        <f>ROUNDUP(E7/(600/H18),0)+IF(H19&gt;0,ROUNDUP(E7/INT(600/H19),0),0)</f>
        <v>9</v>
      </c>
      <c r="J21" s="93" t="s">
        <v>1770</v>
      </c>
      <c r="K21" s="94">
        <v>3.81</v>
      </c>
      <c r="N21" s="12" t="s">
        <v>1827</v>
      </c>
      <c r="O21" s="13">
        <v>3700</v>
      </c>
      <c r="P21" s="13">
        <v>5600</v>
      </c>
      <c r="Q21" s="13">
        <v>300</v>
      </c>
      <c r="R21" s="13">
        <v>1000</v>
      </c>
      <c r="S21" s="13">
        <v>1700</v>
      </c>
      <c r="T21" s="13">
        <v>2400</v>
      </c>
    </row>
    <row r="22" spans="1:20" ht="15" customHeight="1" x14ac:dyDescent="0.35">
      <c r="A22" s="103" t="s">
        <v>1828</v>
      </c>
      <c r="B22" s="153"/>
      <c r="C22" s="153"/>
      <c r="D22" s="104">
        <f>H8</f>
        <v>5400</v>
      </c>
      <c r="G22" s="93" t="s">
        <v>1829</v>
      </c>
      <c r="H22" s="95">
        <f>H20*E10</f>
        <v>10980</v>
      </c>
      <c r="J22" s="93" t="s">
        <v>1759</v>
      </c>
      <c r="K22" s="94">
        <v>4.0599999999999996</v>
      </c>
      <c r="N22" s="12" t="s">
        <v>1830</v>
      </c>
      <c r="O22" s="13">
        <v>3700</v>
      </c>
      <c r="P22" s="13">
        <v>5600</v>
      </c>
      <c r="Q22" s="13">
        <v>300</v>
      </c>
      <c r="R22" s="13">
        <v>1000</v>
      </c>
      <c r="S22" s="13">
        <v>1700</v>
      </c>
      <c r="T22" s="13">
        <v>2400</v>
      </c>
    </row>
    <row r="23" spans="1:20" ht="15" customHeight="1" x14ac:dyDescent="0.35">
      <c r="A23" s="103" t="s">
        <v>1275</v>
      </c>
      <c r="B23" s="153"/>
      <c r="C23" s="153"/>
      <c r="D23" s="105">
        <f>D22*E2</f>
        <v>25920</v>
      </c>
      <c r="G23" s="93" t="s">
        <v>1831</v>
      </c>
      <c r="H23" s="95">
        <f>H21*E10+IF(H19&gt;0,E7*80,0)</f>
        <v>10980</v>
      </c>
      <c r="J23" s="93" t="s">
        <v>1781</v>
      </c>
      <c r="K23" s="94">
        <v>10.16</v>
      </c>
      <c r="N23" s="12" t="s">
        <v>1832</v>
      </c>
      <c r="O23" s="13">
        <v>5500</v>
      </c>
      <c r="P23" s="13">
        <v>8100</v>
      </c>
      <c r="Q23" s="13">
        <v>600</v>
      </c>
      <c r="R23" s="13">
        <v>2000</v>
      </c>
      <c r="S23" s="13">
        <v>3700</v>
      </c>
      <c r="T23" s="13">
        <v>5300</v>
      </c>
    </row>
    <row r="24" spans="1:20" ht="15" customHeight="1" x14ac:dyDescent="0.35">
      <c r="A24" s="106" t="s">
        <v>1833</v>
      </c>
      <c r="B24" s="153"/>
      <c r="C24" s="153"/>
      <c r="D24" s="107">
        <f>(D22-D21)/D21</f>
        <v>0.69411764705882351</v>
      </c>
      <c r="N24" s="12" t="s">
        <v>1834</v>
      </c>
      <c r="O24" s="13">
        <v>7100</v>
      </c>
      <c r="P24" s="13">
        <v>10100</v>
      </c>
      <c r="Q24" s="13">
        <v>800</v>
      </c>
      <c r="R24" s="13">
        <v>2700</v>
      </c>
      <c r="S24" s="13">
        <v>5200</v>
      </c>
      <c r="T24" s="13">
        <v>7500</v>
      </c>
    </row>
    <row r="25" spans="1:20" ht="15" customHeight="1" x14ac:dyDescent="0.35">
      <c r="N25" s="12" t="s">
        <v>1835</v>
      </c>
      <c r="O25" s="13">
        <v>7900</v>
      </c>
      <c r="P25" s="13">
        <v>10800</v>
      </c>
      <c r="Q25" s="13">
        <v>900</v>
      </c>
      <c r="R25" s="13">
        <v>3100</v>
      </c>
      <c r="S25" s="13">
        <v>5900</v>
      </c>
      <c r="T25" s="13">
        <v>8500</v>
      </c>
    </row>
    <row r="26" spans="1:20" ht="15" customHeight="1" x14ac:dyDescent="0.35">
      <c r="A26" s="108" t="s">
        <v>1836</v>
      </c>
      <c r="N26" s="12" t="s">
        <v>1837</v>
      </c>
      <c r="O26" s="13">
        <v>4000</v>
      </c>
      <c r="P26" s="13">
        <v>6000</v>
      </c>
      <c r="Q26" s="13">
        <v>400</v>
      </c>
      <c r="R26" s="13">
        <v>1200</v>
      </c>
      <c r="S26" s="13">
        <v>2300</v>
      </c>
      <c r="T26" s="13">
        <v>3200</v>
      </c>
    </row>
    <row r="27" spans="1:20" ht="15" customHeight="1" x14ac:dyDescent="0.35">
      <c r="A27" s="109" t="s">
        <v>1838</v>
      </c>
      <c r="D27" s="110">
        <f>H22</f>
        <v>10980</v>
      </c>
      <c r="N27" s="12" t="s">
        <v>1839</v>
      </c>
      <c r="O27" s="13">
        <v>4000</v>
      </c>
      <c r="P27" s="13">
        <v>6000</v>
      </c>
      <c r="Q27" s="13">
        <v>400</v>
      </c>
      <c r="R27" s="13">
        <v>1200</v>
      </c>
      <c r="S27" s="13">
        <v>2300</v>
      </c>
      <c r="T27" s="13">
        <v>3200</v>
      </c>
    </row>
    <row r="28" spans="1:20" ht="15" customHeight="1" x14ac:dyDescent="0.35">
      <c r="A28" s="109" t="s">
        <v>1840</v>
      </c>
      <c r="D28" s="110">
        <f>H23</f>
        <v>10980</v>
      </c>
      <c r="N28" s="12" t="s">
        <v>1841</v>
      </c>
      <c r="O28" s="13">
        <v>4800</v>
      </c>
      <c r="P28" s="13">
        <v>6900</v>
      </c>
      <c r="Q28" s="13">
        <v>500</v>
      </c>
      <c r="R28" s="13">
        <v>1600</v>
      </c>
      <c r="S28" s="13">
        <v>3000</v>
      </c>
      <c r="T28" s="13">
        <v>4300</v>
      </c>
    </row>
    <row r="29" spans="1:20" ht="15" customHeight="1" x14ac:dyDescent="0.35">
      <c r="A29" s="109" t="s">
        <v>1842</v>
      </c>
      <c r="D29" s="110">
        <f>H22-H23</f>
        <v>0</v>
      </c>
      <c r="N29" s="12" t="s">
        <v>1843</v>
      </c>
      <c r="O29" s="13">
        <v>5100</v>
      </c>
      <c r="P29" s="13">
        <v>6900</v>
      </c>
      <c r="Q29" s="13">
        <v>500</v>
      </c>
      <c r="R29" s="13">
        <v>1600</v>
      </c>
      <c r="S29" s="13">
        <v>3000</v>
      </c>
      <c r="T29" s="13">
        <v>4300</v>
      </c>
    </row>
    <row r="30" spans="1:20" ht="15" customHeight="1" x14ac:dyDescent="0.35">
      <c r="N30" s="12" t="s">
        <v>1844</v>
      </c>
      <c r="O30" s="13">
        <v>3900</v>
      </c>
      <c r="P30" s="13">
        <v>5600</v>
      </c>
      <c r="Q30" s="13">
        <v>300</v>
      </c>
      <c r="R30" s="13">
        <v>1100</v>
      </c>
      <c r="S30" s="13">
        <v>2000</v>
      </c>
      <c r="T30" s="13">
        <v>2800</v>
      </c>
    </row>
    <row r="31" spans="1:20" ht="15" customHeight="1" x14ac:dyDescent="0.35">
      <c r="A31" s="108"/>
      <c r="B31" s="150"/>
      <c r="N31" s="12" t="s">
        <v>1845</v>
      </c>
      <c r="O31" s="13">
        <v>4400</v>
      </c>
      <c r="P31" s="13">
        <v>6400</v>
      </c>
      <c r="Q31" s="13">
        <v>400</v>
      </c>
      <c r="R31" s="13">
        <v>1400</v>
      </c>
      <c r="S31" s="13">
        <v>2400</v>
      </c>
      <c r="T31" s="13">
        <v>3500</v>
      </c>
    </row>
    <row r="32" spans="1:20" ht="15" customHeight="1" x14ac:dyDescent="0.35">
      <c r="N32" s="12" t="s">
        <v>1846</v>
      </c>
      <c r="O32" s="13">
        <v>5000</v>
      </c>
      <c r="P32" s="13">
        <v>7200</v>
      </c>
      <c r="Q32" s="13">
        <v>500</v>
      </c>
      <c r="R32" s="13">
        <v>1700</v>
      </c>
      <c r="S32" s="13">
        <v>2900</v>
      </c>
      <c r="T32" s="13">
        <v>4200</v>
      </c>
    </row>
    <row r="33" spans="14:20" ht="15" customHeight="1" x14ac:dyDescent="0.35">
      <c r="N33" s="12" t="s">
        <v>1847</v>
      </c>
      <c r="O33" s="13">
        <v>5400</v>
      </c>
      <c r="P33" s="13">
        <v>7900</v>
      </c>
      <c r="Q33" s="13">
        <v>600</v>
      </c>
      <c r="R33" s="13">
        <v>1900</v>
      </c>
      <c r="S33" s="13">
        <v>3300</v>
      </c>
      <c r="T33" s="13">
        <v>4700</v>
      </c>
    </row>
    <row r="34" spans="14:20" ht="15" customHeight="1" x14ac:dyDescent="0.35">
      <c r="N34" s="12" t="s">
        <v>1848</v>
      </c>
      <c r="O34" s="13">
        <v>6500</v>
      </c>
      <c r="P34" s="13">
        <v>9200</v>
      </c>
      <c r="Q34" s="13">
        <v>700</v>
      </c>
      <c r="R34" s="13">
        <v>2400</v>
      </c>
      <c r="S34" s="13">
        <v>4100</v>
      </c>
      <c r="T34" s="13">
        <v>5900</v>
      </c>
    </row>
    <row r="35" spans="14:20" ht="15" customHeight="1" x14ac:dyDescent="0.35">
      <c r="N35" s="12" t="s">
        <v>1849</v>
      </c>
      <c r="O35" s="13">
        <v>7300</v>
      </c>
      <c r="P35" s="13">
        <v>10600</v>
      </c>
      <c r="Q35" s="13">
        <v>800</v>
      </c>
      <c r="R35" s="13">
        <v>2900</v>
      </c>
      <c r="S35" s="13">
        <v>4900</v>
      </c>
      <c r="T35" s="13">
        <v>7000</v>
      </c>
    </row>
    <row r="36" spans="14:20" ht="15" customHeight="1" x14ac:dyDescent="0.35">
      <c r="N36" s="12" t="s">
        <v>1850</v>
      </c>
      <c r="O36" s="13">
        <v>4600</v>
      </c>
      <c r="P36" s="13">
        <v>6500</v>
      </c>
      <c r="Q36" s="13">
        <v>400</v>
      </c>
      <c r="R36" s="13">
        <v>1500</v>
      </c>
      <c r="S36" s="13">
        <v>2500</v>
      </c>
      <c r="T36" s="13">
        <v>3500</v>
      </c>
    </row>
    <row r="37" spans="14:20" ht="15" customHeight="1" x14ac:dyDescent="0.35">
      <c r="N37" s="12" t="s">
        <v>1851</v>
      </c>
      <c r="O37" s="13">
        <v>4600</v>
      </c>
      <c r="P37" s="13">
        <v>6500</v>
      </c>
      <c r="Q37" s="13">
        <v>400</v>
      </c>
      <c r="R37" s="13">
        <v>1500</v>
      </c>
      <c r="S37" s="13">
        <v>2500</v>
      </c>
      <c r="T37" s="13">
        <v>3500</v>
      </c>
    </row>
    <row r="38" spans="14:20" ht="15" customHeight="1" x14ac:dyDescent="0.35">
      <c r="N38" s="12" t="s">
        <v>1852</v>
      </c>
      <c r="O38" s="13">
        <v>5400</v>
      </c>
      <c r="P38" s="13">
        <v>7900</v>
      </c>
      <c r="Q38" s="13">
        <v>600</v>
      </c>
      <c r="R38" s="13">
        <v>1900</v>
      </c>
      <c r="S38" s="13">
        <v>3300</v>
      </c>
      <c r="T38" s="13">
        <v>4700</v>
      </c>
    </row>
  </sheetData>
  <mergeCells count="1">
    <mergeCell ref="A1:F1"/>
  </mergeCells>
  <dataValidations count="6">
    <dataValidation type="list" allowBlank="1" sqref="B2" xr:uid="{00000000-0002-0000-1C00-000000000000}">
      <formula1>$J$2:$J$8</formula1>
      <formula2>0</formula2>
    </dataValidation>
    <dataValidation type="list" allowBlank="1" sqref="B6" xr:uid="{00000000-0002-0000-1C00-000001000000}">
      <formula1>$J$11:$J$15</formula1>
      <formula2>0</formula2>
    </dataValidation>
    <dataValidation type="list" allowBlank="1" sqref="B7" xr:uid="{00000000-0002-0000-1C00-000002000000}">
      <formula1>"นอน,ตั้ง"</formula1>
      <formula2>0</formula2>
    </dataValidation>
    <dataValidation type="list" sqref="B5" xr:uid="{00000000-0002-0000-1C00-000003000000}">
      <formula1>"รวม,ไม่รวม"</formula1>
    </dataValidation>
    <dataValidation type="list" sqref="B11" xr:uid="{00000000-0002-0000-1C00-000004000000}">
      <formula1>"ต่อ,ไม่ต่อ"</formula1>
    </dataValidation>
    <dataValidation type="list" allowBlank="1" sqref="B3" xr:uid="{00000000-0002-0000-1C00-000005000000}">
      <formula1>$AF$1:$AF$2</formula1>
    </dataValidation>
  </dataValidations>
  <hyperlinks>
    <hyperlink ref="G1" location="'สารบัญ'!A1" display="🏠 สารบัญ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5B9BD5"/>
  </sheetPr>
  <dimension ref="A1:AF201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17.453125" customWidth="1"/>
    <col min="3" max="3" width="15.26953125" customWidth="1"/>
    <col min="4" max="4" width="20.7265625" customWidth="1"/>
    <col min="5" max="5" width="17.453125" customWidth="1"/>
    <col min="7" max="7" width="19.453125" customWidth="1"/>
    <col min="8" max="8" width="13" customWidth="1"/>
    <col min="10" max="10" width="25.453125" customWidth="1"/>
    <col min="11" max="11" width="9" customWidth="1"/>
    <col min="12" max="15" width="13" customWidth="1"/>
    <col min="16" max="17" width="17.453125" customWidth="1"/>
    <col min="18" max="20" width="13" customWidth="1"/>
    <col min="22" max="22" width="9" customWidth="1"/>
    <col min="28" max="28" width="19.453125" hidden="1" customWidth="1"/>
    <col min="29" max="30" width="13" hidden="1" customWidth="1"/>
    <col min="32" max="32" width="13" hidden="1" customWidth="1"/>
  </cols>
  <sheetData>
    <row r="1" spans="1:32" ht="24" customHeight="1" x14ac:dyDescent="0.35">
      <c r="A1" s="437" t="s">
        <v>1853</v>
      </c>
      <c r="B1" s="411"/>
      <c r="C1" s="411"/>
      <c r="D1" s="411"/>
      <c r="E1" s="411"/>
      <c r="F1" s="411"/>
      <c r="G1" s="388" t="s">
        <v>78</v>
      </c>
      <c r="H1" s="389"/>
      <c r="I1" s="319"/>
      <c r="J1" s="91" t="s">
        <v>1854</v>
      </c>
      <c r="M1" s="11" t="s">
        <v>1855</v>
      </c>
      <c r="AF1" t="str">
        <f>IFERROR(VLOOKUP(B2,$AB$2:$AD$8,2,0),"")</f>
        <v>1.6"</v>
      </c>
    </row>
    <row r="2" spans="1:32" ht="15" customHeight="1" x14ac:dyDescent="0.35">
      <c r="A2" s="91" t="s">
        <v>1856</v>
      </c>
      <c r="B2" s="92" t="s">
        <v>590</v>
      </c>
      <c r="D2" s="93" t="s">
        <v>1857</v>
      </c>
      <c r="E2" s="94">
        <f>(B9/100)*(H4/100)</f>
        <v>8</v>
      </c>
      <c r="G2" s="93" t="s">
        <v>1805</v>
      </c>
      <c r="H2" s="95">
        <f>LOOKUP(B10,$V$2:$V$10)</f>
        <v>200</v>
      </c>
      <c r="J2" s="93" t="s">
        <v>1754</v>
      </c>
      <c r="K2" s="95">
        <v>500</v>
      </c>
      <c r="M2" s="12">
        <v>1</v>
      </c>
      <c r="N2" s="12" t="str">
        <f t="shared" ref="N2:N33" si="0">IF(MOD(M2-1,$B$4+$B$7)&lt;$B$4,"A","B")</f>
        <v>A</v>
      </c>
      <c r="O2" s="14">
        <f t="shared" ref="O2:O33" si="1">IF(N2="A",$E$3,$E$4)</f>
        <v>10.16</v>
      </c>
      <c r="P2" s="15">
        <f>O2</f>
        <v>10.16</v>
      </c>
      <c r="Q2" s="15">
        <f t="shared" ref="Q2:Q33" si="2">P2+(M2-1)*$B$8</f>
        <v>10.16</v>
      </c>
      <c r="R2" s="12">
        <f t="shared" ref="R2:R33" si="3">IF(AND(Q2&lt;=$B$9,N2="A"),1,0)</f>
        <v>1</v>
      </c>
      <c r="S2" s="12">
        <f t="shared" ref="S2:S33" si="4">IF(AND(Q2&lt;=$B$9,N2="B"),1,0)</f>
        <v>0</v>
      </c>
      <c r="T2" s="12">
        <f t="shared" ref="T2:T33" si="5">IF(Q2&lt;=$B$9,1,0)</f>
        <v>1</v>
      </c>
      <c r="V2" s="12">
        <v>50</v>
      </c>
      <c r="AB2" t="s">
        <v>1754</v>
      </c>
      <c r="AC2" t="s">
        <v>1756</v>
      </c>
      <c r="AD2" t="s">
        <v>1757</v>
      </c>
      <c r="AF2" t="str">
        <f>IFERROR(VLOOKUP(B2,$AB$2:$AD$8,3,0),"")</f>
        <v>4"</v>
      </c>
    </row>
    <row r="3" spans="1:32" ht="15" customHeight="1" x14ac:dyDescent="0.35">
      <c r="A3" s="91" t="s">
        <v>1858</v>
      </c>
      <c r="B3" s="92" t="s">
        <v>1781</v>
      </c>
      <c r="D3" s="93" t="s">
        <v>1859</v>
      </c>
      <c r="E3" s="94">
        <f>VLOOKUP(B3,$J$18:$K$23,2,0)</f>
        <v>10.16</v>
      </c>
      <c r="G3" s="93" t="s">
        <v>1809</v>
      </c>
      <c r="H3" s="95">
        <f>IFERROR(INDEX($V$2:$V$10,MATCH(B10,$V$2:$V$10,1)+1),99999)</f>
        <v>300</v>
      </c>
      <c r="J3" s="93" t="s">
        <v>1762</v>
      </c>
      <c r="K3" s="95">
        <v>310</v>
      </c>
      <c r="M3" s="12">
        <v>2</v>
      </c>
      <c r="N3" s="12" t="str">
        <f t="shared" si="0"/>
        <v>A</v>
      </c>
      <c r="O3" s="14">
        <f t="shared" si="1"/>
        <v>10.16</v>
      </c>
      <c r="P3" s="15">
        <f t="shared" ref="P3:P34" si="6">P2+O3</f>
        <v>20.32</v>
      </c>
      <c r="Q3" s="15">
        <f t="shared" si="2"/>
        <v>22.82</v>
      </c>
      <c r="R3" s="12">
        <f t="shared" si="3"/>
        <v>1</v>
      </c>
      <c r="S3" s="12">
        <f t="shared" si="4"/>
        <v>0</v>
      </c>
      <c r="T3" s="12">
        <f t="shared" si="5"/>
        <v>1</v>
      </c>
      <c r="V3" s="12">
        <v>60</v>
      </c>
      <c r="AB3" t="s">
        <v>1762</v>
      </c>
      <c r="AC3" t="s">
        <v>1764</v>
      </c>
      <c r="AD3" t="s">
        <v>1764</v>
      </c>
      <c r="AF3" t="str">
        <f>IFERROR(VLOOKUP(B5,$AB$2:$AD$8,2,0),"")</f>
        <v>1"</v>
      </c>
    </row>
    <row r="4" spans="1:32" ht="15" customHeight="1" x14ac:dyDescent="0.35">
      <c r="A4" s="91" t="s">
        <v>1860</v>
      </c>
      <c r="B4" s="96">
        <v>3</v>
      </c>
      <c r="D4" s="93" t="s">
        <v>1861</v>
      </c>
      <c r="E4" s="94">
        <f>VLOOKUP(B6,$J$18:$K$23,2,0)</f>
        <v>4.0599999999999996</v>
      </c>
      <c r="G4" s="93" t="s">
        <v>1816</v>
      </c>
      <c r="H4" s="95">
        <f>IF(B10-H2&lt;=20,H2,IF(H3-B10&lt;=20,H3,B10))</f>
        <v>200</v>
      </c>
      <c r="J4" s="93" t="s">
        <v>1768</v>
      </c>
      <c r="K4" s="95">
        <v>395</v>
      </c>
      <c r="M4" s="12">
        <v>3</v>
      </c>
      <c r="N4" s="12" t="str">
        <f t="shared" si="0"/>
        <v>A</v>
      </c>
      <c r="O4" s="14">
        <f t="shared" si="1"/>
        <v>10.16</v>
      </c>
      <c r="P4" s="15">
        <f t="shared" si="6"/>
        <v>30.48</v>
      </c>
      <c r="Q4" s="15">
        <f t="shared" si="2"/>
        <v>35.480000000000004</v>
      </c>
      <c r="R4" s="12">
        <f t="shared" si="3"/>
        <v>1</v>
      </c>
      <c r="S4" s="12">
        <f t="shared" si="4"/>
        <v>0</v>
      </c>
      <c r="T4" s="12">
        <f t="shared" si="5"/>
        <v>1</v>
      </c>
      <c r="V4" s="12">
        <v>75</v>
      </c>
      <c r="AB4" t="s">
        <v>1768</v>
      </c>
      <c r="AC4" t="s">
        <v>1764</v>
      </c>
      <c r="AD4" t="s">
        <v>1770</v>
      </c>
      <c r="AF4" t="str">
        <f>IFERROR(VLOOKUP(B5,$AB$2:$AD$8,3,0),"")</f>
        <v>1.6"</v>
      </c>
    </row>
    <row r="5" spans="1:32" ht="15" customHeight="1" x14ac:dyDescent="0.35">
      <c r="A5" s="91" t="s">
        <v>1862</v>
      </c>
      <c r="B5" s="92" t="s">
        <v>1775</v>
      </c>
      <c r="D5" s="93" t="s">
        <v>1790</v>
      </c>
      <c r="E5" s="97">
        <f>VLOOKUP(B11,$J$11:$L$15,2,0)</f>
        <v>1</v>
      </c>
      <c r="G5" s="93" t="s">
        <v>1863</v>
      </c>
      <c r="H5" s="95">
        <f>LOOKUP(H4,$V$2:$V$10)</f>
        <v>200</v>
      </c>
      <c r="J5" s="93" t="s">
        <v>1775</v>
      </c>
      <c r="K5" s="95">
        <v>485</v>
      </c>
      <c r="M5" s="12">
        <v>4</v>
      </c>
      <c r="N5" s="12" t="str">
        <f t="shared" si="0"/>
        <v>B</v>
      </c>
      <c r="O5" s="14">
        <f t="shared" si="1"/>
        <v>4.0599999999999996</v>
      </c>
      <c r="P5" s="15">
        <f t="shared" si="6"/>
        <v>34.54</v>
      </c>
      <c r="Q5" s="15">
        <f t="shared" si="2"/>
        <v>42.04</v>
      </c>
      <c r="R5" s="12">
        <f t="shared" si="3"/>
        <v>0</v>
      </c>
      <c r="S5" s="12">
        <f t="shared" si="4"/>
        <v>1</v>
      </c>
      <c r="T5" s="12">
        <f t="shared" si="5"/>
        <v>1</v>
      </c>
      <c r="V5" s="12">
        <v>100</v>
      </c>
      <c r="AB5" t="s">
        <v>1775</v>
      </c>
      <c r="AC5" t="s">
        <v>1764</v>
      </c>
      <c r="AD5" t="s">
        <v>1759</v>
      </c>
    </row>
    <row r="6" spans="1:32" ht="15" customHeight="1" x14ac:dyDescent="0.35">
      <c r="A6" s="91" t="s">
        <v>1864</v>
      </c>
      <c r="B6" s="92" t="s">
        <v>1759</v>
      </c>
      <c r="D6" s="93" t="s">
        <v>1865</v>
      </c>
      <c r="E6" s="95">
        <f>ROUND(VLOOKUP(B2,$J$2:$K$8,2,0)*E5/5,0)*5</f>
        <v>1220</v>
      </c>
      <c r="G6" s="93" t="s">
        <v>1866</v>
      </c>
      <c r="H6" s="95">
        <f>H4-H5</f>
        <v>0</v>
      </c>
      <c r="J6" s="93" t="s">
        <v>1779</v>
      </c>
      <c r="K6" s="95">
        <v>905</v>
      </c>
      <c r="M6" s="12">
        <v>5</v>
      </c>
      <c r="N6" s="12" t="str">
        <f t="shared" si="0"/>
        <v>B</v>
      </c>
      <c r="O6" s="14">
        <f t="shared" si="1"/>
        <v>4.0599999999999996</v>
      </c>
      <c r="P6" s="15">
        <f t="shared" si="6"/>
        <v>38.6</v>
      </c>
      <c r="Q6" s="15">
        <f t="shared" si="2"/>
        <v>48.6</v>
      </c>
      <c r="R6" s="12">
        <f t="shared" si="3"/>
        <v>0</v>
      </c>
      <c r="S6" s="12">
        <f t="shared" si="4"/>
        <v>1</v>
      </c>
      <c r="T6" s="12">
        <f t="shared" si="5"/>
        <v>1</v>
      </c>
      <c r="V6" s="12">
        <v>120</v>
      </c>
      <c r="AB6" t="s">
        <v>1779</v>
      </c>
      <c r="AC6" t="s">
        <v>1764</v>
      </c>
      <c r="AD6" t="s">
        <v>1781</v>
      </c>
    </row>
    <row r="7" spans="1:32" ht="15" customHeight="1" x14ac:dyDescent="0.35">
      <c r="A7" s="91" t="s">
        <v>1867</v>
      </c>
      <c r="B7" s="96">
        <v>5</v>
      </c>
      <c r="D7" s="93" t="s">
        <v>1868</v>
      </c>
      <c r="E7" s="95">
        <f>ROUND(VLOOKUP(B5,$J$2:$K$8,2,0)*E5/5,0)*5</f>
        <v>485</v>
      </c>
      <c r="G7" s="93" t="s">
        <v>1869</v>
      </c>
      <c r="H7" s="95">
        <f>ROUNDUP(E9/MAX(INT(600/H4),1),0)</f>
        <v>6</v>
      </c>
      <c r="J7" s="93" t="s">
        <v>592</v>
      </c>
      <c r="K7" s="95">
        <v>770</v>
      </c>
      <c r="M7" s="12">
        <v>6</v>
      </c>
      <c r="N7" s="12" t="str">
        <f t="shared" si="0"/>
        <v>B</v>
      </c>
      <c r="O7" s="14">
        <f t="shared" si="1"/>
        <v>4.0599999999999996</v>
      </c>
      <c r="P7" s="15">
        <f t="shared" si="6"/>
        <v>42.660000000000004</v>
      </c>
      <c r="Q7" s="15">
        <f t="shared" si="2"/>
        <v>55.160000000000004</v>
      </c>
      <c r="R7" s="12">
        <f t="shared" si="3"/>
        <v>0</v>
      </c>
      <c r="S7" s="12">
        <f t="shared" si="4"/>
        <v>1</v>
      </c>
      <c r="T7" s="12">
        <f t="shared" si="5"/>
        <v>1</v>
      </c>
      <c r="V7" s="12">
        <v>150</v>
      </c>
      <c r="AB7" t="s">
        <v>592</v>
      </c>
      <c r="AC7" t="s">
        <v>1759</v>
      </c>
      <c r="AD7" t="s">
        <v>1759</v>
      </c>
    </row>
    <row r="8" spans="1:32" ht="15" customHeight="1" x14ac:dyDescent="0.35">
      <c r="A8" s="91" t="s">
        <v>1870</v>
      </c>
      <c r="B8" s="115">
        <v>2.5</v>
      </c>
      <c r="D8" s="93" t="s">
        <v>1871</v>
      </c>
      <c r="E8" s="95">
        <f>SUM(T2:T201)</f>
        <v>44</v>
      </c>
      <c r="G8" s="93" t="s">
        <v>1872</v>
      </c>
      <c r="H8" s="95">
        <f>ROUNDUP(E9/(600/H5),0)+IF(H6&gt;0,ROUNDUP(E9/INT(600/H6),0),0)</f>
        <v>6</v>
      </c>
      <c r="J8" s="93" t="s">
        <v>590</v>
      </c>
      <c r="K8" s="95">
        <v>1220</v>
      </c>
      <c r="M8" s="12">
        <v>7</v>
      </c>
      <c r="N8" s="12" t="str">
        <f t="shared" si="0"/>
        <v>B</v>
      </c>
      <c r="O8" s="14">
        <f t="shared" si="1"/>
        <v>4.0599999999999996</v>
      </c>
      <c r="P8" s="15">
        <f t="shared" si="6"/>
        <v>46.720000000000006</v>
      </c>
      <c r="Q8" s="15">
        <f t="shared" si="2"/>
        <v>61.720000000000006</v>
      </c>
      <c r="R8" s="12">
        <f t="shared" si="3"/>
        <v>0</v>
      </c>
      <c r="S8" s="12">
        <f t="shared" si="4"/>
        <v>1</v>
      </c>
      <c r="T8" s="12">
        <f t="shared" si="5"/>
        <v>1</v>
      </c>
      <c r="V8" s="12">
        <v>200</v>
      </c>
      <c r="AB8" t="s">
        <v>590</v>
      </c>
      <c r="AC8" t="s">
        <v>1759</v>
      </c>
      <c r="AD8" t="s">
        <v>1781</v>
      </c>
    </row>
    <row r="9" spans="1:32" ht="15" customHeight="1" x14ac:dyDescent="0.35">
      <c r="A9" s="91" t="s">
        <v>1873</v>
      </c>
      <c r="B9" s="96">
        <v>400</v>
      </c>
      <c r="D9" s="93" t="s">
        <v>1874</v>
      </c>
      <c r="E9" s="95">
        <f>SUM(R2:R201)</f>
        <v>18</v>
      </c>
      <c r="G9" s="93" t="s">
        <v>1875</v>
      </c>
      <c r="H9" s="95">
        <f>ROUNDUP(E10/MAX(INT(600/H4),1),0)</f>
        <v>9</v>
      </c>
      <c r="M9" s="12">
        <v>8</v>
      </c>
      <c r="N9" s="12" t="str">
        <f t="shared" si="0"/>
        <v>B</v>
      </c>
      <c r="O9" s="14">
        <f t="shared" si="1"/>
        <v>4.0599999999999996</v>
      </c>
      <c r="P9" s="15">
        <f t="shared" si="6"/>
        <v>50.780000000000008</v>
      </c>
      <c r="Q9" s="15">
        <f t="shared" si="2"/>
        <v>68.28</v>
      </c>
      <c r="R9" s="12">
        <f t="shared" si="3"/>
        <v>0</v>
      </c>
      <c r="S9" s="12">
        <f t="shared" si="4"/>
        <v>1</v>
      </c>
      <c r="T9" s="12">
        <f t="shared" si="5"/>
        <v>1</v>
      </c>
      <c r="V9" s="12">
        <v>300</v>
      </c>
    </row>
    <row r="10" spans="1:32" ht="15" customHeight="1" x14ac:dyDescent="0.35">
      <c r="A10" s="91" t="s">
        <v>1876</v>
      </c>
      <c r="B10" s="96">
        <v>200</v>
      </c>
      <c r="D10" s="93" t="s">
        <v>1877</v>
      </c>
      <c r="E10" s="95">
        <f>SUM(S2:S201)</f>
        <v>26</v>
      </c>
      <c r="G10" s="93" t="s">
        <v>1878</v>
      </c>
      <c r="H10" s="95">
        <f>ROUNDUP(E10/(600/H5),0)+IF(H6&gt;0,ROUNDUP(E10/INT(600/H6),0),0)</f>
        <v>9</v>
      </c>
      <c r="M10" s="12">
        <v>9</v>
      </c>
      <c r="N10" s="12" t="str">
        <f t="shared" si="0"/>
        <v>A</v>
      </c>
      <c r="O10" s="14">
        <f t="shared" si="1"/>
        <v>10.16</v>
      </c>
      <c r="P10" s="15">
        <f t="shared" si="6"/>
        <v>60.940000000000012</v>
      </c>
      <c r="Q10" s="15">
        <f t="shared" si="2"/>
        <v>80.940000000000012</v>
      </c>
      <c r="R10" s="12">
        <f t="shared" si="3"/>
        <v>1</v>
      </c>
      <c r="S10" s="12">
        <f t="shared" si="4"/>
        <v>0</v>
      </c>
      <c r="T10" s="12">
        <f t="shared" si="5"/>
        <v>1</v>
      </c>
      <c r="V10" s="12">
        <v>600</v>
      </c>
    </row>
    <row r="11" spans="1:32" ht="15" customHeight="1" x14ac:dyDescent="0.35">
      <c r="A11" s="91" t="s">
        <v>1253</v>
      </c>
      <c r="B11" s="92" t="s">
        <v>112</v>
      </c>
      <c r="D11" s="93" t="s">
        <v>1879</v>
      </c>
      <c r="E11" s="116">
        <f>SUMPRODUCT($T$2:$T$201,$O$2:$O$201)</f>
        <v>288.44000000000011</v>
      </c>
      <c r="G11" s="93" t="s">
        <v>1880</v>
      </c>
      <c r="H11" s="95">
        <f>IF(AND(B15="ต่อ",H6&gt;0),(E9+E10)*80,0)</f>
        <v>0</v>
      </c>
      <c r="J11" s="93" t="s">
        <v>112</v>
      </c>
      <c r="K11" s="97">
        <v>1</v>
      </c>
      <c r="L11" s="95">
        <v>0</v>
      </c>
      <c r="M11" s="12">
        <v>10</v>
      </c>
      <c r="N11" s="12" t="str">
        <f t="shared" si="0"/>
        <v>A</v>
      </c>
      <c r="O11" s="14">
        <f t="shared" si="1"/>
        <v>10.16</v>
      </c>
      <c r="P11" s="15">
        <f t="shared" si="6"/>
        <v>71.100000000000009</v>
      </c>
      <c r="Q11" s="15">
        <f t="shared" si="2"/>
        <v>93.600000000000009</v>
      </c>
      <c r="R11" s="12">
        <f t="shared" si="3"/>
        <v>1</v>
      </c>
      <c r="S11" s="12">
        <f t="shared" si="4"/>
        <v>0</v>
      </c>
      <c r="T11" s="12">
        <f t="shared" si="5"/>
        <v>1</v>
      </c>
    </row>
    <row r="12" spans="1:32" ht="15" customHeight="1" x14ac:dyDescent="0.35">
      <c r="A12" s="91" t="s">
        <v>1771</v>
      </c>
      <c r="B12" s="92" t="s">
        <v>1772</v>
      </c>
      <c r="D12" s="93" t="s">
        <v>1881</v>
      </c>
      <c r="E12" s="94">
        <f>(B9-E11)/(E8-1)</f>
        <v>2.5944186046511604</v>
      </c>
      <c r="J12" s="93" t="s">
        <v>94</v>
      </c>
      <c r="K12" s="97">
        <v>1.5208299999999999</v>
      </c>
      <c r="L12" s="95">
        <v>0</v>
      </c>
      <c r="M12" s="12">
        <v>11</v>
      </c>
      <c r="N12" s="12" t="str">
        <f t="shared" si="0"/>
        <v>A</v>
      </c>
      <c r="O12" s="14">
        <f t="shared" si="1"/>
        <v>10.16</v>
      </c>
      <c r="P12" s="15">
        <f t="shared" si="6"/>
        <v>81.260000000000005</v>
      </c>
      <c r="Q12" s="15">
        <f t="shared" si="2"/>
        <v>106.26</v>
      </c>
      <c r="R12" s="12">
        <f t="shared" si="3"/>
        <v>1</v>
      </c>
      <c r="S12" s="12">
        <f t="shared" si="4"/>
        <v>0</v>
      </c>
      <c r="T12" s="12">
        <f t="shared" si="5"/>
        <v>1</v>
      </c>
    </row>
    <row r="13" spans="1:32" ht="15" customHeight="1" x14ac:dyDescent="0.35">
      <c r="A13" s="91" t="s">
        <v>1792</v>
      </c>
      <c r="B13" s="96">
        <v>300</v>
      </c>
      <c r="D13" s="93" t="s">
        <v>1882</v>
      </c>
      <c r="E13" s="95">
        <f>IF(B15="ต่อ",H8,H7)</f>
        <v>6</v>
      </c>
      <c r="J13" s="93" t="s">
        <v>1806</v>
      </c>
      <c r="K13" s="97">
        <v>1.5860000000000001</v>
      </c>
      <c r="L13" s="95">
        <v>0</v>
      </c>
      <c r="M13" s="12">
        <v>12</v>
      </c>
      <c r="N13" s="12" t="str">
        <f t="shared" si="0"/>
        <v>B</v>
      </c>
      <c r="O13" s="14">
        <f t="shared" si="1"/>
        <v>4.0599999999999996</v>
      </c>
      <c r="P13" s="15">
        <f t="shared" si="6"/>
        <v>85.320000000000007</v>
      </c>
      <c r="Q13" s="15">
        <f t="shared" si="2"/>
        <v>112.82000000000001</v>
      </c>
      <c r="R13" s="12">
        <f t="shared" si="3"/>
        <v>0</v>
      </c>
      <c r="S13" s="12">
        <f t="shared" si="4"/>
        <v>1</v>
      </c>
      <c r="T13" s="12">
        <f t="shared" si="5"/>
        <v>1</v>
      </c>
    </row>
    <row r="14" spans="1:32" ht="15" customHeight="1" x14ac:dyDescent="0.35">
      <c r="A14" s="25" t="s">
        <v>1801</v>
      </c>
      <c r="B14" s="96">
        <v>600</v>
      </c>
      <c r="D14" s="93" t="s">
        <v>1883</v>
      </c>
      <c r="E14" s="95">
        <f>IF(B15="ต่อ",H10,H9)</f>
        <v>9</v>
      </c>
      <c r="J14" s="93" t="s">
        <v>96</v>
      </c>
      <c r="K14" s="97">
        <v>1.9010400000000001</v>
      </c>
      <c r="L14" s="95">
        <v>2000</v>
      </c>
      <c r="M14" s="12">
        <v>13</v>
      </c>
      <c r="N14" s="12" t="str">
        <f t="shared" si="0"/>
        <v>B</v>
      </c>
      <c r="O14" s="14">
        <f t="shared" si="1"/>
        <v>4.0599999999999996</v>
      </c>
      <c r="P14" s="15">
        <f t="shared" si="6"/>
        <v>89.38000000000001</v>
      </c>
      <c r="Q14" s="15">
        <f t="shared" si="2"/>
        <v>119.38000000000001</v>
      </c>
      <c r="R14" s="12">
        <f t="shared" si="3"/>
        <v>0</v>
      </c>
      <c r="S14" s="12">
        <f t="shared" si="4"/>
        <v>1</v>
      </c>
      <c r="T14" s="12">
        <f t="shared" si="5"/>
        <v>1</v>
      </c>
    </row>
    <row r="15" spans="1:32" ht="15" customHeight="1" x14ac:dyDescent="0.35">
      <c r="A15" s="91" t="s">
        <v>1796</v>
      </c>
      <c r="B15" s="92" t="s">
        <v>1797</v>
      </c>
      <c r="D15" s="93" t="s">
        <v>1884</v>
      </c>
      <c r="E15" s="95">
        <f>VLOOKUP(B11,$J$11:$L$15,3,0)</f>
        <v>0</v>
      </c>
      <c r="J15" s="93" t="s">
        <v>98</v>
      </c>
      <c r="K15" s="97">
        <v>1.9895799999999999</v>
      </c>
      <c r="L15" s="95">
        <v>2000</v>
      </c>
      <c r="M15" s="12">
        <v>14</v>
      </c>
      <c r="N15" s="12" t="str">
        <f t="shared" si="0"/>
        <v>B</v>
      </c>
      <c r="O15" s="14">
        <f t="shared" si="1"/>
        <v>4.0599999999999996</v>
      </c>
      <c r="P15" s="15">
        <f t="shared" si="6"/>
        <v>93.440000000000012</v>
      </c>
      <c r="Q15" s="15">
        <f t="shared" si="2"/>
        <v>125.94000000000001</v>
      </c>
      <c r="R15" s="12">
        <f t="shared" si="3"/>
        <v>0</v>
      </c>
      <c r="S15" s="12">
        <f t="shared" si="4"/>
        <v>1</v>
      </c>
      <c r="T15" s="12">
        <f t="shared" si="5"/>
        <v>1</v>
      </c>
    </row>
    <row r="16" spans="1:32" ht="15" customHeight="1" x14ac:dyDescent="0.35">
      <c r="A16" s="346" t="s">
        <v>1885</v>
      </c>
      <c r="B16" s="398">
        <f>ROUND(E12,2)</f>
        <v>2.59</v>
      </c>
      <c r="D16" s="93" t="s">
        <v>1753</v>
      </c>
      <c r="E16" s="95">
        <f>IF(B12="รวม",ROUNDUP(IF(B10&lt;=250,2,3)/MAX(INT(600/B9),1),0),0)</f>
        <v>0</v>
      </c>
      <c r="M16" s="12">
        <v>15</v>
      </c>
      <c r="N16" s="12" t="str">
        <f t="shared" si="0"/>
        <v>B</v>
      </c>
      <c r="O16" s="14">
        <f t="shared" si="1"/>
        <v>4.0599999999999996</v>
      </c>
      <c r="P16" s="15">
        <f t="shared" si="6"/>
        <v>97.500000000000014</v>
      </c>
      <c r="Q16" s="15">
        <f t="shared" si="2"/>
        <v>132.5</v>
      </c>
      <c r="R16" s="12">
        <f t="shared" si="3"/>
        <v>0</v>
      </c>
      <c r="S16" s="12">
        <f t="shared" si="4"/>
        <v>1</v>
      </c>
      <c r="T16" s="12">
        <f t="shared" si="5"/>
        <v>1</v>
      </c>
    </row>
    <row r="17" spans="1:20" ht="15" customHeight="1" x14ac:dyDescent="0.35">
      <c r="D17" s="93" t="s">
        <v>1886</v>
      </c>
      <c r="E17" s="95">
        <f>ROUND(485*E5/5,0)*5</f>
        <v>485</v>
      </c>
      <c r="M17" s="12">
        <v>16</v>
      </c>
      <c r="N17" s="12" t="str">
        <f t="shared" si="0"/>
        <v>B</v>
      </c>
      <c r="O17" s="14">
        <f t="shared" si="1"/>
        <v>4.0599999999999996</v>
      </c>
      <c r="P17" s="15">
        <f t="shared" si="6"/>
        <v>101.56000000000002</v>
      </c>
      <c r="Q17" s="15">
        <f t="shared" si="2"/>
        <v>139.06</v>
      </c>
      <c r="R17" s="12">
        <f t="shared" si="3"/>
        <v>0</v>
      </c>
      <c r="S17" s="12">
        <f t="shared" si="4"/>
        <v>1</v>
      </c>
      <c r="T17" s="12">
        <f t="shared" si="5"/>
        <v>1</v>
      </c>
    </row>
    <row r="18" spans="1:20" ht="15" customHeight="1" x14ac:dyDescent="0.35">
      <c r="J18" s="93" t="s">
        <v>1756</v>
      </c>
      <c r="K18" s="117">
        <v>1</v>
      </c>
      <c r="M18" s="12">
        <v>17</v>
      </c>
      <c r="N18" s="12" t="str">
        <f t="shared" si="0"/>
        <v>A</v>
      </c>
      <c r="O18" s="14">
        <f t="shared" si="1"/>
        <v>10.16</v>
      </c>
      <c r="P18" s="15">
        <f t="shared" si="6"/>
        <v>111.72000000000001</v>
      </c>
      <c r="Q18" s="15">
        <f t="shared" si="2"/>
        <v>151.72000000000003</v>
      </c>
      <c r="R18" s="12">
        <f t="shared" si="3"/>
        <v>1</v>
      </c>
      <c r="S18" s="12">
        <f t="shared" si="4"/>
        <v>0</v>
      </c>
      <c r="T18" s="12">
        <f t="shared" si="5"/>
        <v>1</v>
      </c>
    </row>
    <row r="19" spans="1:20" ht="15" customHeight="1" x14ac:dyDescent="0.35">
      <c r="J19" s="93" t="s">
        <v>1757</v>
      </c>
      <c r="K19" s="117">
        <v>5</v>
      </c>
      <c r="M19" s="12">
        <v>18</v>
      </c>
      <c r="N19" s="12" t="str">
        <f t="shared" si="0"/>
        <v>A</v>
      </c>
      <c r="O19" s="14">
        <f t="shared" si="1"/>
        <v>10.16</v>
      </c>
      <c r="P19" s="15">
        <f t="shared" si="6"/>
        <v>121.88000000000001</v>
      </c>
      <c r="Q19" s="15">
        <f t="shared" si="2"/>
        <v>164.38</v>
      </c>
      <c r="R19" s="12">
        <f t="shared" si="3"/>
        <v>1</v>
      </c>
      <c r="S19" s="12">
        <f t="shared" si="4"/>
        <v>0</v>
      </c>
      <c r="T19" s="12">
        <f t="shared" si="5"/>
        <v>1</v>
      </c>
    </row>
    <row r="20" spans="1:20" ht="15" customHeight="1" x14ac:dyDescent="0.35">
      <c r="A20" s="111" t="s">
        <v>1633</v>
      </c>
      <c r="B20" s="111" t="s">
        <v>1255</v>
      </c>
      <c r="C20" s="111" t="s">
        <v>1687</v>
      </c>
      <c r="D20" s="111" t="s">
        <v>1377</v>
      </c>
      <c r="J20" s="112" t="s">
        <v>1764</v>
      </c>
      <c r="K20" s="118">
        <v>2.54</v>
      </c>
      <c r="M20" s="12">
        <v>19</v>
      </c>
      <c r="N20" s="12" t="str">
        <f t="shared" si="0"/>
        <v>A</v>
      </c>
      <c r="O20" s="14">
        <f t="shared" si="1"/>
        <v>10.16</v>
      </c>
      <c r="P20" s="15">
        <f t="shared" si="6"/>
        <v>132.04000000000002</v>
      </c>
      <c r="Q20" s="15">
        <f t="shared" si="2"/>
        <v>177.04000000000002</v>
      </c>
      <c r="R20" s="12">
        <f t="shared" si="3"/>
        <v>1</v>
      </c>
      <c r="S20" s="12">
        <f t="shared" si="4"/>
        <v>0</v>
      </c>
      <c r="T20" s="12">
        <f t="shared" si="5"/>
        <v>1</v>
      </c>
    </row>
    <row r="21" spans="1:20" ht="15" customHeight="1" x14ac:dyDescent="0.35">
      <c r="A21" s="99" t="str">
        <f>B2&amp;" — A (โชว์ "&amp;B3&amp;")"</f>
        <v>กล่อง 1.6"×4" — A (โชว์ 4")</v>
      </c>
      <c r="B21" s="82">
        <f>E13</f>
        <v>6</v>
      </c>
      <c r="C21" s="82">
        <f>E6</f>
        <v>1220</v>
      </c>
      <c r="D21" s="82">
        <f t="shared" ref="D21:D26" si="7">B21*C21</f>
        <v>7320</v>
      </c>
      <c r="J21" s="93" t="s">
        <v>1770</v>
      </c>
      <c r="K21" s="117">
        <v>3.81</v>
      </c>
      <c r="M21" s="12">
        <v>20</v>
      </c>
      <c r="N21" s="12" t="str">
        <f t="shared" si="0"/>
        <v>B</v>
      </c>
      <c r="O21" s="14">
        <f t="shared" si="1"/>
        <v>4.0599999999999996</v>
      </c>
      <c r="P21" s="15">
        <f t="shared" si="6"/>
        <v>136.10000000000002</v>
      </c>
      <c r="Q21" s="15">
        <f t="shared" si="2"/>
        <v>183.60000000000002</v>
      </c>
      <c r="R21" s="12">
        <f t="shared" si="3"/>
        <v>0</v>
      </c>
      <c r="S21" s="12">
        <f t="shared" si="4"/>
        <v>1</v>
      </c>
      <c r="T21" s="12">
        <f t="shared" si="5"/>
        <v>1</v>
      </c>
    </row>
    <row r="22" spans="1:20" ht="15" customHeight="1" x14ac:dyDescent="0.35">
      <c r="A22" s="99" t="str">
        <f>B5&amp;" — B (โชว์ "&amp;B6&amp;")"</f>
        <v>กล่อง 1"×1.6" — B (โชว์ 1.6")</v>
      </c>
      <c r="B22" s="82">
        <f>E14</f>
        <v>9</v>
      </c>
      <c r="C22" s="82">
        <f>E7</f>
        <v>485</v>
      </c>
      <c r="D22" s="82">
        <f t="shared" si="7"/>
        <v>4365</v>
      </c>
      <c r="J22" s="93" t="s">
        <v>1759</v>
      </c>
      <c r="K22" s="117">
        <v>4.0599999999999996</v>
      </c>
      <c r="M22" s="12">
        <v>21</v>
      </c>
      <c r="N22" s="12" t="str">
        <f t="shared" si="0"/>
        <v>B</v>
      </c>
      <c r="O22" s="14">
        <f t="shared" si="1"/>
        <v>4.0599999999999996</v>
      </c>
      <c r="P22" s="15">
        <f t="shared" si="6"/>
        <v>140.16000000000003</v>
      </c>
      <c r="Q22" s="15">
        <f t="shared" si="2"/>
        <v>190.16000000000003</v>
      </c>
      <c r="R22" s="12">
        <f t="shared" si="3"/>
        <v>0</v>
      </c>
      <c r="S22" s="12">
        <f t="shared" si="4"/>
        <v>1</v>
      </c>
      <c r="T22" s="12">
        <f t="shared" si="5"/>
        <v>1</v>
      </c>
    </row>
    <row r="23" spans="1:20" ht="15" customHeight="1" x14ac:dyDescent="0.35">
      <c r="A23" s="99" t="s">
        <v>1887</v>
      </c>
      <c r="B23" s="82">
        <f>IF(AND(B15="ต่อ",H6&gt;0),E9+E10,0)</f>
        <v>0</v>
      </c>
      <c r="C23" s="82">
        <v>80</v>
      </c>
      <c r="D23" s="82">
        <f t="shared" si="7"/>
        <v>0</v>
      </c>
      <c r="J23" s="93" t="s">
        <v>1781</v>
      </c>
      <c r="K23" s="117">
        <v>10.16</v>
      </c>
      <c r="M23" s="12">
        <v>22</v>
      </c>
      <c r="N23" s="12" t="str">
        <f t="shared" si="0"/>
        <v>B</v>
      </c>
      <c r="O23" s="14">
        <f t="shared" si="1"/>
        <v>4.0599999999999996</v>
      </c>
      <c r="P23" s="15">
        <f t="shared" si="6"/>
        <v>144.22000000000003</v>
      </c>
      <c r="Q23" s="15">
        <f t="shared" si="2"/>
        <v>196.72000000000003</v>
      </c>
      <c r="R23" s="12">
        <f t="shared" si="3"/>
        <v>0</v>
      </c>
      <c r="S23" s="12">
        <f t="shared" si="4"/>
        <v>1</v>
      </c>
      <c r="T23" s="12">
        <f t="shared" si="5"/>
        <v>1</v>
      </c>
    </row>
    <row r="24" spans="1:20" ht="15" customHeight="1" x14ac:dyDescent="0.35">
      <c r="A24" s="99" t="s">
        <v>1888</v>
      </c>
      <c r="B24" s="82">
        <f>E16</f>
        <v>0</v>
      </c>
      <c r="C24" s="82">
        <f>E17</f>
        <v>485</v>
      </c>
      <c r="D24" s="82">
        <f t="shared" si="7"/>
        <v>0</v>
      </c>
      <c r="M24" s="12">
        <v>23</v>
      </c>
      <c r="N24" s="12" t="str">
        <f t="shared" si="0"/>
        <v>B</v>
      </c>
      <c r="O24" s="14">
        <f t="shared" si="1"/>
        <v>4.0599999999999996</v>
      </c>
      <c r="P24" s="15">
        <f t="shared" si="6"/>
        <v>148.28000000000003</v>
      </c>
      <c r="Q24" s="15">
        <f t="shared" si="2"/>
        <v>203.28000000000003</v>
      </c>
      <c r="R24" s="12">
        <f t="shared" si="3"/>
        <v>0</v>
      </c>
      <c r="S24" s="12">
        <f t="shared" si="4"/>
        <v>1</v>
      </c>
      <c r="T24" s="12">
        <f t="shared" si="5"/>
        <v>1</v>
      </c>
    </row>
    <row r="25" spans="1:20" ht="15" customHeight="1" x14ac:dyDescent="0.35">
      <c r="A25" s="99" t="s">
        <v>1818</v>
      </c>
      <c r="B25" s="82">
        <f>IF(E15&gt;0,1,0)</f>
        <v>0</v>
      </c>
      <c r="C25" s="82">
        <f>E15</f>
        <v>0</v>
      </c>
      <c r="D25" s="82">
        <f t="shared" si="7"/>
        <v>0</v>
      </c>
      <c r="M25" s="12">
        <v>24</v>
      </c>
      <c r="N25" s="12" t="str">
        <f t="shared" si="0"/>
        <v>B</v>
      </c>
      <c r="O25" s="14">
        <f t="shared" si="1"/>
        <v>4.0599999999999996</v>
      </c>
      <c r="P25" s="15">
        <f t="shared" si="6"/>
        <v>152.34000000000003</v>
      </c>
      <c r="Q25" s="15">
        <f t="shared" si="2"/>
        <v>209.84000000000003</v>
      </c>
      <c r="R25" s="12">
        <f t="shared" si="3"/>
        <v>0</v>
      </c>
      <c r="S25" s="12">
        <f t="shared" si="4"/>
        <v>1</v>
      </c>
      <c r="T25" s="12">
        <f t="shared" si="5"/>
        <v>1</v>
      </c>
    </row>
    <row r="26" spans="1:20" ht="15" customHeight="1" x14ac:dyDescent="0.35">
      <c r="A26" s="119" t="s">
        <v>1821</v>
      </c>
      <c r="B26" s="120">
        <f>E2</f>
        <v>8</v>
      </c>
      <c r="C26" s="120">
        <f>B13+B14</f>
        <v>900</v>
      </c>
      <c r="D26" s="120">
        <f t="shared" si="7"/>
        <v>7200</v>
      </c>
      <c r="M26" s="12">
        <v>25</v>
      </c>
      <c r="N26" s="12" t="str">
        <f t="shared" si="0"/>
        <v>A</v>
      </c>
      <c r="O26" s="14">
        <f t="shared" si="1"/>
        <v>10.16</v>
      </c>
      <c r="P26" s="15">
        <f t="shared" si="6"/>
        <v>162.50000000000003</v>
      </c>
      <c r="Q26" s="15">
        <f t="shared" si="2"/>
        <v>222.50000000000003</v>
      </c>
      <c r="R26" s="12">
        <f t="shared" si="3"/>
        <v>1</v>
      </c>
      <c r="S26" s="12">
        <f t="shared" si="4"/>
        <v>0</v>
      </c>
      <c r="T26" s="12">
        <f t="shared" si="5"/>
        <v>1</v>
      </c>
    </row>
    <row r="27" spans="1:20" ht="15" customHeight="1" x14ac:dyDescent="0.35">
      <c r="A27" s="101" t="s">
        <v>1268</v>
      </c>
      <c r="B27" s="153"/>
      <c r="C27" s="153"/>
      <c r="D27" s="102">
        <f>SUM(D21:D26)</f>
        <v>18885</v>
      </c>
      <c r="M27" s="12">
        <v>26</v>
      </c>
      <c r="N27" s="12" t="str">
        <f t="shared" si="0"/>
        <v>A</v>
      </c>
      <c r="O27" s="14">
        <f t="shared" si="1"/>
        <v>10.16</v>
      </c>
      <c r="P27" s="15">
        <f t="shared" si="6"/>
        <v>172.66000000000003</v>
      </c>
      <c r="Q27" s="15">
        <f t="shared" si="2"/>
        <v>235.16000000000003</v>
      </c>
      <c r="R27" s="12">
        <f t="shared" si="3"/>
        <v>1</v>
      </c>
      <c r="S27" s="12">
        <f t="shared" si="4"/>
        <v>0</v>
      </c>
      <c r="T27" s="12">
        <f t="shared" si="5"/>
        <v>1</v>
      </c>
    </row>
    <row r="28" spans="1:20" ht="15" customHeight="1" x14ac:dyDescent="0.35">
      <c r="A28" s="101" t="s">
        <v>1125</v>
      </c>
      <c r="B28" s="153"/>
      <c r="C28" s="153"/>
      <c r="D28" s="102">
        <f>D27/E2</f>
        <v>2360.625</v>
      </c>
      <c r="M28" s="12">
        <v>27</v>
      </c>
      <c r="N28" s="12" t="str">
        <f t="shared" si="0"/>
        <v>A</v>
      </c>
      <c r="O28" s="14">
        <f t="shared" si="1"/>
        <v>10.16</v>
      </c>
      <c r="P28" s="15">
        <f t="shared" si="6"/>
        <v>182.82000000000002</v>
      </c>
      <c r="Q28" s="15">
        <f t="shared" si="2"/>
        <v>247.82000000000002</v>
      </c>
      <c r="R28" s="12">
        <f t="shared" si="3"/>
        <v>1</v>
      </c>
      <c r="S28" s="12">
        <f t="shared" si="4"/>
        <v>0</v>
      </c>
      <c r="T28" s="12">
        <f t="shared" si="5"/>
        <v>1</v>
      </c>
    </row>
    <row r="29" spans="1:20" ht="15" customHeight="1" x14ac:dyDescent="0.35">
      <c r="A29" s="16"/>
      <c r="M29" s="12">
        <v>28</v>
      </c>
      <c r="N29" s="12" t="str">
        <f t="shared" si="0"/>
        <v>B</v>
      </c>
      <c r="O29" s="14">
        <f t="shared" si="1"/>
        <v>4.0599999999999996</v>
      </c>
      <c r="P29" s="15">
        <f t="shared" si="6"/>
        <v>186.88000000000002</v>
      </c>
      <c r="Q29" s="15">
        <f t="shared" si="2"/>
        <v>254.38000000000002</v>
      </c>
      <c r="R29" s="12">
        <f t="shared" si="3"/>
        <v>0</v>
      </c>
      <c r="S29" s="12">
        <f t="shared" si="4"/>
        <v>1</v>
      </c>
      <c r="T29" s="12">
        <f t="shared" si="5"/>
        <v>1</v>
      </c>
    </row>
    <row r="30" spans="1:20" ht="15" customHeight="1" x14ac:dyDescent="0.35">
      <c r="A30" s="108"/>
      <c r="B30" s="150"/>
      <c r="M30" s="12">
        <v>29</v>
      </c>
      <c r="N30" s="12" t="str">
        <f t="shared" si="0"/>
        <v>B</v>
      </c>
      <c r="O30" s="14">
        <f t="shared" si="1"/>
        <v>4.0599999999999996</v>
      </c>
      <c r="P30" s="15">
        <f t="shared" si="6"/>
        <v>190.94000000000003</v>
      </c>
      <c r="Q30" s="15">
        <f t="shared" si="2"/>
        <v>260.94000000000005</v>
      </c>
      <c r="R30" s="12">
        <f t="shared" si="3"/>
        <v>0</v>
      </c>
      <c r="S30" s="12">
        <f t="shared" si="4"/>
        <v>1</v>
      </c>
      <c r="T30" s="12">
        <f t="shared" si="5"/>
        <v>1</v>
      </c>
    </row>
    <row r="31" spans="1:20" ht="15" customHeight="1" x14ac:dyDescent="0.35">
      <c r="A31" s="30" t="s">
        <v>1889</v>
      </c>
      <c r="D31" s="66">
        <f>SUM(D21:D25)</f>
        <v>11685</v>
      </c>
      <c r="M31" s="12">
        <v>30</v>
      </c>
      <c r="N31" s="12" t="str">
        <f t="shared" si="0"/>
        <v>B</v>
      </c>
      <c r="O31" s="14">
        <f t="shared" si="1"/>
        <v>4.0599999999999996</v>
      </c>
      <c r="P31" s="15">
        <f t="shared" si="6"/>
        <v>195.00000000000003</v>
      </c>
      <c r="Q31" s="15">
        <f t="shared" si="2"/>
        <v>267.5</v>
      </c>
      <c r="R31" s="12">
        <f t="shared" si="3"/>
        <v>0</v>
      </c>
      <c r="S31" s="12">
        <f t="shared" si="4"/>
        <v>1</v>
      </c>
      <c r="T31" s="12">
        <f t="shared" si="5"/>
        <v>1</v>
      </c>
    </row>
    <row r="32" spans="1:20" ht="15" customHeight="1" x14ac:dyDescent="0.35">
      <c r="A32" s="30" t="s">
        <v>711</v>
      </c>
      <c r="D32" s="66">
        <f>B13*E2</f>
        <v>2400</v>
      </c>
      <c r="M32" s="12">
        <v>31</v>
      </c>
      <c r="N32" s="12" t="str">
        <f t="shared" si="0"/>
        <v>B</v>
      </c>
      <c r="O32" s="14">
        <f t="shared" si="1"/>
        <v>4.0599999999999996</v>
      </c>
      <c r="P32" s="15">
        <f t="shared" si="6"/>
        <v>199.06000000000003</v>
      </c>
      <c r="Q32" s="15">
        <f t="shared" si="2"/>
        <v>274.06000000000006</v>
      </c>
      <c r="R32" s="12">
        <f t="shared" si="3"/>
        <v>0</v>
      </c>
      <c r="S32" s="12">
        <f t="shared" si="4"/>
        <v>1</v>
      </c>
      <c r="T32" s="12">
        <f t="shared" si="5"/>
        <v>1</v>
      </c>
    </row>
    <row r="33" spans="1:20" ht="15" customHeight="1" x14ac:dyDescent="0.35">
      <c r="A33" s="30" t="s">
        <v>654</v>
      </c>
      <c r="D33" s="66">
        <f>B14*E2</f>
        <v>4800</v>
      </c>
      <c r="M33" s="12">
        <v>32</v>
      </c>
      <c r="N33" s="12" t="str">
        <f t="shared" si="0"/>
        <v>B</v>
      </c>
      <c r="O33" s="14">
        <f t="shared" si="1"/>
        <v>4.0599999999999996</v>
      </c>
      <c r="P33" s="15">
        <f t="shared" si="6"/>
        <v>203.12000000000003</v>
      </c>
      <c r="Q33" s="15">
        <f t="shared" si="2"/>
        <v>280.62</v>
      </c>
      <c r="R33" s="12">
        <f t="shared" si="3"/>
        <v>0</v>
      </c>
      <c r="S33" s="12">
        <f t="shared" si="4"/>
        <v>1</v>
      </c>
      <c r="T33" s="12">
        <f t="shared" si="5"/>
        <v>1</v>
      </c>
    </row>
    <row r="34" spans="1:20" ht="15" customHeight="1" x14ac:dyDescent="0.35">
      <c r="A34" s="25" t="s">
        <v>1890</v>
      </c>
      <c r="D34" s="123">
        <f>(D31+D32)*2</f>
        <v>28170</v>
      </c>
      <c r="M34" s="12">
        <v>33</v>
      </c>
      <c r="N34" s="12" t="str">
        <f t="shared" ref="N34:N65" si="8">IF(MOD(M34-1,$B$4+$B$7)&lt;$B$4,"A","B")</f>
        <v>A</v>
      </c>
      <c r="O34" s="14">
        <f t="shared" ref="O34:O65" si="9">IF(N34="A",$E$3,$E$4)</f>
        <v>10.16</v>
      </c>
      <c r="P34" s="15">
        <f t="shared" si="6"/>
        <v>213.28000000000003</v>
      </c>
      <c r="Q34" s="15">
        <f t="shared" ref="Q34:Q65" si="10">P34+(M34-1)*$B$8</f>
        <v>293.28000000000003</v>
      </c>
      <c r="R34" s="12">
        <f t="shared" ref="R34:R65" si="11">IF(AND(Q34&lt;=$B$9,N34="A"),1,0)</f>
        <v>1</v>
      </c>
      <c r="S34" s="12">
        <f t="shared" ref="S34:S65" si="12">IF(AND(Q34&lt;=$B$9,N34="B"),1,0)</f>
        <v>0</v>
      </c>
      <c r="T34" s="12">
        <f t="shared" ref="T34:T65" si="13">IF(Q34&lt;=$B$9,1,0)</f>
        <v>1</v>
      </c>
    </row>
    <row r="35" spans="1:20" ht="15" customHeight="1" x14ac:dyDescent="0.35">
      <c r="A35" s="25" t="s">
        <v>1891</v>
      </c>
      <c r="D35" s="123">
        <f>D34+D33*2</f>
        <v>37770</v>
      </c>
      <c r="M35" s="12">
        <v>34</v>
      </c>
      <c r="N35" s="12" t="str">
        <f t="shared" si="8"/>
        <v>A</v>
      </c>
      <c r="O35" s="14">
        <f t="shared" si="9"/>
        <v>10.16</v>
      </c>
      <c r="P35" s="15">
        <f t="shared" ref="P35:P66" si="14">P34+O35</f>
        <v>223.44000000000003</v>
      </c>
      <c r="Q35" s="15">
        <f t="shared" si="10"/>
        <v>305.94000000000005</v>
      </c>
      <c r="R35" s="12">
        <f t="shared" si="11"/>
        <v>1</v>
      </c>
      <c r="S35" s="12">
        <f t="shared" si="12"/>
        <v>0</v>
      </c>
      <c r="T35" s="12">
        <f t="shared" si="13"/>
        <v>1</v>
      </c>
    </row>
    <row r="36" spans="1:20" ht="15" customHeight="1" x14ac:dyDescent="0.35">
      <c r="A36" s="30" t="s">
        <v>1892</v>
      </c>
      <c r="D36" s="124">
        <f>(D34-(D31+D32))/(D31+D32)</f>
        <v>1</v>
      </c>
      <c r="M36" s="12">
        <v>35</v>
      </c>
      <c r="N36" s="12" t="str">
        <f t="shared" si="8"/>
        <v>A</v>
      </c>
      <c r="O36" s="14">
        <f t="shared" si="9"/>
        <v>10.16</v>
      </c>
      <c r="P36" s="15">
        <f t="shared" si="14"/>
        <v>233.60000000000002</v>
      </c>
      <c r="Q36" s="15">
        <f t="shared" si="10"/>
        <v>318.60000000000002</v>
      </c>
      <c r="R36" s="12">
        <f t="shared" si="11"/>
        <v>1</v>
      </c>
      <c r="S36" s="12">
        <f t="shared" si="12"/>
        <v>0</v>
      </c>
      <c r="T36" s="12">
        <f t="shared" si="13"/>
        <v>1</v>
      </c>
    </row>
    <row r="37" spans="1:20" ht="15" customHeight="1" x14ac:dyDescent="0.35">
      <c r="M37" s="12">
        <v>36</v>
      </c>
      <c r="N37" s="12" t="str">
        <f t="shared" si="8"/>
        <v>B</v>
      </c>
      <c r="O37" s="14">
        <f t="shared" si="9"/>
        <v>4.0599999999999996</v>
      </c>
      <c r="P37" s="15">
        <f t="shared" si="14"/>
        <v>237.66000000000003</v>
      </c>
      <c r="Q37" s="15">
        <f t="shared" si="10"/>
        <v>325.16000000000003</v>
      </c>
      <c r="R37" s="12">
        <f t="shared" si="11"/>
        <v>0</v>
      </c>
      <c r="S37" s="12">
        <f t="shared" si="12"/>
        <v>1</v>
      </c>
      <c r="T37" s="12">
        <f t="shared" si="13"/>
        <v>1</v>
      </c>
    </row>
    <row r="38" spans="1:20" ht="15" customHeight="1" x14ac:dyDescent="0.35">
      <c r="M38" s="12">
        <v>37</v>
      </c>
      <c r="N38" s="12" t="str">
        <f t="shared" si="8"/>
        <v>B</v>
      </c>
      <c r="O38" s="14">
        <f t="shared" si="9"/>
        <v>4.0599999999999996</v>
      </c>
      <c r="P38" s="15">
        <f t="shared" si="14"/>
        <v>241.72000000000003</v>
      </c>
      <c r="Q38" s="15">
        <f t="shared" si="10"/>
        <v>331.72</v>
      </c>
      <c r="R38" s="12">
        <f t="shared" si="11"/>
        <v>0</v>
      </c>
      <c r="S38" s="12">
        <f t="shared" si="12"/>
        <v>1</v>
      </c>
      <c r="T38" s="12">
        <f t="shared" si="13"/>
        <v>1</v>
      </c>
    </row>
    <row r="39" spans="1:20" ht="15" customHeight="1" x14ac:dyDescent="0.35">
      <c r="M39" s="12">
        <v>38</v>
      </c>
      <c r="N39" s="12" t="str">
        <f t="shared" si="8"/>
        <v>B</v>
      </c>
      <c r="O39" s="14">
        <f t="shared" si="9"/>
        <v>4.0599999999999996</v>
      </c>
      <c r="P39" s="15">
        <f t="shared" si="14"/>
        <v>245.78000000000003</v>
      </c>
      <c r="Q39" s="15">
        <f t="shared" si="10"/>
        <v>338.28000000000003</v>
      </c>
      <c r="R39" s="12">
        <f t="shared" si="11"/>
        <v>0</v>
      </c>
      <c r="S39" s="12">
        <f t="shared" si="12"/>
        <v>1</v>
      </c>
      <c r="T39" s="12">
        <f t="shared" si="13"/>
        <v>1</v>
      </c>
    </row>
    <row r="40" spans="1:20" ht="15" customHeight="1" x14ac:dyDescent="0.35">
      <c r="M40" s="12">
        <v>39</v>
      </c>
      <c r="N40" s="12" t="str">
        <f t="shared" si="8"/>
        <v>B</v>
      </c>
      <c r="O40" s="14">
        <f t="shared" si="9"/>
        <v>4.0599999999999996</v>
      </c>
      <c r="P40" s="15">
        <f t="shared" si="14"/>
        <v>249.84000000000003</v>
      </c>
      <c r="Q40" s="15">
        <f t="shared" si="10"/>
        <v>344.84000000000003</v>
      </c>
      <c r="R40" s="12">
        <f t="shared" si="11"/>
        <v>0</v>
      </c>
      <c r="S40" s="12">
        <f t="shared" si="12"/>
        <v>1</v>
      </c>
      <c r="T40" s="12">
        <f t="shared" si="13"/>
        <v>1</v>
      </c>
    </row>
    <row r="41" spans="1:20" ht="15" customHeight="1" x14ac:dyDescent="0.35">
      <c r="M41" s="12">
        <v>40</v>
      </c>
      <c r="N41" s="12" t="str">
        <f t="shared" si="8"/>
        <v>B</v>
      </c>
      <c r="O41" s="14">
        <f t="shared" si="9"/>
        <v>4.0599999999999996</v>
      </c>
      <c r="P41" s="15">
        <f t="shared" si="14"/>
        <v>253.90000000000003</v>
      </c>
      <c r="Q41" s="15">
        <f t="shared" si="10"/>
        <v>351.40000000000003</v>
      </c>
      <c r="R41" s="12">
        <f t="shared" si="11"/>
        <v>0</v>
      </c>
      <c r="S41" s="12">
        <f t="shared" si="12"/>
        <v>1</v>
      </c>
      <c r="T41" s="12">
        <f t="shared" si="13"/>
        <v>1</v>
      </c>
    </row>
    <row r="42" spans="1:20" ht="15" customHeight="1" x14ac:dyDescent="0.35">
      <c r="M42" s="12">
        <v>41</v>
      </c>
      <c r="N42" s="12" t="str">
        <f t="shared" si="8"/>
        <v>A</v>
      </c>
      <c r="O42" s="14">
        <f t="shared" si="9"/>
        <v>10.16</v>
      </c>
      <c r="P42" s="15">
        <f t="shared" si="14"/>
        <v>264.06000000000006</v>
      </c>
      <c r="Q42" s="15">
        <f t="shared" si="10"/>
        <v>364.06000000000006</v>
      </c>
      <c r="R42" s="12">
        <f t="shared" si="11"/>
        <v>1</v>
      </c>
      <c r="S42" s="12">
        <f t="shared" si="12"/>
        <v>0</v>
      </c>
      <c r="T42" s="12">
        <f t="shared" si="13"/>
        <v>1</v>
      </c>
    </row>
    <row r="43" spans="1:20" ht="15" customHeight="1" x14ac:dyDescent="0.35">
      <c r="M43" s="12">
        <v>42</v>
      </c>
      <c r="N43" s="12" t="str">
        <f t="shared" si="8"/>
        <v>A</v>
      </c>
      <c r="O43" s="14">
        <f t="shared" si="9"/>
        <v>10.16</v>
      </c>
      <c r="P43" s="15">
        <f t="shared" si="14"/>
        <v>274.22000000000008</v>
      </c>
      <c r="Q43" s="15">
        <f t="shared" si="10"/>
        <v>376.72000000000008</v>
      </c>
      <c r="R43" s="12">
        <f t="shared" si="11"/>
        <v>1</v>
      </c>
      <c r="S43" s="12">
        <f t="shared" si="12"/>
        <v>0</v>
      </c>
      <c r="T43" s="12">
        <f t="shared" si="13"/>
        <v>1</v>
      </c>
    </row>
    <row r="44" spans="1:20" ht="15" customHeight="1" x14ac:dyDescent="0.35">
      <c r="M44" s="12">
        <v>43</v>
      </c>
      <c r="N44" s="12" t="str">
        <f t="shared" si="8"/>
        <v>A</v>
      </c>
      <c r="O44" s="14">
        <f t="shared" si="9"/>
        <v>10.16</v>
      </c>
      <c r="P44" s="15">
        <f t="shared" si="14"/>
        <v>284.38000000000011</v>
      </c>
      <c r="Q44" s="15">
        <f t="shared" si="10"/>
        <v>389.38000000000011</v>
      </c>
      <c r="R44" s="12">
        <f t="shared" si="11"/>
        <v>1</v>
      </c>
      <c r="S44" s="12">
        <f t="shared" si="12"/>
        <v>0</v>
      </c>
      <c r="T44" s="12">
        <f t="shared" si="13"/>
        <v>1</v>
      </c>
    </row>
    <row r="45" spans="1:20" ht="15" customHeight="1" x14ac:dyDescent="0.35">
      <c r="M45" s="12">
        <v>44</v>
      </c>
      <c r="N45" s="12" t="str">
        <f t="shared" si="8"/>
        <v>B</v>
      </c>
      <c r="O45" s="14">
        <f t="shared" si="9"/>
        <v>4.0599999999999996</v>
      </c>
      <c r="P45" s="15">
        <f t="shared" si="14"/>
        <v>288.44000000000011</v>
      </c>
      <c r="Q45" s="15">
        <f t="shared" si="10"/>
        <v>395.94000000000011</v>
      </c>
      <c r="R45" s="12">
        <f t="shared" si="11"/>
        <v>0</v>
      </c>
      <c r="S45" s="12">
        <f t="shared" si="12"/>
        <v>1</v>
      </c>
      <c r="T45" s="12">
        <f t="shared" si="13"/>
        <v>1</v>
      </c>
    </row>
    <row r="46" spans="1:20" ht="15" customHeight="1" x14ac:dyDescent="0.35">
      <c r="M46" s="12">
        <v>45</v>
      </c>
      <c r="N46" s="12" t="str">
        <f t="shared" si="8"/>
        <v>B</v>
      </c>
      <c r="O46" s="14">
        <f t="shared" si="9"/>
        <v>4.0599999999999996</v>
      </c>
      <c r="P46" s="15">
        <f t="shared" si="14"/>
        <v>292.50000000000011</v>
      </c>
      <c r="Q46" s="15">
        <f t="shared" si="10"/>
        <v>402.50000000000011</v>
      </c>
      <c r="R46" s="12">
        <f t="shared" si="11"/>
        <v>0</v>
      </c>
      <c r="S46" s="12">
        <f t="shared" si="12"/>
        <v>0</v>
      </c>
      <c r="T46" s="12">
        <f t="shared" si="13"/>
        <v>0</v>
      </c>
    </row>
    <row r="47" spans="1:20" ht="15" customHeight="1" x14ac:dyDescent="0.35">
      <c r="M47" s="12">
        <v>46</v>
      </c>
      <c r="N47" s="12" t="str">
        <f t="shared" si="8"/>
        <v>B</v>
      </c>
      <c r="O47" s="14">
        <f t="shared" si="9"/>
        <v>4.0599999999999996</v>
      </c>
      <c r="P47" s="15">
        <f t="shared" si="14"/>
        <v>296.56000000000012</v>
      </c>
      <c r="Q47" s="15">
        <f t="shared" si="10"/>
        <v>409.06000000000012</v>
      </c>
      <c r="R47" s="12">
        <f t="shared" si="11"/>
        <v>0</v>
      </c>
      <c r="S47" s="12">
        <f t="shared" si="12"/>
        <v>0</v>
      </c>
      <c r="T47" s="12">
        <f t="shared" si="13"/>
        <v>0</v>
      </c>
    </row>
    <row r="48" spans="1:20" ht="15" customHeight="1" x14ac:dyDescent="0.35">
      <c r="M48" s="12">
        <v>47</v>
      </c>
      <c r="N48" s="12" t="str">
        <f t="shared" si="8"/>
        <v>B</v>
      </c>
      <c r="O48" s="14">
        <f t="shared" si="9"/>
        <v>4.0599999999999996</v>
      </c>
      <c r="P48" s="15">
        <f t="shared" si="14"/>
        <v>300.62000000000012</v>
      </c>
      <c r="Q48" s="15">
        <f t="shared" si="10"/>
        <v>415.62000000000012</v>
      </c>
      <c r="R48" s="12">
        <f t="shared" si="11"/>
        <v>0</v>
      </c>
      <c r="S48" s="12">
        <f t="shared" si="12"/>
        <v>0</v>
      </c>
      <c r="T48" s="12">
        <f t="shared" si="13"/>
        <v>0</v>
      </c>
    </row>
    <row r="49" spans="13:20" ht="15" customHeight="1" x14ac:dyDescent="0.35">
      <c r="M49" s="12">
        <v>48</v>
      </c>
      <c r="N49" s="12" t="str">
        <f t="shared" si="8"/>
        <v>B</v>
      </c>
      <c r="O49" s="14">
        <f t="shared" si="9"/>
        <v>4.0599999999999996</v>
      </c>
      <c r="P49" s="15">
        <f t="shared" si="14"/>
        <v>304.68000000000012</v>
      </c>
      <c r="Q49" s="15">
        <f t="shared" si="10"/>
        <v>422.18000000000012</v>
      </c>
      <c r="R49" s="12">
        <f t="shared" si="11"/>
        <v>0</v>
      </c>
      <c r="S49" s="12">
        <f t="shared" si="12"/>
        <v>0</v>
      </c>
      <c r="T49" s="12">
        <f t="shared" si="13"/>
        <v>0</v>
      </c>
    </row>
    <row r="50" spans="13:20" ht="15" customHeight="1" x14ac:dyDescent="0.35">
      <c r="M50" s="12">
        <v>49</v>
      </c>
      <c r="N50" s="12" t="str">
        <f t="shared" si="8"/>
        <v>A</v>
      </c>
      <c r="O50" s="14">
        <f t="shared" si="9"/>
        <v>10.16</v>
      </c>
      <c r="P50" s="15">
        <f t="shared" si="14"/>
        <v>314.84000000000015</v>
      </c>
      <c r="Q50" s="15">
        <f t="shared" si="10"/>
        <v>434.84000000000015</v>
      </c>
      <c r="R50" s="12">
        <f t="shared" si="11"/>
        <v>0</v>
      </c>
      <c r="S50" s="12">
        <f t="shared" si="12"/>
        <v>0</v>
      </c>
      <c r="T50" s="12">
        <f t="shared" si="13"/>
        <v>0</v>
      </c>
    </row>
    <row r="51" spans="13:20" ht="15" customHeight="1" x14ac:dyDescent="0.35">
      <c r="M51" s="12">
        <v>50</v>
      </c>
      <c r="N51" s="12" t="str">
        <f t="shared" si="8"/>
        <v>A</v>
      </c>
      <c r="O51" s="14">
        <f t="shared" si="9"/>
        <v>10.16</v>
      </c>
      <c r="P51" s="15">
        <f t="shared" si="14"/>
        <v>325.00000000000017</v>
      </c>
      <c r="Q51" s="15">
        <f t="shared" si="10"/>
        <v>447.50000000000017</v>
      </c>
      <c r="R51" s="12">
        <f t="shared" si="11"/>
        <v>0</v>
      </c>
      <c r="S51" s="12">
        <f t="shared" si="12"/>
        <v>0</v>
      </c>
      <c r="T51" s="12">
        <f t="shared" si="13"/>
        <v>0</v>
      </c>
    </row>
    <row r="52" spans="13:20" ht="15" customHeight="1" x14ac:dyDescent="0.35">
      <c r="M52" s="12">
        <v>51</v>
      </c>
      <c r="N52" s="12" t="str">
        <f t="shared" si="8"/>
        <v>A</v>
      </c>
      <c r="O52" s="14">
        <f t="shared" si="9"/>
        <v>10.16</v>
      </c>
      <c r="P52" s="15">
        <f t="shared" si="14"/>
        <v>335.1600000000002</v>
      </c>
      <c r="Q52" s="15">
        <f t="shared" si="10"/>
        <v>460.1600000000002</v>
      </c>
      <c r="R52" s="12">
        <f t="shared" si="11"/>
        <v>0</v>
      </c>
      <c r="S52" s="12">
        <f t="shared" si="12"/>
        <v>0</v>
      </c>
      <c r="T52" s="12">
        <f t="shared" si="13"/>
        <v>0</v>
      </c>
    </row>
    <row r="53" spans="13:20" ht="15" customHeight="1" x14ac:dyDescent="0.35">
      <c r="M53" s="12">
        <v>52</v>
      </c>
      <c r="N53" s="12" t="str">
        <f t="shared" si="8"/>
        <v>B</v>
      </c>
      <c r="O53" s="14">
        <f t="shared" si="9"/>
        <v>4.0599999999999996</v>
      </c>
      <c r="P53" s="15">
        <f t="shared" si="14"/>
        <v>339.2200000000002</v>
      </c>
      <c r="Q53" s="15">
        <f t="shared" si="10"/>
        <v>466.7200000000002</v>
      </c>
      <c r="R53" s="12">
        <f t="shared" si="11"/>
        <v>0</v>
      </c>
      <c r="S53" s="12">
        <f t="shared" si="12"/>
        <v>0</v>
      </c>
      <c r="T53" s="12">
        <f t="shared" si="13"/>
        <v>0</v>
      </c>
    </row>
    <row r="54" spans="13:20" ht="15" customHeight="1" x14ac:dyDescent="0.35">
      <c r="M54" s="12">
        <v>53</v>
      </c>
      <c r="N54" s="12" t="str">
        <f t="shared" si="8"/>
        <v>B</v>
      </c>
      <c r="O54" s="14">
        <f t="shared" si="9"/>
        <v>4.0599999999999996</v>
      </c>
      <c r="P54" s="15">
        <f t="shared" si="14"/>
        <v>343.2800000000002</v>
      </c>
      <c r="Q54" s="15">
        <f t="shared" si="10"/>
        <v>473.2800000000002</v>
      </c>
      <c r="R54" s="12">
        <f t="shared" si="11"/>
        <v>0</v>
      </c>
      <c r="S54" s="12">
        <f t="shared" si="12"/>
        <v>0</v>
      </c>
      <c r="T54" s="12">
        <f t="shared" si="13"/>
        <v>0</v>
      </c>
    </row>
    <row r="55" spans="13:20" ht="15" customHeight="1" x14ac:dyDescent="0.35">
      <c r="M55" s="12">
        <v>54</v>
      </c>
      <c r="N55" s="12" t="str">
        <f t="shared" si="8"/>
        <v>B</v>
      </c>
      <c r="O55" s="14">
        <f t="shared" si="9"/>
        <v>4.0599999999999996</v>
      </c>
      <c r="P55" s="15">
        <f t="shared" si="14"/>
        <v>347.3400000000002</v>
      </c>
      <c r="Q55" s="15">
        <f t="shared" si="10"/>
        <v>479.8400000000002</v>
      </c>
      <c r="R55" s="12">
        <f t="shared" si="11"/>
        <v>0</v>
      </c>
      <c r="S55" s="12">
        <f t="shared" si="12"/>
        <v>0</v>
      </c>
      <c r="T55" s="12">
        <f t="shared" si="13"/>
        <v>0</v>
      </c>
    </row>
    <row r="56" spans="13:20" ht="15" customHeight="1" x14ac:dyDescent="0.35">
      <c r="M56" s="12">
        <v>55</v>
      </c>
      <c r="N56" s="12" t="str">
        <f t="shared" si="8"/>
        <v>B</v>
      </c>
      <c r="O56" s="14">
        <f t="shared" si="9"/>
        <v>4.0599999999999996</v>
      </c>
      <c r="P56" s="15">
        <f t="shared" si="14"/>
        <v>351.4000000000002</v>
      </c>
      <c r="Q56" s="15">
        <f t="shared" si="10"/>
        <v>486.4000000000002</v>
      </c>
      <c r="R56" s="12">
        <f t="shared" si="11"/>
        <v>0</v>
      </c>
      <c r="S56" s="12">
        <f t="shared" si="12"/>
        <v>0</v>
      </c>
      <c r="T56" s="12">
        <f t="shared" si="13"/>
        <v>0</v>
      </c>
    </row>
    <row r="57" spans="13:20" ht="15" customHeight="1" x14ac:dyDescent="0.35">
      <c r="M57" s="12">
        <v>56</v>
      </c>
      <c r="N57" s="12" t="str">
        <f t="shared" si="8"/>
        <v>B</v>
      </c>
      <c r="O57" s="14">
        <f t="shared" si="9"/>
        <v>4.0599999999999996</v>
      </c>
      <c r="P57" s="15">
        <f t="shared" si="14"/>
        <v>355.46000000000021</v>
      </c>
      <c r="Q57" s="15">
        <f t="shared" si="10"/>
        <v>492.96000000000021</v>
      </c>
      <c r="R57" s="12">
        <f t="shared" si="11"/>
        <v>0</v>
      </c>
      <c r="S57" s="12">
        <f t="shared" si="12"/>
        <v>0</v>
      </c>
      <c r="T57" s="12">
        <f t="shared" si="13"/>
        <v>0</v>
      </c>
    </row>
    <row r="58" spans="13:20" ht="15" customHeight="1" x14ac:dyDescent="0.35">
      <c r="M58" s="12">
        <v>57</v>
      </c>
      <c r="N58" s="12" t="str">
        <f t="shared" si="8"/>
        <v>A</v>
      </c>
      <c r="O58" s="14">
        <f t="shared" si="9"/>
        <v>10.16</v>
      </c>
      <c r="P58" s="15">
        <f t="shared" si="14"/>
        <v>365.62000000000023</v>
      </c>
      <c r="Q58" s="15">
        <f t="shared" si="10"/>
        <v>505.62000000000023</v>
      </c>
      <c r="R58" s="12">
        <f t="shared" si="11"/>
        <v>0</v>
      </c>
      <c r="S58" s="12">
        <f t="shared" si="12"/>
        <v>0</v>
      </c>
      <c r="T58" s="12">
        <f t="shared" si="13"/>
        <v>0</v>
      </c>
    </row>
    <row r="59" spans="13:20" ht="15" customHeight="1" x14ac:dyDescent="0.35">
      <c r="M59" s="12">
        <v>58</v>
      </c>
      <c r="N59" s="12" t="str">
        <f t="shared" si="8"/>
        <v>A</v>
      </c>
      <c r="O59" s="14">
        <f t="shared" si="9"/>
        <v>10.16</v>
      </c>
      <c r="P59" s="15">
        <f t="shared" si="14"/>
        <v>375.78000000000026</v>
      </c>
      <c r="Q59" s="15">
        <f t="shared" si="10"/>
        <v>518.2800000000002</v>
      </c>
      <c r="R59" s="12">
        <f t="shared" si="11"/>
        <v>0</v>
      </c>
      <c r="S59" s="12">
        <f t="shared" si="12"/>
        <v>0</v>
      </c>
      <c r="T59" s="12">
        <f t="shared" si="13"/>
        <v>0</v>
      </c>
    </row>
    <row r="60" spans="13:20" ht="15" customHeight="1" x14ac:dyDescent="0.35">
      <c r="M60" s="12">
        <v>59</v>
      </c>
      <c r="N60" s="12" t="str">
        <f t="shared" si="8"/>
        <v>A</v>
      </c>
      <c r="O60" s="14">
        <f t="shared" si="9"/>
        <v>10.16</v>
      </c>
      <c r="P60" s="15">
        <f t="shared" si="14"/>
        <v>385.94000000000028</v>
      </c>
      <c r="Q60" s="15">
        <f t="shared" si="10"/>
        <v>530.94000000000028</v>
      </c>
      <c r="R60" s="12">
        <f t="shared" si="11"/>
        <v>0</v>
      </c>
      <c r="S60" s="12">
        <f t="shared" si="12"/>
        <v>0</v>
      </c>
      <c r="T60" s="12">
        <f t="shared" si="13"/>
        <v>0</v>
      </c>
    </row>
    <row r="61" spans="13:20" ht="15" customHeight="1" x14ac:dyDescent="0.35">
      <c r="M61" s="12">
        <v>60</v>
      </c>
      <c r="N61" s="12" t="str">
        <f t="shared" si="8"/>
        <v>B</v>
      </c>
      <c r="O61" s="14">
        <f t="shared" si="9"/>
        <v>4.0599999999999996</v>
      </c>
      <c r="P61" s="15">
        <f t="shared" si="14"/>
        <v>390.00000000000028</v>
      </c>
      <c r="Q61" s="15">
        <f t="shared" si="10"/>
        <v>537.50000000000023</v>
      </c>
      <c r="R61" s="12">
        <f t="shared" si="11"/>
        <v>0</v>
      </c>
      <c r="S61" s="12">
        <f t="shared" si="12"/>
        <v>0</v>
      </c>
      <c r="T61" s="12">
        <f t="shared" si="13"/>
        <v>0</v>
      </c>
    </row>
    <row r="62" spans="13:20" ht="15" customHeight="1" x14ac:dyDescent="0.35">
      <c r="M62" s="12">
        <v>61</v>
      </c>
      <c r="N62" s="12" t="str">
        <f t="shared" si="8"/>
        <v>B</v>
      </c>
      <c r="O62" s="14">
        <f t="shared" si="9"/>
        <v>4.0599999999999996</v>
      </c>
      <c r="P62" s="15">
        <f t="shared" si="14"/>
        <v>394.06000000000029</v>
      </c>
      <c r="Q62" s="15">
        <f t="shared" si="10"/>
        <v>544.06000000000029</v>
      </c>
      <c r="R62" s="12">
        <f t="shared" si="11"/>
        <v>0</v>
      </c>
      <c r="S62" s="12">
        <f t="shared" si="12"/>
        <v>0</v>
      </c>
      <c r="T62" s="12">
        <f t="shared" si="13"/>
        <v>0</v>
      </c>
    </row>
    <row r="63" spans="13:20" ht="15" customHeight="1" x14ac:dyDescent="0.35">
      <c r="M63" s="12">
        <v>62</v>
      </c>
      <c r="N63" s="12" t="str">
        <f t="shared" si="8"/>
        <v>B</v>
      </c>
      <c r="O63" s="14">
        <f t="shared" si="9"/>
        <v>4.0599999999999996</v>
      </c>
      <c r="P63" s="15">
        <f t="shared" si="14"/>
        <v>398.12000000000029</v>
      </c>
      <c r="Q63" s="15">
        <f t="shared" si="10"/>
        <v>550.62000000000035</v>
      </c>
      <c r="R63" s="12">
        <f t="shared" si="11"/>
        <v>0</v>
      </c>
      <c r="S63" s="12">
        <f t="shared" si="12"/>
        <v>0</v>
      </c>
      <c r="T63" s="12">
        <f t="shared" si="13"/>
        <v>0</v>
      </c>
    </row>
    <row r="64" spans="13:20" ht="15" customHeight="1" x14ac:dyDescent="0.35">
      <c r="M64" s="12">
        <v>63</v>
      </c>
      <c r="N64" s="12" t="str">
        <f t="shared" si="8"/>
        <v>B</v>
      </c>
      <c r="O64" s="14">
        <f t="shared" si="9"/>
        <v>4.0599999999999996</v>
      </c>
      <c r="P64" s="15">
        <f t="shared" si="14"/>
        <v>402.18000000000029</v>
      </c>
      <c r="Q64" s="15">
        <f t="shared" si="10"/>
        <v>557.18000000000029</v>
      </c>
      <c r="R64" s="12">
        <f t="shared" si="11"/>
        <v>0</v>
      </c>
      <c r="S64" s="12">
        <f t="shared" si="12"/>
        <v>0</v>
      </c>
      <c r="T64" s="12">
        <f t="shared" si="13"/>
        <v>0</v>
      </c>
    </row>
    <row r="65" spans="13:20" ht="15" customHeight="1" x14ac:dyDescent="0.35">
      <c r="M65" s="12">
        <v>64</v>
      </c>
      <c r="N65" s="12" t="str">
        <f t="shared" si="8"/>
        <v>B</v>
      </c>
      <c r="O65" s="14">
        <f t="shared" si="9"/>
        <v>4.0599999999999996</v>
      </c>
      <c r="P65" s="15">
        <f t="shared" si="14"/>
        <v>406.24000000000029</v>
      </c>
      <c r="Q65" s="15">
        <f t="shared" si="10"/>
        <v>563.74000000000024</v>
      </c>
      <c r="R65" s="12">
        <f t="shared" si="11"/>
        <v>0</v>
      </c>
      <c r="S65" s="12">
        <f t="shared" si="12"/>
        <v>0</v>
      </c>
      <c r="T65" s="12">
        <f t="shared" si="13"/>
        <v>0</v>
      </c>
    </row>
    <row r="66" spans="13:20" ht="15" customHeight="1" x14ac:dyDescent="0.35">
      <c r="M66" s="12">
        <v>65</v>
      </c>
      <c r="N66" s="12" t="str">
        <f t="shared" ref="N66:N97" si="15">IF(MOD(M66-1,$B$4+$B$7)&lt;$B$4,"A","B")</f>
        <v>A</v>
      </c>
      <c r="O66" s="14">
        <f t="shared" ref="O66:O97" si="16">IF(N66="A",$E$3,$E$4)</f>
        <v>10.16</v>
      </c>
      <c r="P66" s="15">
        <f t="shared" si="14"/>
        <v>416.40000000000032</v>
      </c>
      <c r="Q66" s="15">
        <f t="shared" ref="Q66:Q97" si="17">P66+(M66-1)*$B$8</f>
        <v>576.40000000000032</v>
      </c>
      <c r="R66" s="12">
        <f t="shared" ref="R66:R97" si="18">IF(AND(Q66&lt;=$B$9,N66="A"),1,0)</f>
        <v>0</v>
      </c>
      <c r="S66" s="12">
        <f t="shared" ref="S66:S97" si="19">IF(AND(Q66&lt;=$B$9,N66="B"),1,0)</f>
        <v>0</v>
      </c>
      <c r="T66" s="12">
        <f t="shared" ref="T66:T97" si="20">IF(Q66&lt;=$B$9,1,0)</f>
        <v>0</v>
      </c>
    </row>
    <row r="67" spans="13:20" ht="15" customHeight="1" x14ac:dyDescent="0.35">
      <c r="M67" s="12">
        <v>66</v>
      </c>
      <c r="N67" s="12" t="str">
        <f t="shared" si="15"/>
        <v>A</v>
      </c>
      <c r="O67" s="14">
        <f t="shared" si="16"/>
        <v>10.16</v>
      </c>
      <c r="P67" s="15">
        <f t="shared" ref="P67:P98" si="21">P66+O67</f>
        <v>426.56000000000034</v>
      </c>
      <c r="Q67" s="15">
        <f t="shared" si="17"/>
        <v>589.0600000000004</v>
      </c>
      <c r="R67" s="12">
        <f t="shared" si="18"/>
        <v>0</v>
      </c>
      <c r="S67" s="12">
        <f t="shared" si="19"/>
        <v>0</v>
      </c>
      <c r="T67" s="12">
        <f t="shared" si="20"/>
        <v>0</v>
      </c>
    </row>
    <row r="68" spans="13:20" ht="15" customHeight="1" x14ac:dyDescent="0.35">
      <c r="M68" s="12">
        <v>67</v>
      </c>
      <c r="N68" s="12" t="str">
        <f t="shared" si="15"/>
        <v>A</v>
      </c>
      <c r="O68" s="14">
        <f t="shared" si="16"/>
        <v>10.16</v>
      </c>
      <c r="P68" s="15">
        <f t="shared" si="21"/>
        <v>436.72000000000037</v>
      </c>
      <c r="Q68" s="15">
        <f t="shared" si="17"/>
        <v>601.72000000000037</v>
      </c>
      <c r="R68" s="12">
        <f t="shared" si="18"/>
        <v>0</v>
      </c>
      <c r="S68" s="12">
        <f t="shared" si="19"/>
        <v>0</v>
      </c>
      <c r="T68" s="12">
        <f t="shared" si="20"/>
        <v>0</v>
      </c>
    </row>
    <row r="69" spans="13:20" ht="15" customHeight="1" x14ac:dyDescent="0.35">
      <c r="M69" s="12">
        <v>68</v>
      </c>
      <c r="N69" s="12" t="str">
        <f t="shared" si="15"/>
        <v>B</v>
      </c>
      <c r="O69" s="14">
        <f t="shared" si="16"/>
        <v>4.0599999999999996</v>
      </c>
      <c r="P69" s="15">
        <f t="shared" si="21"/>
        <v>440.78000000000037</v>
      </c>
      <c r="Q69" s="15">
        <f t="shared" si="17"/>
        <v>608.28000000000043</v>
      </c>
      <c r="R69" s="12">
        <f t="shared" si="18"/>
        <v>0</v>
      </c>
      <c r="S69" s="12">
        <f t="shared" si="19"/>
        <v>0</v>
      </c>
      <c r="T69" s="12">
        <f t="shared" si="20"/>
        <v>0</v>
      </c>
    </row>
    <row r="70" spans="13:20" ht="15" customHeight="1" x14ac:dyDescent="0.35">
      <c r="M70" s="12">
        <v>69</v>
      </c>
      <c r="N70" s="12" t="str">
        <f t="shared" si="15"/>
        <v>B</v>
      </c>
      <c r="O70" s="14">
        <f t="shared" si="16"/>
        <v>4.0599999999999996</v>
      </c>
      <c r="P70" s="15">
        <f t="shared" si="21"/>
        <v>444.84000000000037</v>
      </c>
      <c r="Q70" s="15">
        <f t="shared" si="17"/>
        <v>614.84000000000037</v>
      </c>
      <c r="R70" s="12">
        <f t="shared" si="18"/>
        <v>0</v>
      </c>
      <c r="S70" s="12">
        <f t="shared" si="19"/>
        <v>0</v>
      </c>
      <c r="T70" s="12">
        <f t="shared" si="20"/>
        <v>0</v>
      </c>
    </row>
    <row r="71" spans="13:20" ht="15" customHeight="1" x14ac:dyDescent="0.35">
      <c r="M71" s="12">
        <v>70</v>
      </c>
      <c r="N71" s="12" t="str">
        <f t="shared" si="15"/>
        <v>B</v>
      </c>
      <c r="O71" s="14">
        <f t="shared" si="16"/>
        <v>4.0599999999999996</v>
      </c>
      <c r="P71" s="15">
        <f t="shared" si="21"/>
        <v>448.90000000000038</v>
      </c>
      <c r="Q71" s="15">
        <f t="shared" si="17"/>
        <v>621.40000000000032</v>
      </c>
      <c r="R71" s="12">
        <f t="shared" si="18"/>
        <v>0</v>
      </c>
      <c r="S71" s="12">
        <f t="shared" si="19"/>
        <v>0</v>
      </c>
      <c r="T71" s="12">
        <f t="shared" si="20"/>
        <v>0</v>
      </c>
    </row>
    <row r="72" spans="13:20" ht="15" customHeight="1" x14ac:dyDescent="0.35">
      <c r="M72" s="12">
        <v>71</v>
      </c>
      <c r="N72" s="12" t="str">
        <f t="shared" si="15"/>
        <v>B</v>
      </c>
      <c r="O72" s="14">
        <f t="shared" si="16"/>
        <v>4.0599999999999996</v>
      </c>
      <c r="P72" s="15">
        <f t="shared" si="21"/>
        <v>452.96000000000038</v>
      </c>
      <c r="Q72" s="15">
        <f t="shared" si="17"/>
        <v>627.96000000000038</v>
      </c>
      <c r="R72" s="12">
        <f t="shared" si="18"/>
        <v>0</v>
      </c>
      <c r="S72" s="12">
        <f t="shared" si="19"/>
        <v>0</v>
      </c>
      <c r="T72" s="12">
        <f t="shared" si="20"/>
        <v>0</v>
      </c>
    </row>
    <row r="73" spans="13:20" ht="15" customHeight="1" x14ac:dyDescent="0.35">
      <c r="M73" s="12">
        <v>72</v>
      </c>
      <c r="N73" s="12" t="str">
        <f t="shared" si="15"/>
        <v>B</v>
      </c>
      <c r="O73" s="14">
        <f t="shared" si="16"/>
        <v>4.0599999999999996</v>
      </c>
      <c r="P73" s="15">
        <f t="shared" si="21"/>
        <v>457.02000000000038</v>
      </c>
      <c r="Q73" s="15">
        <f t="shared" si="17"/>
        <v>634.52000000000044</v>
      </c>
      <c r="R73" s="12">
        <f t="shared" si="18"/>
        <v>0</v>
      </c>
      <c r="S73" s="12">
        <f t="shared" si="19"/>
        <v>0</v>
      </c>
      <c r="T73" s="12">
        <f t="shared" si="20"/>
        <v>0</v>
      </c>
    </row>
    <row r="74" spans="13:20" ht="15" customHeight="1" x14ac:dyDescent="0.35">
      <c r="M74" s="12">
        <v>73</v>
      </c>
      <c r="N74" s="12" t="str">
        <f t="shared" si="15"/>
        <v>A</v>
      </c>
      <c r="O74" s="14">
        <f t="shared" si="16"/>
        <v>10.16</v>
      </c>
      <c r="P74" s="15">
        <f t="shared" si="21"/>
        <v>467.1800000000004</v>
      </c>
      <c r="Q74" s="15">
        <f t="shared" si="17"/>
        <v>647.1800000000004</v>
      </c>
      <c r="R74" s="12">
        <f t="shared" si="18"/>
        <v>0</v>
      </c>
      <c r="S74" s="12">
        <f t="shared" si="19"/>
        <v>0</v>
      </c>
      <c r="T74" s="12">
        <f t="shared" si="20"/>
        <v>0</v>
      </c>
    </row>
    <row r="75" spans="13:20" ht="15" customHeight="1" x14ac:dyDescent="0.35">
      <c r="M75" s="12">
        <v>74</v>
      </c>
      <c r="N75" s="12" t="str">
        <f t="shared" si="15"/>
        <v>A</v>
      </c>
      <c r="O75" s="14">
        <f t="shared" si="16"/>
        <v>10.16</v>
      </c>
      <c r="P75" s="15">
        <f t="shared" si="21"/>
        <v>477.34000000000043</v>
      </c>
      <c r="Q75" s="15">
        <f t="shared" si="17"/>
        <v>659.84000000000037</v>
      </c>
      <c r="R75" s="12">
        <f t="shared" si="18"/>
        <v>0</v>
      </c>
      <c r="S75" s="12">
        <f t="shared" si="19"/>
        <v>0</v>
      </c>
      <c r="T75" s="12">
        <f t="shared" si="20"/>
        <v>0</v>
      </c>
    </row>
    <row r="76" spans="13:20" ht="15" customHeight="1" x14ac:dyDescent="0.35">
      <c r="M76" s="12">
        <v>75</v>
      </c>
      <c r="N76" s="12" t="str">
        <f t="shared" si="15"/>
        <v>A</v>
      </c>
      <c r="O76" s="14">
        <f t="shared" si="16"/>
        <v>10.16</v>
      </c>
      <c r="P76" s="15">
        <f t="shared" si="21"/>
        <v>487.50000000000045</v>
      </c>
      <c r="Q76" s="15">
        <f t="shared" si="17"/>
        <v>672.50000000000045</v>
      </c>
      <c r="R76" s="12">
        <f t="shared" si="18"/>
        <v>0</v>
      </c>
      <c r="S76" s="12">
        <f t="shared" si="19"/>
        <v>0</v>
      </c>
      <c r="T76" s="12">
        <f t="shared" si="20"/>
        <v>0</v>
      </c>
    </row>
    <row r="77" spans="13:20" ht="15" customHeight="1" x14ac:dyDescent="0.35">
      <c r="M77" s="12">
        <v>76</v>
      </c>
      <c r="N77" s="12" t="str">
        <f t="shared" si="15"/>
        <v>B</v>
      </c>
      <c r="O77" s="14">
        <f t="shared" si="16"/>
        <v>4.0599999999999996</v>
      </c>
      <c r="P77" s="15">
        <f t="shared" si="21"/>
        <v>491.56000000000046</v>
      </c>
      <c r="Q77" s="15">
        <f t="shared" si="17"/>
        <v>679.0600000000004</v>
      </c>
      <c r="R77" s="12">
        <f t="shared" si="18"/>
        <v>0</v>
      </c>
      <c r="S77" s="12">
        <f t="shared" si="19"/>
        <v>0</v>
      </c>
      <c r="T77" s="12">
        <f t="shared" si="20"/>
        <v>0</v>
      </c>
    </row>
    <row r="78" spans="13:20" ht="15" customHeight="1" x14ac:dyDescent="0.35">
      <c r="M78" s="12">
        <v>77</v>
      </c>
      <c r="N78" s="12" t="str">
        <f t="shared" si="15"/>
        <v>B</v>
      </c>
      <c r="O78" s="14">
        <f t="shared" si="16"/>
        <v>4.0599999999999996</v>
      </c>
      <c r="P78" s="15">
        <f t="shared" si="21"/>
        <v>495.62000000000046</v>
      </c>
      <c r="Q78" s="15">
        <f t="shared" si="17"/>
        <v>685.62000000000046</v>
      </c>
      <c r="R78" s="12">
        <f t="shared" si="18"/>
        <v>0</v>
      </c>
      <c r="S78" s="12">
        <f t="shared" si="19"/>
        <v>0</v>
      </c>
      <c r="T78" s="12">
        <f t="shared" si="20"/>
        <v>0</v>
      </c>
    </row>
    <row r="79" spans="13:20" ht="15" customHeight="1" x14ac:dyDescent="0.35">
      <c r="M79" s="12">
        <v>78</v>
      </c>
      <c r="N79" s="12" t="str">
        <f t="shared" si="15"/>
        <v>B</v>
      </c>
      <c r="O79" s="14">
        <f t="shared" si="16"/>
        <v>4.0599999999999996</v>
      </c>
      <c r="P79" s="15">
        <f t="shared" si="21"/>
        <v>499.68000000000046</v>
      </c>
      <c r="Q79" s="15">
        <f t="shared" si="17"/>
        <v>692.18000000000052</v>
      </c>
      <c r="R79" s="12">
        <f t="shared" si="18"/>
        <v>0</v>
      </c>
      <c r="S79" s="12">
        <f t="shared" si="19"/>
        <v>0</v>
      </c>
      <c r="T79" s="12">
        <f t="shared" si="20"/>
        <v>0</v>
      </c>
    </row>
    <row r="80" spans="13:20" ht="15" customHeight="1" x14ac:dyDescent="0.35">
      <c r="M80" s="12">
        <v>79</v>
      </c>
      <c r="N80" s="12" t="str">
        <f t="shared" si="15"/>
        <v>B</v>
      </c>
      <c r="O80" s="14">
        <f t="shared" si="16"/>
        <v>4.0599999999999996</v>
      </c>
      <c r="P80" s="15">
        <f t="shared" si="21"/>
        <v>503.74000000000046</v>
      </c>
      <c r="Q80" s="15">
        <f t="shared" si="17"/>
        <v>698.74000000000046</v>
      </c>
      <c r="R80" s="12">
        <f t="shared" si="18"/>
        <v>0</v>
      </c>
      <c r="S80" s="12">
        <f t="shared" si="19"/>
        <v>0</v>
      </c>
      <c r="T80" s="12">
        <f t="shared" si="20"/>
        <v>0</v>
      </c>
    </row>
    <row r="81" spans="13:20" ht="15" customHeight="1" x14ac:dyDescent="0.35">
      <c r="M81" s="12">
        <v>80</v>
      </c>
      <c r="N81" s="12" t="str">
        <f t="shared" si="15"/>
        <v>B</v>
      </c>
      <c r="O81" s="14">
        <f t="shared" si="16"/>
        <v>4.0599999999999996</v>
      </c>
      <c r="P81" s="15">
        <f t="shared" si="21"/>
        <v>507.80000000000047</v>
      </c>
      <c r="Q81" s="15">
        <f t="shared" si="17"/>
        <v>705.30000000000041</v>
      </c>
      <c r="R81" s="12">
        <f t="shared" si="18"/>
        <v>0</v>
      </c>
      <c r="S81" s="12">
        <f t="shared" si="19"/>
        <v>0</v>
      </c>
      <c r="T81" s="12">
        <f t="shared" si="20"/>
        <v>0</v>
      </c>
    </row>
    <row r="82" spans="13:20" ht="15" customHeight="1" x14ac:dyDescent="0.35">
      <c r="M82" s="12">
        <v>81</v>
      </c>
      <c r="N82" s="12" t="str">
        <f t="shared" si="15"/>
        <v>A</v>
      </c>
      <c r="O82" s="14">
        <f t="shared" si="16"/>
        <v>10.16</v>
      </c>
      <c r="P82" s="15">
        <f t="shared" si="21"/>
        <v>517.96000000000049</v>
      </c>
      <c r="Q82" s="15">
        <f t="shared" si="17"/>
        <v>717.96000000000049</v>
      </c>
      <c r="R82" s="12">
        <f t="shared" si="18"/>
        <v>0</v>
      </c>
      <c r="S82" s="12">
        <f t="shared" si="19"/>
        <v>0</v>
      </c>
      <c r="T82" s="12">
        <f t="shared" si="20"/>
        <v>0</v>
      </c>
    </row>
    <row r="83" spans="13:20" ht="15" customHeight="1" x14ac:dyDescent="0.35">
      <c r="M83" s="12">
        <v>82</v>
      </c>
      <c r="N83" s="12" t="str">
        <f t="shared" si="15"/>
        <v>A</v>
      </c>
      <c r="O83" s="14">
        <f t="shared" si="16"/>
        <v>10.16</v>
      </c>
      <c r="P83" s="15">
        <f t="shared" si="21"/>
        <v>528.12000000000046</v>
      </c>
      <c r="Q83" s="15">
        <f t="shared" si="17"/>
        <v>730.62000000000046</v>
      </c>
      <c r="R83" s="12">
        <f t="shared" si="18"/>
        <v>0</v>
      </c>
      <c r="S83" s="12">
        <f t="shared" si="19"/>
        <v>0</v>
      </c>
      <c r="T83" s="12">
        <f t="shared" si="20"/>
        <v>0</v>
      </c>
    </row>
    <row r="84" spans="13:20" ht="15" customHeight="1" x14ac:dyDescent="0.35">
      <c r="M84" s="12">
        <v>83</v>
      </c>
      <c r="N84" s="12" t="str">
        <f t="shared" si="15"/>
        <v>A</v>
      </c>
      <c r="O84" s="14">
        <f t="shared" si="16"/>
        <v>10.16</v>
      </c>
      <c r="P84" s="15">
        <f t="shared" si="21"/>
        <v>538.28000000000043</v>
      </c>
      <c r="Q84" s="15">
        <f t="shared" si="17"/>
        <v>743.28000000000043</v>
      </c>
      <c r="R84" s="12">
        <f t="shared" si="18"/>
        <v>0</v>
      </c>
      <c r="S84" s="12">
        <f t="shared" si="19"/>
        <v>0</v>
      </c>
      <c r="T84" s="12">
        <f t="shared" si="20"/>
        <v>0</v>
      </c>
    </row>
    <row r="85" spans="13:20" ht="15" customHeight="1" x14ac:dyDescent="0.35">
      <c r="M85" s="12">
        <v>84</v>
      </c>
      <c r="N85" s="12" t="str">
        <f t="shared" si="15"/>
        <v>B</v>
      </c>
      <c r="O85" s="14">
        <f t="shared" si="16"/>
        <v>4.0599999999999996</v>
      </c>
      <c r="P85" s="15">
        <f t="shared" si="21"/>
        <v>542.34000000000037</v>
      </c>
      <c r="Q85" s="15">
        <f t="shared" si="17"/>
        <v>749.84000000000037</v>
      </c>
      <c r="R85" s="12">
        <f t="shared" si="18"/>
        <v>0</v>
      </c>
      <c r="S85" s="12">
        <f t="shared" si="19"/>
        <v>0</v>
      </c>
      <c r="T85" s="12">
        <f t="shared" si="20"/>
        <v>0</v>
      </c>
    </row>
    <row r="86" spans="13:20" ht="15" customHeight="1" x14ac:dyDescent="0.35">
      <c r="M86" s="12">
        <v>85</v>
      </c>
      <c r="N86" s="12" t="str">
        <f t="shared" si="15"/>
        <v>B</v>
      </c>
      <c r="O86" s="14">
        <f t="shared" si="16"/>
        <v>4.0599999999999996</v>
      </c>
      <c r="P86" s="15">
        <f t="shared" si="21"/>
        <v>546.40000000000032</v>
      </c>
      <c r="Q86" s="15">
        <f t="shared" si="17"/>
        <v>756.40000000000032</v>
      </c>
      <c r="R86" s="12">
        <f t="shared" si="18"/>
        <v>0</v>
      </c>
      <c r="S86" s="12">
        <f t="shared" si="19"/>
        <v>0</v>
      </c>
      <c r="T86" s="12">
        <f t="shared" si="20"/>
        <v>0</v>
      </c>
    </row>
    <row r="87" spans="13:20" ht="15" customHeight="1" x14ac:dyDescent="0.35">
      <c r="M87" s="12">
        <v>86</v>
      </c>
      <c r="N87" s="12" t="str">
        <f t="shared" si="15"/>
        <v>B</v>
      </c>
      <c r="O87" s="14">
        <f t="shared" si="16"/>
        <v>4.0599999999999996</v>
      </c>
      <c r="P87" s="15">
        <f t="shared" si="21"/>
        <v>550.46000000000026</v>
      </c>
      <c r="Q87" s="15">
        <f t="shared" si="17"/>
        <v>762.96000000000026</v>
      </c>
      <c r="R87" s="12">
        <f t="shared" si="18"/>
        <v>0</v>
      </c>
      <c r="S87" s="12">
        <f t="shared" si="19"/>
        <v>0</v>
      </c>
      <c r="T87" s="12">
        <f t="shared" si="20"/>
        <v>0</v>
      </c>
    </row>
    <row r="88" spans="13:20" ht="15" customHeight="1" x14ac:dyDescent="0.35">
      <c r="M88" s="12">
        <v>87</v>
      </c>
      <c r="N88" s="12" t="str">
        <f t="shared" si="15"/>
        <v>B</v>
      </c>
      <c r="O88" s="14">
        <f t="shared" si="16"/>
        <v>4.0599999999999996</v>
      </c>
      <c r="P88" s="15">
        <f t="shared" si="21"/>
        <v>554.52000000000021</v>
      </c>
      <c r="Q88" s="15">
        <f t="shared" si="17"/>
        <v>769.52000000000021</v>
      </c>
      <c r="R88" s="12">
        <f t="shared" si="18"/>
        <v>0</v>
      </c>
      <c r="S88" s="12">
        <f t="shared" si="19"/>
        <v>0</v>
      </c>
      <c r="T88" s="12">
        <f t="shared" si="20"/>
        <v>0</v>
      </c>
    </row>
    <row r="89" spans="13:20" ht="15" customHeight="1" x14ac:dyDescent="0.35">
      <c r="M89" s="12">
        <v>88</v>
      </c>
      <c r="N89" s="12" t="str">
        <f t="shared" si="15"/>
        <v>B</v>
      </c>
      <c r="O89" s="14">
        <f t="shared" si="16"/>
        <v>4.0599999999999996</v>
      </c>
      <c r="P89" s="15">
        <f t="shared" si="21"/>
        <v>558.58000000000015</v>
      </c>
      <c r="Q89" s="15">
        <f t="shared" si="17"/>
        <v>776.08000000000015</v>
      </c>
      <c r="R89" s="12">
        <f t="shared" si="18"/>
        <v>0</v>
      </c>
      <c r="S89" s="12">
        <f t="shared" si="19"/>
        <v>0</v>
      </c>
      <c r="T89" s="12">
        <f t="shared" si="20"/>
        <v>0</v>
      </c>
    </row>
    <row r="90" spans="13:20" ht="15" customHeight="1" x14ac:dyDescent="0.35">
      <c r="M90" s="12">
        <v>89</v>
      </c>
      <c r="N90" s="12" t="str">
        <f t="shared" si="15"/>
        <v>A</v>
      </c>
      <c r="O90" s="14">
        <f t="shared" si="16"/>
        <v>10.16</v>
      </c>
      <c r="P90" s="15">
        <f t="shared" si="21"/>
        <v>568.74000000000012</v>
      </c>
      <c r="Q90" s="15">
        <f t="shared" si="17"/>
        <v>788.74000000000012</v>
      </c>
      <c r="R90" s="12">
        <f t="shared" si="18"/>
        <v>0</v>
      </c>
      <c r="S90" s="12">
        <f t="shared" si="19"/>
        <v>0</v>
      </c>
      <c r="T90" s="12">
        <f t="shared" si="20"/>
        <v>0</v>
      </c>
    </row>
    <row r="91" spans="13:20" ht="15" customHeight="1" x14ac:dyDescent="0.35">
      <c r="M91" s="12">
        <v>90</v>
      </c>
      <c r="N91" s="12" t="str">
        <f t="shared" si="15"/>
        <v>A</v>
      </c>
      <c r="O91" s="14">
        <f t="shared" si="16"/>
        <v>10.16</v>
      </c>
      <c r="P91" s="15">
        <f t="shared" si="21"/>
        <v>578.90000000000009</v>
      </c>
      <c r="Q91" s="15">
        <f t="shared" si="17"/>
        <v>801.40000000000009</v>
      </c>
      <c r="R91" s="12">
        <f t="shared" si="18"/>
        <v>0</v>
      </c>
      <c r="S91" s="12">
        <f t="shared" si="19"/>
        <v>0</v>
      </c>
      <c r="T91" s="12">
        <f t="shared" si="20"/>
        <v>0</v>
      </c>
    </row>
    <row r="92" spans="13:20" ht="15" customHeight="1" x14ac:dyDescent="0.35">
      <c r="M92" s="12">
        <v>91</v>
      </c>
      <c r="N92" s="12" t="str">
        <f t="shared" si="15"/>
        <v>A</v>
      </c>
      <c r="O92" s="14">
        <f t="shared" si="16"/>
        <v>10.16</v>
      </c>
      <c r="P92" s="15">
        <f t="shared" si="21"/>
        <v>589.06000000000006</v>
      </c>
      <c r="Q92" s="15">
        <f t="shared" si="17"/>
        <v>814.06000000000006</v>
      </c>
      <c r="R92" s="12">
        <f t="shared" si="18"/>
        <v>0</v>
      </c>
      <c r="S92" s="12">
        <f t="shared" si="19"/>
        <v>0</v>
      </c>
      <c r="T92" s="12">
        <f t="shared" si="20"/>
        <v>0</v>
      </c>
    </row>
    <row r="93" spans="13:20" ht="15" customHeight="1" x14ac:dyDescent="0.35">
      <c r="M93" s="12">
        <v>92</v>
      </c>
      <c r="N93" s="12" t="str">
        <f t="shared" si="15"/>
        <v>B</v>
      </c>
      <c r="O93" s="14">
        <f t="shared" si="16"/>
        <v>4.0599999999999996</v>
      </c>
      <c r="P93" s="15">
        <f t="shared" si="21"/>
        <v>593.12</v>
      </c>
      <c r="Q93" s="15">
        <f t="shared" si="17"/>
        <v>820.62</v>
      </c>
      <c r="R93" s="12">
        <f t="shared" si="18"/>
        <v>0</v>
      </c>
      <c r="S93" s="12">
        <f t="shared" si="19"/>
        <v>0</v>
      </c>
      <c r="T93" s="12">
        <f t="shared" si="20"/>
        <v>0</v>
      </c>
    </row>
    <row r="94" spans="13:20" ht="15" customHeight="1" x14ac:dyDescent="0.35">
      <c r="M94" s="12">
        <v>93</v>
      </c>
      <c r="N94" s="12" t="str">
        <f t="shared" si="15"/>
        <v>B</v>
      </c>
      <c r="O94" s="14">
        <f t="shared" si="16"/>
        <v>4.0599999999999996</v>
      </c>
      <c r="P94" s="15">
        <f t="shared" si="21"/>
        <v>597.17999999999995</v>
      </c>
      <c r="Q94" s="15">
        <f t="shared" si="17"/>
        <v>827.18</v>
      </c>
      <c r="R94" s="12">
        <f t="shared" si="18"/>
        <v>0</v>
      </c>
      <c r="S94" s="12">
        <f t="shared" si="19"/>
        <v>0</v>
      </c>
      <c r="T94" s="12">
        <f t="shared" si="20"/>
        <v>0</v>
      </c>
    </row>
    <row r="95" spans="13:20" ht="15" customHeight="1" x14ac:dyDescent="0.35">
      <c r="M95" s="12">
        <v>94</v>
      </c>
      <c r="N95" s="12" t="str">
        <f t="shared" si="15"/>
        <v>B</v>
      </c>
      <c r="O95" s="14">
        <f t="shared" si="16"/>
        <v>4.0599999999999996</v>
      </c>
      <c r="P95" s="15">
        <f t="shared" si="21"/>
        <v>601.2399999999999</v>
      </c>
      <c r="Q95" s="15">
        <f t="shared" si="17"/>
        <v>833.7399999999999</v>
      </c>
      <c r="R95" s="12">
        <f t="shared" si="18"/>
        <v>0</v>
      </c>
      <c r="S95" s="12">
        <f t="shared" si="19"/>
        <v>0</v>
      </c>
      <c r="T95" s="12">
        <f t="shared" si="20"/>
        <v>0</v>
      </c>
    </row>
    <row r="96" spans="13:20" ht="15" customHeight="1" x14ac:dyDescent="0.35">
      <c r="M96" s="12">
        <v>95</v>
      </c>
      <c r="N96" s="12" t="str">
        <f t="shared" si="15"/>
        <v>B</v>
      </c>
      <c r="O96" s="14">
        <f t="shared" si="16"/>
        <v>4.0599999999999996</v>
      </c>
      <c r="P96" s="15">
        <f t="shared" si="21"/>
        <v>605.29999999999984</v>
      </c>
      <c r="Q96" s="15">
        <f t="shared" si="17"/>
        <v>840.29999999999984</v>
      </c>
      <c r="R96" s="12">
        <f t="shared" si="18"/>
        <v>0</v>
      </c>
      <c r="S96" s="12">
        <f t="shared" si="19"/>
        <v>0</v>
      </c>
      <c r="T96" s="12">
        <f t="shared" si="20"/>
        <v>0</v>
      </c>
    </row>
    <row r="97" spans="13:20" ht="15" customHeight="1" x14ac:dyDescent="0.35">
      <c r="M97" s="12">
        <v>96</v>
      </c>
      <c r="N97" s="12" t="str">
        <f t="shared" si="15"/>
        <v>B</v>
      </c>
      <c r="O97" s="14">
        <f t="shared" si="16"/>
        <v>4.0599999999999996</v>
      </c>
      <c r="P97" s="15">
        <f t="shared" si="21"/>
        <v>609.35999999999979</v>
      </c>
      <c r="Q97" s="15">
        <f t="shared" si="17"/>
        <v>846.85999999999979</v>
      </c>
      <c r="R97" s="12">
        <f t="shared" si="18"/>
        <v>0</v>
      </c>
      <c r="S97" s="12">
        <f t="shared" si="19"/>
        <v>0</v>
      </c>
      <c r="T97" s="12">
        <f t="shared" si="20"/>
        <v>0</v>
      </c>
    </row>
    <row r="98" spans="13:20" ht="15" customHeight="1" x14ac:dyDescent="0.35">
      <c r="M98" s="12">
        <v>97</v>
      </c>
      <c r="N98" s="12" t="str">
        <f t="shared" ref="N98:N129" si="22">IF(MOD(M98-1,$B$4+$B$7)&lt;$B$4,"A","B")</f>
        <v>A</v>
      </c>
      <c r="O98" s="14">
        <f t="shared" ref="O98:O129" si="23">IF(N98="A",$E$3,$E$4)</f>
        <v>10.16</v>
      </c>
      <c r="P98" s="15">
        <f t="shared" si="21"/>
        <v>619.51999999999975</v>
      </c>
      <c r="Q98" s="15">
        <f t="shared" ref="Q98:Q129" si="24">P98+(M98-1)*$B$8</f>
        <v>859.51999999999975</v>
      </c>
      <c r="R98" s="12">
        <f t="shared" ref="R98:R129" si="25">IF(AND(Q98&lt;=$B$9,N98="A"),1,0)</f>
        <v>0</v>
      </c>
      <c r="S98" s="12">
        <f t="shared" ref="S98:S129" si="26">IF(AND(Q98&lt;=$B$9,N98="B"),1,0)</f>
        <v>0</v>
      </c>
      <c r="T98" s="12">
        <f t="shared" ref="T98:T129" si="27">IF(Q98&lt;=$B$9,1,0)</f>
        <v>0</v>
      </c>
    </row>
    <row r="99" spans="13:20" ht="15" customHeight="1" x14ac:dyDescent="0.35">
      <c r="M99" s="12">
        <v>98</v>
      </c>
      <c r="N99" s="12" t="str">
        <f t="shared" si="22"/>
        <v>A</v>
      </c>
      <c r="O99" s="14">
        <f t="shared" si="23"/>
        <v>10.16</v>
      </c>
      <c r="P99" s="15">
        <f t="shared" ref="P99:P130" si="28">P98+O99</f>
        <v>629.67999999999972</v>
      </c>
      <c r="Q99" s="15">
        <f t="shared" si="24"/>
        <v>872.17999999999972</v>
      </c>
      <c r="R99" s="12">
        <f t="shared" si="25"/>
        <v>0</v>
      </c>
      <c r="S99" s="12">
        <f t="shared" si="26"/>
        <v>0</v>
      </c>
      <c r="T99" s="12">
        <f t="shared" si="27"/>
        <v>0</v>
      </c>
    </row>
    <row r="100" spans="13:20" ht="15" customHeight="1" x14ac:dyDescent="0.35">
      <c r="M100" s="12">
        <v>99</v>
      </c>
      <c r="N100" s="12" t="str">
        <f t="shared" si="22"/>
        <v>A</v>
      </c>
      <c r="O100" s="14">
        <f t="shared" si="23"/>
        <v>10.16</v>
      </c>
      <c r="P100" s="15">
        <f t="shared" si="28"/>
        <v>639.83999999999969</v>
      </c>
      <c r="Q100" s="15">
        <f t="shared" si="24"/>
        <v>884.83999999999969</v>
      </c>
      <c r="R100" s="12">
        <f t="shared" si="25"/>
        <v>0</v>
      </c>
      <c r="S100" s="12">
        <f t="shared" si="26"/>
        <v>0</v>
      </c>
      <c r="T100" s="12">
        <f t="shared" si="27"/>
        <v>0</v>
      </c>
    </row>
    <row r="101" spans="13:20" ht="15" customHeight="1" x14ac:dyDescent="0.35">
      <c r="M101" s="12">
        <v>100</v>
      </c>
      <c r="N101" s="12" t="str">
        <f t="shared" si="22"/>
        <v>B</v>
      </c>
      <c r="O101" s="14">
        <f t="shared" si="23"/>
        <v>4.0599999999999996</v>
      </c>
      <c r="P101" s="15">
        <f t="shared" si="28"/>
        <v>643.89999999999964</v>
      </c>
      <c r="Q101" s="15">
        <f t="shared" si="24"/>
        <v>891.39999999999964</v>
      </c>
      <c r="R101" s="12">
        <f t="shared" si="25"/>
        <v>0</v>
      </c>
      <c r="S101" s="12">
        <f t="shared" si="26"/>
        <v>0</v>
      </c>
      <c r="T101" s="12">
        <f t="shared" si="27"/>
        <v>0</v>
      </c>
    </row>
    <row r="102" spans="13:20" ht="15" customHeight="1" x14ac:dyDescent="0.35">
      <c r="M102" s="12">
        <v>101</v>
      </c>
      <c r="N102" s="12" t="str">
        <f t="shared" si="22"/>
        <v>B</v>
      </c>
      <c r="O102" s="14">
        <f t="shared" si="23"/>
        <v>4.0599999999999996</v>
      </c>
      <c r="P102" s="15">
        <f t="shared" si="28"/>
        <v>647.95999999999958</v>
      </c>
      <c r="Q102" s="15">
        <f t="shared" si="24"/>
        <v>897.95999999999958</v>
      </c>
      <c r="R102" s="12">
        <f t="shared" si="25"/>
        <v>0</v>
      </c>
      <c r="S102" s="12">
        <f t="shared" si="26"/>
        <v>0</v>
      </c>
      <c r="T102" s="12">
        <f t="shared" si="27"/>
        <v>0</v>
      </c>
    </row>
    <row r="103" spans="13:20" ht="15" customHeight="1" x14ac:dyDescent="0.35">
      <c r="M103" s="12">
        <v>102</v>
      </c>
      <c r="N103" s="12" t="str">
        <f t="shared" si="22"/>
        <v>B</v>
      </c>
      <c r="O103" s="14">
        <f t="shared" si="23"/>
        <v>4.0599999999999996</v>
      </c>
      <c r="P103" s="15">
        <f t="shared" si="28"/>
        <v>652.01999999999953</v>
      </c>
      <c r="Q103" s="15">
        <f t="shared" si="24"/>
        <v>904.51999999999953</v>
      </c>
      <c r="R103" s="12">
        <f t="shared" si="25"/>
        <v>0</v>
      </c>
      <c r="S103" s="12">
        <f t="shared" si="26"/>
        <v>0</v>
      </c>
      <c r="T103" s="12">
        <f t="shared" si="27"/>
        <v>0</v>
      </c>
    </row>
    <row r="104" spans="13:20" ht="15" customHeight="1" x14ac:dyDescent="0.35">
      <c r="M104" s="12">
        <v>103</v>
      </c>
      <c r="N104" s="12" t="str">
        <f t="shared" si="22"/>
        <v>B</v>
      </c>
      <c r="O104" s="14">
        <f t="shared" si="23"/>
        <v>4.0599999999999996</v>
      </c>
      <c r="P104" s="15">
        <f t="shared" si="28"/>
        <v>656.07999999999947</v>
      </c>
      <c r="Q104" s="15">
        <f t="shared" si="24"/>
        <v>911.07999999999947</v>
      </c>
      <c r="R104" s="12">
        <f t="shared" si="25"/>
        <v>0</v>
      </c>
      <c r="S104" s="12">
        <f t="shared" si="26"/>
        <v>0</v>
      </c>
      <c r="T104" s="12">
        <f t="shared" si="27"/>
        <v>0</v>
      </c>
    </row>
    <row r="105" spans="13:20" ht="15" customHeight="1" x14ac:dyDescent="0.35">
      <c r="M105" s="12">
        <v>104</v>
      </c>
      <c r="N105" s="12" t="str">
        <f t="shared" si="22"/>
        <v>B</v>
      </c>
      <c r="O105" s="14">
        <f t="shared" si="23"/>
        <v>4.0599999999999996</v>
      </c>
      <c r="P105" s="15">
        <f t="shared" si="28"/>
        <v>660.13999999999942</v>
      </c>
      <c r="Q105" s="15">
        <f t="shared" si="24"/>
        <v>917.63999999999942</v>
      </c>
      <c r="R105" s="12">
        <f t="shared" si="25"/>
        <v>0</v>
      </c>
      <c r="S105" s="12">
        <f t="shared" si="26"/>
        <v>0</v>
      </c>
      <c r="T105" s="12">
        <f t="shared" si="27"/>
        <v>0</v>
      </c>
    </row>
    <row r="106" spans="13:20" ht="15" customHeight="1" x14ac:dyDescent="0.35">
      <c r="M106" s="12">
        <v>105</v>
      </c>
      <c r="N106" s="12" t="str">
        <f t="shared" si="22"/>
        <v>A</v>
      </c>
      <c r="O106" s="14">
        <f t="shared" si="23"/>
        <v>10.16</v>
      </c>
      <c r="P106" s="15">
        <f t="shared" si="28"/>
        <v>670.29999999999939</v>
      </c>
      <c r="Q106" s="15">
        <f t="shared" si="24"/>
        <v>930.29999999999939</v>
      </c>
      <c r="R106" s="12">
        <f t="shared" si="25"/>
        <v>0</v>
      </c>
      <c r="S106" s="12">
        <f t="shared" si="26"/>
        <v>0</v>
      </c>
      <c r="T106" s="12">
        <f t="shared" si="27"/>
        <v>0</v>
      </c>
    </row>
    <row r="107" spans="13:20" ht="15" customHeight="1" x14ac:dyDescent="0.35">
      <c r="M107" s="12">
        <v>106</v>
      </c>
      <c r="N107" s="12" t="str">
        <f t="shared" si="22"/>
        <v>A</v>
      </c>
      <c r="O107" s="14">
        <f t="shared" si="23"/>
        <v>10.16</v>
      </c>
      <c r="P107" s="15">
        <f t="shared" si="28"/>
        <v>680.45999999999935</v>
      </c>
      <c r="Q107" s="15">
        <f t="shared" si="24"/>
        <v>942.95999999999935</v>
      </c>
      <c r="R107" s="12">
        <f t="shared" si="25"/>
        <v>0</v>
      </c>
      <c r="S107" s="12">
        <f t="shared" si="26"/>
        <v>0</v>
      </c>
      <c r="T107" s="12">
        <f t="shared" si="27"/>
        <v>0</v>
      </c>
    </row>
    <row r="108" spans="13:20" ht="15" customHeight="1" x14ac:dyDescent="0.35">
      <c r="M108" s="12">
        <v>107</v>
      </c>
      <c r="N108" s="12" t="str">
        <f t="shared" si="22"/>
        <v>A</v>
      </c>
      <c r="O108" s="14">
        <f t="shared" si="23"/>
        <v>10.16</v>
      </c>
      <c r="P108" s="15">
        <f t="shared" si="28"/>
        <v>690.61999999999932</v>
      </c>
      <c r="Q108" s="15">
        <f t="shared" si="24"/>
        <v>955.61999999999932</v>
      </c>
      <c r="R108" s="12">
        <f t="shared" si="25"/>
        <v>0</v>
      </c>
      <c r="S108" s="12">
        <f t="shared" si="26"/>
        <v>0</v>
      </c>
      <c r="T108" s="12">
        <f t="shared" si="27"/>
        <v>0</v>
      </c>
    </row>
    <row r="109" spans="13:20" ht="15" customHeight="1" x14ac:dyDescent="0.35">
      <c r="M109" s="12">
        <v>108</v>
      </c>
      <c r="N109" s="12" t="str">
        <f t="shared" si="22"/>
        <v>B</v>
      </c>
      <c r="O109" s="14">
        <f t="shared" si="23"/>
        <v>4.0599999999999996</v>
      </c>
      <c r="P109" s="15">
        <f t="shared" si="28"/>
        <v>694.67999999999927</v>
      </c>
      <c r="Q109" s="15">
        <f t="shared" si="24"/>
        <v>962.17999999999927</v>
      </c>
      <c r="R109" s="12">
        <f t="shared" si="25"/>
        <v>0</v>
      </c>
      <c r="S109" s="12">
        <f t="shared" si="26"/>
        <v>0</v>
      </c>
      <c r="T109" s="12">
        <f t="shared" si="27"/>
        <v>0</v>
      </c>
    </row>
    <row r="110" spans="13:20" ht="15" customHeight="1" x14ac:dyDescent="0.35">
      <c r="M110" s="12">
        <v>109</v>
      </c>
      <c r="N110" s="12" t="str">
        <f t="shared" si="22"/>
        <v>B</v>
      </c>
      <c r="O110" s="14">
        <f t="shared" si="23"/>
        <v>4.0599999999999996</v>
      </c>
      <c r="P110" s="15">
        <f t="shared" si="28"/>
        <v>698.73999999999921</v>
      </c>
      <c r="Q110" s="15">
        <f t="shared" si="24"/>
        <v>968.73999999999921</v>
      </c>
      <c r="R110" s="12">
        <f t="shared" si="25"/>
        <v>0</v>
      </c>
      <c r="S110" s="12">
        <f t="shared" si="26"/>
        <v>0</v>
      </c>
      <c r="T110" s="12">
        <f t="shared" si="27"/>
        <v>0</v>
      </c>
    </row>
    <row r="111" spans="13:20" ht="15" customHeight="1" x14ac:dyDescent="0.35">
      <c r="M111" s="12">
        <v>110</v>
      </c>
      <c r="N111" s="12" t="str">
        <f t="shared" si="22"/>
        <v>B</v>
      </c>
      <c r="O111" s="14">
        <f t="shared" si="23"/>
        <v>4.0599999999999996</v>
      </c>
      <c r="P111" s="15">
        <f t="shared" si="28"/>
        <v>702.79999999999916</v>
      </c>
      <c r="Q111" s="15">
        <f t="shared" si="24"/>
        <v>975.29999999999916</v>
      </c>
      <c r="R111" s="12">
        <f t="shared" si="25"/>
        <v>0</v>
      </c>
      <c r="S111" s="12">
        <f t="shared" si="26"/>
        <v>0</v>
      </c>
      <c r="T111" s="12">
        <f t="shared" si="27"/>
        <v>0</v>
      </c>
    </row>
    <row r="112" spans="13:20" ht="15" customHeight="1" x14ac:dyDescent="0.35">
      <c r="M112" s="12">
        <v>111</v>
      </c>
      <c r="N112" s="12" t="str">
        <f t="shared" si="22"/>
        <v>B</v>
      </c>
      <c r="O112" s="14">
        <f t="shared" si="23"/>
        <v>4.0599999999999996</v>
      </c>
      <c r="P112" s="15">
        <f t="shared" si="28"/>
        <v>706.8599999999991</v>
      </c>
      <c r="Q112" s="15">
        <f t="shared" si="24"/>
        <v>981.8599999999991</v>
      </c>
      <c r="R112" s="12">
        <f t="shared" si="25"/>
        <v>0</v>
      </c>
      <c r="S112" s="12">
        <f t="shared" si="26"/>
        <v>0</v>
      </c>
      <c r="T112" s="12">
        <f t="shared" si="27"/>
        <v>0</v>
      </c>
    </row>
    <row r="113" spans="13:20" ht="15" customHeight="1" x14ac:dyDescent="0.35">
      <c r="M113" s="12">
        <v>112</v>
      </c>
      <c r="N113" s="12" t="str">
        <f t="shared" si="22"/>
        <v>B</v>
      </c>
      <c r="O113" s="14">
        <f t="shared" si="23"/>
        <v>4.0599999999999996</v>
      </c>
      <c r="P113" s="15">
        <f t="shared" si="28"/>
        <v>710.91999999999905</v>
      </c>
      <c r="Q113" s="15">
        <f t="shared" si="24"/>
        <v>988.41999999999905</v>
      </c>
      <c r="R113" s="12">
        <f t="shared" si="25"/>
        <v>0</v>
      </c>
      <c r="S113" s="12">
        <f t="shared" si="26"/>
        <v>0</v>
      </c>
      <c r="T113" s="12">
        <f t="shared" si="27"/>
        <v>0</v>
      </c>
    </row>
    <row r="114" spans="13:20" ht="15" customHeight="1" x14ac:dyDescent="0.35">
      <c r="M114" s="12">
        <v>113</v>
      </c>
      <c r="N114" s="12" t="str">
        <f t="shared" si="22"/>
        <v>A</v>
      </c>
      <c r="O114" s="14">
        <f t="shared" si="23"/>
        <v>10.16</v>
      </c>
      <c r="P114" s="15">
        <f t="shared" si="28"/>
        <v>721.07999999999902</v>
      </c>
      <c r="Q114" s="15">
        <f t="shared" si="24"/>
        <v>1001.079999999999</v>
      </c>
      <c r="R114" s="12">
        <f t="shared" si="25"/>
        <v>0</v>
      </c>
      <c r="S114" s="12">
        <f t="shared" si="26"/>
        <v>0</v>
      </c>
      <c r="T114" s="12">
        <f t="shared" si="27"/>
        <v>0</v>
      </c>
    </row>
    <row r="115" spans="13:20" ht="15" customHeight="1" x14ac:dyDescent="0.35">
      <c r="M115" s="12">
        <v>114</v>
      </c>
      <c r="N115" s="12" t="str">
        <f t="shared" si="22"/>
        <v>A</v>
      </c>
      <c r="O115" s="14">
        <f t="shared" si="23"/>
        <v>10.16</v>
      </c>
      <c r="P115" s="15">
        <f t="shared" si="28"/>
        <v>731.23999999999899</v>
      </c>
      <c r="Q115" s="15">
        <f t="shared" si="24"/>
        <v>1013.739999999999</v>
      </c>
      <c r="R115" s="12">
        <f t="shared" si="25"/>
        <v>0</v>
      </c>
      <c r="S115" s="12">
        <f t="shared" si="26"/>
        <v>0</v>
      </c>
      <c r="T115" s="12">
        <f t="shared" si="27"/>
        <v>0</v>
      </c>
    </row>
    <row r="116" spans="13:20" ht="15" customHeight="1" x14ac:dyDescent="0.35">
      <c r="M116" s="12">
        <v>115</v>
      </c>
      <c r="N116" s="12" t="str">
        <f t="shared" si="22"/>
        <v>A</v>
      </c>
      <c r="O116" s="14">
        <f t="shared" si="23"/>
        <v>10.16</v>
      </c>
      <c r="P116" s="15">
        <f t="shared" si="28"/>
        <v>741.39999999999895</v>
      </c>
      <c r="Q116" s="15">
        <f t="shared" si="24"/>
        <v>1026.399999999999</v>
      </c>
      <c r="R116" s="12">
        <f t="shared" si="25"/>
        <v>0</v>
      </c>
      <c r="S116" s="12">
        <f t="shared" si="26"/>
        <v>0</v>
      </c>
      <c r="T116" s="12">
        <f t="shared" si="27"/>
        <v>0</v>
      </c>
    </row>
    <row r="117" spans="13:20" ht="15" customHeight="1" x14ac:dyDescent="0.35">
      <c r="M117" s="12">
        <v>116</v>
      </c>
      <c r="N117" s="12" t="str">
        <f t="shared" si="22"/>
        <v>B</v>
      </c>
      <c r="O117" s="14">
        <f t="shared" si="23"/>
        <v>4.0599999999999996</v>
      </c>
      <c r="P117" s="15">
        <f t="shared" si="28"/>
        <v>745.4599999999989</v>
      </c>
      <c r="Q117" s="15">
        <f t="shared" si="24"/>
        <v>1032.9599999999989</v>
      </c>
      <c r="R117" s="12">
        <f t="shared" si="25"/>
        <v>0</v>
      </c>
      <c r="S117" s="12">
        <f t="shared" si="26"/>
        <v>0</v>
      </c>
      <c r="T117" s="12">
        <f t="shared" si="27"/>
        <v>0</v>
      </c>
    </row>
    <row r="118" spans="13:20" ht="15" customHeight="1" x14ac:dyDescent="0.35">
      <c r="M118" s="12">
        <v>117</v>
      </c>
      <c r="N118" s="12" t="str">
        <f t="shared" si="22"/>
        <v>B</v>
      </c>
      <c r="O118" s="14">
        <f t="shared" si="23"/>
        <v>4.0599999999999996</v>
      </c>
      <c r="P118" s="15">
        <f t="shared" si="28"/>
        <v>749.51999999999884</v>
      </c>
      <c r="Q118" s="15">
        <f t="shared" si="24"/>
        <v>1039.5199999999988</v>
      </c>
      <c r="R118" s="12">
        <f t="shared" si="25"/>
        <v>0</v>
      </c>
      <c r="S118" s="12">
        <f t="shared" si="26"/>
        <v>0</v>
      </c>
      <c r="T118" s="12">
        <f t="shared" si="27"/>
        <v>0</v>
      </c>
    </row>
    <row r="119" spans="13:20" ht="15" customHeight="1" x14ac:dyDescent="0.35">
      <c r="M119" s="12">
        <v>118</v>
      </c>
      <c r="N119" s="12" t="str">
        <f t="shared" si="22"/>
        <v>B</v>
      </c>
      <c r="O119" s="14">
        <f t="shared" si="23"/>
        <v>4.0599999999999996</v>
      </c>
      <c r="P119" s="15">
        <f t="shared" si="28"/>
        <v>753.57999999999879</v>
      </c>
      <c r="Q119" s="15">
        <f t="shared" si="24"/>
        <v>1046.0799999999988</v>
      </c>
      <c r="R119" s="12">
        <f t="shared" si="25"/>
        <v>0</v>
      </c>
      <c r="S119" s="12">
        <f t="shared" si="26"/>
        <v>0</v>
      </c>
      <c r="T119" s="12">
        <f t="shared" si="27"/>
        <v>0</v>
      </c>
    </row>
    <row r="120" spans="13:20" ht="15" customHeight="1" x14ac:dyDescent="0.35">
      <c r="M120" s="12">
        <v>119</v>
      </c>
      <c r="N120" s="12" t="str">
        <f t="shared" si="22"/>
        <v>B</v>
      </c>
      <c r="O120" s="14">
        <f t="shared" si="23"/>
        <v>4.0599999999999996</v>
      </c>
      <c r="P120" s="15">
        <f t="shared" si="28"/>
        <v>757.63999999999874</v>
      </c>
      <c r="Q120" s="15">
        <f t="shared" si="24"/>
        <v>1052.6399999999987</v>
      </c>
      <c r="R120" s="12">
        <f t="shared" si="25"/>
        <v>0</v>
      </c>
      <c r="S120" s="12">
        <f t="shared" si="26"/>
        <v>0</v>
      </c>
      <c r="T120" s="12">
        <f t="shared" si="27"/>
        <v>0</v>
      </c>
    </row>
    <row r="121" spans="13:20" ht="15" customHeight="1" x14ac:dyDescent="0.35">
      <c r="M121" s="12">
        <v>120</v>
      </c>
      <c r="N121" s="12" t="str">
        <f t="shared" si="22"/>
        <v>B</v>
      </c>
      <c r="O121" s="14">
        <f t="shared" si="23"/>
        <v>4.0599999999999996</v>
      </c>
      <c r="P121" s="15">
        <f t="shared" si="28"/>
        <v>761.69999999999868</v>
      </c>
      <c r="Q121" s="15">
        <f t="shared" si="24"/>
        <v>1059.1999999999987</v>
      </c>
      <c r="R121" s="12">
        <f t="shared" si="25"/>
        <v>0</v>
      </c>
      <c r="S121" s="12">
        <f t="shared" si="26"/>
        <v>0</v>
      </c>
      <c r="T121" s="12">
        <f t="shared" si="27"/>
        <v>0</v>
      </c>
    </row>
    <row r="122" spans="13:20" ht="15" customHeight="1" x14ac:dyDescent="0.35">
      <c r="M122" s="12">
        <v>121</v>
      </c>
      <c r="N122" s="12" t="str">
        <f t="shared" si="22"/>
        <v>A</v>
      </c>
      <c r="O122" s="14">
        <f t="shared" si="23"/>
        <v>10.16</v>
      </c>
      <c r="P122" s="15">
        <f t="shared" si="28"/>
        <v>771.85999999999865</v>
      </c>
      <c r="Q122" s="15">
        <f t="shared" si="24"/>
        <v>1071.8599999999988</v>
      </c>
      <c r="R122" s="12">
        <f t="shared" si="25"/>
        <v>0</v>
      </c>
      <c r="S122" s="12">
        <f t="shared" si="26"/>
        <v>0</v>
      </c>
      <c r="T122" s="12">
        <f t="shared" si="27"/>
        <v>0</v>
      </c>
    </row>
    <row r="123" spans="13:20" ht="15" customHeight="1" x14ac:dyDescent="0.35">
      <c r="M123" s="12">
        <v>122</v>
      </c>
      <c r="N123" s="12" t="str">
        <f t="shared" si="22"/>
        <v>A</v>
      </c>
      <c r="O123" s="14">
        <f t="shared" si="23"/>
        <v>10.16</v>
      </c>
      <c r="P123" s="15">
        <f t="shared" si="28"/>
        <v>782.01999999999862</v>
      </c>
      <c r="Q123" s="15">
        <f t="shared" si="24"/>
        <v>1084.5199999999986</v>
      </c>
      <c r="R123" s="12">
        <f t="shared" si="25"/>
        <v>0</v>
      </c>
      <c r="S123" s="12">
        <f t="shared" si="26"/>
        <v>0</v>
      </c>
      <c r="T123" s="12">
        <f t="shared" si="27"/>
        <v>0</v>
      </c>
    </row>
    <row r="124" spans="13:20" ht="15" customHeight="1" x14ac:dyDescent="0.35">
      <c r="M124" s="12">
        <v>123</v>
      </c>
      <c r="N124" s="12" t="str">
        <f t="shared" si="22"/>
        <v>A</v>
      </c>
      <c r="O124" s="14">
        <f t="shared" si="23"/>
        <v>10.16</v>
      </c>
      <c r="P124" s="15">
        <f t="shared" si="28"/>
        <v>792.17999999999859</v>
      </c>
      <c r="Q124" s="15">
        <f t="shared" si="24"/>
        <v>1097.1799999999985</v>
      </c>
      <c r="R124" s="12">
        <f t="shared" si="25"/>
        <v>0</v>
      </c>
      <c r="S124" s="12">
        <f t="shared" si="26"/>
        <v>0</v>
      </c>
      <c r="T124" s="12">
        <f t="shared" si="27"/>
        <v>0</v>
      </c>
    </row>
    <row r="125" spans="13:20" ht="15" customHeight="1" x14ac:dyDescent="0.35">
      <c r="M125" s="12">
        <v>124</v>
      </c>
      <c r="N125" s="12" t="str">
        <f t="shared" si="22"/>
        <v>B</v>
      </c>
      <c r="O125" s="14">
        <f t="shared" si="23"/>
        <v>4.0599999999999996</v>
      </c>
      <c r="P125" s="15">
        <f t="shared" si="28"/>
        <v>796.23999999999853</v>
      </c>
      <c r="Q125" s="15">
        <f t="shared" si="24"/>
        <v>1103.7399999999984</v>
      </c>
      <c r="R125" s="12">
        <f t="shared" si="25"/>
        <v>0</v>
      </c>
      <c r="S125" s="12">
        <f t="shared" si="26"/>
        <v>0</v>
      </c>
      <c r="T125" s="12">
        <f t="shared" si="27"/>
        <v>0</v>
      </c>
    </row>
    <row r="126" spans="13:20" ht="15" customHeight="1" x14ac:dyDescent="0.35">
      <c r="M126" s="12">
        <v>125</v>
      </c>
      <c r="N126" s="12" t="str">
        <f t="shared" si="22"/>
        <v>B</v>
      </c>
      <c r="O126" s="14">
        <f t="shared" si="23"/>
        <v>4.0599999999999996</v>
      </c>
      <c r="P126" s="15">
        <f t="shared" si="28"/>
        <v>800.29999999999848</v>
      </c>
      <c r="Q126" s="15">
        <f t="shared" si="24"/>
        <v>1110.2999999999984</v>
      </c>
      <c r="R126" s="12">
        <f t="shared" si="25"/>
        <v>0</v>
      </c>
      <c r="S126" s="12">
        <f t="shared" si="26"/>
        <v>0</v>
      </c>
      <c r="T126" s="12">
        <f t="shared" si="27"/>
        <v>0</v>
      </c>
    </row>
    <row r="127" spans="13:20" ht="15" customHeight="1" x14ac:dyDescent="0.35">
      <c r="M127" s="12">
        <v>126</v>
      </c>
      <c r="N127" s="12" t="str">
        <f t="shared" si="22"/>
        <v>B</v>
      </c>
      <c r="O127" s="14">
        <f t="shared" si="23"/>
        <v>4.0599999999999996</v>
      </c>
      <c r="P127" s="15">
        <f t="shared" si="28"/>
        <v>804.35999999999842</v>
      </c>
      <c r="Q127" s="15">
        <f t="shared" si="24"/>
        <v>1116.8599999999983</v>
      </c>
      <c r="R127" s="12">
        <f t="shared" si="25"/>
        <v>0</v>
      </c>
      <c r="S127" s="12">
        <f t="shared" si="26"/>
        <v>0</v>
      </c>
      <c r="T127" s="12">
        <f t="shared" si="27"/>
        <v>0</v>
      </c>
    </row>
    <row r="128" spans="13:20" ht="15" customHeight="1" x14ac:dyDescent="0.35">
      <c r="M128" s="12">
        <v>127</v>
      </c>
      <c r="N128" s="12" t="str">
        <f t="shared" si="22"/>
        <v>B</v>
      </c>
      <c r="O128" s="14">
        <f t="shared" si="23"/>
        <v>4.0599999999999996</v>
      </c>
      <c r="P128" s="15">
        <f t="shared" si="28"/>
        <v>808.41999999999837</v>
      </c>
      <c r="Q128" s="15">
        <f t="shared" si="24"/>
        <v>1123.4199999999983</v>
      </c>
      <c r="R128" s="12">
        <f t="shared" si="25"/>
        <v>0</v>
      </c>
      <c r="S128" s="12">
        <f t="shared" si="26"/>
        <v>0</v>
      </c>
      <c r="T128" s="12">
        <f t="shared" si="27"/>
        <v>0</v>
      </c>
    </row>
    <row r="129" spans="13:20" ht="15" customHeight="1" x14ac:dyDescent="0.35">
      <c r="M129" s="12">
        <v>128</v>
      </c>
      <c r="N129" s="12" t="str">
        <f t="shared" si="22"/>
        <v>B</v>
      </c>
      <c r="O129" s="14">
        <f t="shared" si="23"/>
        <v>4.0599999999999996</v>
      </c>
      <c r="P129" s="15">
        <f t="shared" si="28"/>
        <v>812.47999999999831</v>
      </c>
      <c r="Q129" s="15">
        <f t="shared" si="24"/>
        <v>1129.9799999999982</v>
      </c>
      <c r="R129" s="12">
        <f t="shared" si="25"/>
        <v>0</v>
      </c>
      <c r="S129" s="12">
        <f t="shared" si="26"/>
        <v>0</v>
      </c>
      <c r="T129" s="12">
        <f t="shared" si="27"/>
        <v>0</v>
      </c>
    </row>
    <row r="130" spans="13:20" ht="15" customHeight="1" x14ac:dyDescent="0.35">
      <c r="M130" s="12">
        <v>129</v>
      </c>
      <c r="N130" s="12" t="str">
        <f t="shared" ref="N130:N161" si="29">IF(MOD(M130-1,$B$4+$B$7)&lt;$B$4,"A","B")</f>
        <v>A</v>
      </c>
      <c r="O130" s="14">
        <f t="shared" ref="O130:O161" si="30">IF(N130="A",$E$3,$E$4)</f>
        <v>10.16</v>
      </c>
      <c r="P130" s="15">
        <f t="shared" si="28"/>
        <v>822.63999999999828</v>
      </c>
      <c r="Q130" s="15">
        <f t="shared" ref="Q130:Q161" si="31">P130+(M130-1)*$B$8</f>
        <v>1142.6399999999983</v>
      </c>
      <c r="R130" s="12">
        <f t="shared" ref="R130:R161" si="32">IF(AND(Q130&lt;=$B$9,N130="A"),1,0)</f>
        <v>0</v>
      </c>
      <c r="S130" s="12">
        <f t="shared" ref="S130:S161" si="33">IF(AND(Q130&lt;=$B$9,N130="B"),1,0)</f>
        <v>0</v>
      </c>
      <c r="T130" s="12">
        <f t="shared" ref="T130:T161" si="34">IF(Q130&lt;=$B$9,1,0)</f>
        <v>0</v>
      </c>
    </row>
    <row r="131" spans="13:20" ht="15" customHeight="1" x14ac:dyDescent="0.35">
      <c r="M131" s="12">
        <v>130</v>
      </c>
      <c r="N131" s="12" t="str">
        <f t="shared" si="29"/>
        <v>A</v>
      </c>
      <c r="O131" s="14">
        <f t="shared" si="30"/>
        <v>10.16</v>
      </c>
      <c r="P131" s="15">
        <f t="shared" ref="P131:P162" si="35">P130+O131</f>
        <v>832.79999999999825</v>
      </c>
      <c r="Q131" s="15">
        <f t="shared" si="31"/>
        <v>1155.2999999999984</v>
      </c>
      <c r="R131" s="12">
        <f t="shared" si="32"/>
        <v>0</v>
      </c>
      <c r="S131" s="12">
        <f t="shared" si="33"/>
        <v>0</v>
      </c>
      <c r="T131" s="12">
        <f t="shared" si="34"/>
        <v>0</v>
      </c>
    </row>
    <row r="132" spans="13:20" ht="15" customHeight="1" x14ac:dyDescent="0.35">
      <c r="M132" s="12">
        <v>131</v>
      </c>
      <c r="N132" s="12" t="str">
        <f t="shared" si="29"/>
        <v>A</v>
      </c>
      <c r="O132" s="14">
        <f t="shared" si="30"/>
        <v>10.16</v>
      </c>
      <c r="P132" s="15">
        <f t="shared" si="35"/>
        <v>842.95999999999822</v>
      </c>
      <c r="Q132" s="15">
        <f t="shared" si="31"/>
        <v>1167.9599999999982</v>
      </c>
      <c r="R132" s="12">
        <f t="shared" si="32"/>
        <v>0</v>
      </c>
      <c r="S132" s="12">
        <f t="shared" si="33"/>
        <v>0</v>
      </c>
      <c r="T132" s="12">
        <f t="shared" si="34"/>
        <v>0</v>
      </c>
    </row>
    <row r="133" spans="13:20" ht="15" customHeight="1" x14ac:dyDescent="0.35">
      <c r="M133" s="12">
        <v>132</v>
      </c>
      <c r="N133" s="12" t="str">
        <f t="shared" si="29"/>
        <v>B</v>
      </c>
      <c r="O133" s="14">
        <f t="shared" si="30"/>
        <v>4.0599999999999996</v>
      </c>
      <c r="P133" s="15">
        <f t="shared" si="35"/>
        <v>847.01999999999816</v>
      </c>
      <c r="Q133" s="15">
        <f t="shared" si="31"/>
        <v>1174.5199999999982</v>
      </c>
      <c r="R133" s="12">
        <f t="shared" si="32"/>
        <v>0</v>
      </c>
      <c r="S133" s="12">
        <f t="shared" si="33"/>
        <v>0</v>
      </c>
      <c r="T133" s="12">
        <f t="shared" si="34"/>
        <v>0</v>
      </c>
    </row>
    <row r="134" spans="13:20" ht="15" customHeight="1" x14ac:dyDescent="0.35">
      <c r="M134" s="12">
        <v>133</v>
      </c>
      <c r="N134" s="12" t="str">
        <f t="shared" si="29"/>
        <v>B</v>
      </c>
      <c r="O134" s="14">
        <f t="shared" si="30"/>
        <v>4.0599999999999996</v>
      </c>
      <c r="P134" s="15">
        <f t="shared" si="35"/>
        <v>851.07999999999811</v>
      </c>
      <c r="Q134" s="15">
        <f t="shared" si="31"/>
        <v>1181.0799999999981</v>
      </c>
      <c r="R134" s="12">
        <f t="shared" si="32"/>
        <v>0</v>
      </c>
      <c r="S134" s="12">
        <f t="shared" si="33"/>
        <v>0</v>
      </c>
      <c r="T134" s="12">
        <f t="shared" si="34"/>
        <v>0</v>
      </c>
    </row>
    <row r="135" spans="13:20" ht="15" customHeight="1" x14ac:dyDescent="0.35">
      <c r="M135" s="12">
        <v>134</v>
      </c>
      <c r="N135" s="12" t="str">
        <f t="shared" si="29"/>
        <v>B</v>
      </c>
      <c r="O135" s="14">
        <f t="shared" si="30"/>
        <v>4.0599999999999996</v>
      </c>
      <c r="P135" s="15">
        <f t="shared" si="35"/>
        <v>855.13999999999805</v>
      </c>
      <c r="Q135" s="15">
        <f t="shared" si="31"/>
        <v>1187.6399999999981</v>
      </c>
      <c r="R135" s="12">
        <f t="shared" si="32"/>
        <v>0</v>
      </c>
      <c r="S135" s="12">
        <f t="shared" si="33"/>
        <v>0</v>
      </c>
      <c r="T135" s="12">
        <f t="shared" si="34"/>
        <v>0</v>
      </c>
    </row>
    <row r="136" spans="13:20" ht="15" customHeight="1" x14ac:dyDescent="0.35">
      <c r="M136" s="12">
        <v>135</v>
      </c>
      <c r="N136" s="12" t="str">
        <f t="shared" si="29"/>
        <v>B</v>
      </c>
      <c r="O136" s="14">
        <f t="shared" si="30"/>
        <v>4.0599999999999996</v>
      </c>
      <c r="P136" s="15">
        <f t="shared" si="35"/>
        <v>859.199999999998</v>
      </c>
      <c r="Q136" s="15">
        <f t="shared" si="31"/>
        <v>1194.199999999998</v>
      </c>
      <c r="R136" s="12">
        <f t="shared" si="32"/>
        <v>0</v>
      </c>
      <c r="S136" s="12">
        <f t="shared" si="33"/>
        <v>0</v>
      </c>
      <c r="T136" s="12">
        <f t="shared" si="34"/>
        <v>0</v>
      </c>
    </row>
    <row r="137" spans="13:20" ht="15" customHeight="1" x14ac:dyDescent="0.35">
      <c r="M137" s="12">
        <v>136</v>
      </c>
      <c r="N137" s="12" t="str">
        <f t="shared" si="29"/>
        <v>B</v>
      </c>
      <c r="O137" s="14">
        <f t="shared" si="30"/>
        <v>4.0599999999999996</v>
      </c>
      <c r="P137" s="15">
        <f t="shared" si="35"/>
        <v>863.25999999999794</v>
      </c>
      <c r="Q137" s="15">
        <f t="shared" si="31"/>
        <v>1200.7599999999979</v>
      </c>
      <c r="R137" s="12">
        <f t="shared" si="32"/>
        <v>0</v>
      </c>
      <c r="S137" s="12">
        <f t="shared" si="33"/>
        <v>0</v>
      </c>
      <c r="T137" s="12">
        <f t="shared" si="34"/>
        <v>0</v>
      </c>
    </row>
    <row r="138" spans="13:20" ht="15" customHeight="1" x14ac:dyDescent="0.35">
      <c r="M138" s="12">
        <v>137</v>
      </c>
      <c r="N138" s="12" t="str">
        <f t="shared" si="29"/>
        <v>A</v>
      </c>
      <c r="O138" s="14">
        <f t="shared" si="30"/>
        <v>10.16</v>
      </c>
      <c r="P138" s="15">
        <f t="shared" si="35"/>
        <v>873.41999999999791</v>
      </c>
      <c r="Q138" s="15">
        <f t="shared" si="31"/>
        <v>1213.4199999999978</v>
      </c>
      <c r="R138" s="12">
        <f t="shared" si="32"/>
        <v>0</v>
      </c>
      <c r="S138" s="12">
        <f t="shared" si="33"/>
        <v>0</v>
      </c>
      <c r="T138" s="12">
        <f t="shared" si="34"/>
        <v>0</v>
      </c>
    </row>
    <row r="139" spans="13:20" ht="15" customHeight="1" x14ac:dyDescent="0.35">
      <c r="M139" s="12">
        <v>138</v>
      </c>
      <c r="N139" s="12" t="str">
        <f t="shared" si="29"/>
        <v>A</v>
      </c>
      <c r="O139" s="14">
        <f t="shared" si="30"/>
        <v>10.16</v>
      </c>
      <c r="P139" s="15">
        <f t="shared" si="35"/>
        <v>883.57999999999788</v>
      </c>
      <c r="Q139" s="15">
        <f t="shared" si="31"/>
        <v>1226.0799999999979</v>
      </c>
      <c r="R139" s="12">
        <f t="shared" si="32"/>
        <v>0</v>
      </c>
      <c r="S139" s="12">
        <f t="shared" si="33"/>
        <v>0</v>
      </c>
      <c r="T139" s="12">
        <f t="shared" si="34"/>
        <v>0</v>
      </c>
    </row>
    <row r="140" spans="13:20" ht="15" customHeight="1" x14ac:dyDescent="0.35">
      <c r="M140" s="12">
        <v>139</v>
      </c>
      <c r="N140" s="12" t="str">
        <f t="shared" si="29"/>
        <v>A</v>
      </c>
      <c r="O140" s="14">
        <f t="shared" si="30"/>
        <v>10.16</v>
      </c>
      <c r="P140" s="15">
        <f t="shared" si="35"/>
        <v>893.73999999999785</v>
      </c>
      <c r="Q140" s="15">
        <f t="shared" si="31"/>
        <v>1238.739999999998</v>
      </c>
      <c r="R140" s="12">
        <f t="shared" si="32"/>
        <v>0</v>
      </c>
      <c r="S140" s="12">
        <f t="shared" si="33"/>
        <v>0</v>
      </c>
      <c r="T140" s="12">
        <f t="shared" si="34"/>
        <v>0</v>
      </c>
    </row>
    <row r="141" spans="13:20" ht="15" customHeight="1" x14ac:dyDescent="0.35">
      <c r="M141" s="12">
        <v>140</v>
      </c>
      <c r="N141" s="12" t="str">
        <f t="shared" si="29"/>
        <v>B</v>
      </c>
      <c r="O141" s="14">
        <f t="shared" si="30"/>
        <v>4.0599999999999996</v>
      </c>
      <c r="P141" s="15">
        <f t="shared" si="35"/>
        <v>897.79999999999779</v>
      </c>
      <c r="Q141" s="15">
        <f t="shared" si="31"/>
        <v>1245.2999999999979</v>
      </c>
      <c r="R141" s="12">
        <f t="shared" si="32"/>
        <v>0</v>
      </c>
      <c r="S141" s="12">
        <f t="shared" si="33"/>
        <v>0</v>
      </c>
      <c r="T141" s="12">
        <f t="shared" si="34"/>
        <v>0</v>
      </c>
    </row>
    <row r="142" spans="13:20" ht="15" customHeight="1" x14ac:dyDescent="0.35">
      <c r="M142" s="12">
        <v>141</v>
      </c>
      <c r="N142" s="12" t="str">
        <f t="shared" si="29"/>
        <v>B</v>
      </c>
      <c r="O142" s="14">
        <f t="shared" si="30"/>
        <v>4.0599999999999996</v>
      </c>
      <c r="P142" s="15">
        <f t="shared" si="35"/>
        <v>901.85999999999774</v>
      </c>
      <c r="Q142" s="15">
        <f t="shared" si="31"/>
        <v>1251.8599999999979</v>
      </c>
      <c r="R142" s="12">
        <f t="shared" si="32"/>
        <v>0</v>
      </c>
      <c r="S142" s="12">
        <f t="shared" si="33"/>
        <v>0</v>
      </c>
      <c r="T142" s="12">
        <f t="shared" si="34"/>
        <v>0</v>
      </c>
    </row>
    <row r="143" spans="13:20" ht="15" customHeight="1" x14ac:dyDescent="0.35">
      <c r="M143" s="12">
        <v>142</v>
      </c>
      <c r="N143" s="12" t="str">
        <f t="shared" si="29"/>
        <v>B</v>
      </c>
      <c r="O143" s="14">
        <f t="shared" si="30"/>
        <v>4.0599999999999996</v>
      </c>
      <c r="P143" s="15">
        <f t="shared" si="35"/>
        <v>905.91999999999769</v>
      </c>
      <c r="Q143" s="15">
        <f t="shared" si="31"/>
        <v>1258.4199999999978</v>
      </c>
      <c r="R143" s="12">
        <f t="shared" si="32"/>
        <v>0</v>
      </c>
      <c r="S143" s="12">
        <f t="shared" si="33"/>
        <v>0</v>
      </c>
      <c r="T143" s="12">
        <f t="shared" si="34"/>
        <v>0</v>
      </c>
    </row>
    <row r="144" spans="13:20" ht="15" customHeight="1" x14ac:dyDescent="0.35">
      <c r="M144" s="12">
        <v>143</v>
      </c>
      <c r="N144" s="12" t="str">
        <f t="shared" si="29"/>
        <v>B</v>
      </c>
      <c r="O144" s="14">
        <f t="shared" si="30"/>
        <v>4.0599999999999996</v>
      </c>
      <c r="P144" s="15">
        <f t="shared" si="35"/>
        <v>909.97999999999763</v>
      </c>
      <c r="Q144" s="15">
        <f t="shared" si="31"/>
        <v>1264.9799999999977</v>
      </c>
      <c r="R144" s="12">
        <f t="shared" si="32"/>
        <v>0</v>
      </c>
      <c r="S144" s="12">
        <f t="shared" si="33"/>
        <v>0</v>
      </c>
      <c r="T144" s="12">
        <f t="shared" si="34"/>
        <v>0</v>
      </c>
    </row>
    <row r="145" spans="13:20" ht="15" customHeight="1" x14ac:dyDescent="0.35">
      <c r="M145" s="12">
        <v>144</v>
      </c>
      <c r="N145" s="12" t="str">
        <f t="shared" si="29"/>
        <v>B</v>
      </c>
      <c r="O145" s="14">
        <f t="shared" si="30"/>
        <v>4.0599999999999996</v>
      </c>
      <c r="P145" s="15">
        <f t="shared" si="35"/>
        <v>914.03999999999758</v>
      </c>
      <c r="Q145" s="15">
        <f t="shared" si="31"/>
        <v>1271.5399999999977</v>
      </c>
      <c r="R145" s="12">
        <f t="shared" si="32"/>
        <v>0</v>
      </c>
      <c r="S145" s="12">
        <f t="shared" si="33"/>
        <v>0</v>
      </c>
      <c r="T145" s="12">
        <f t="shared" si="34"/>
        <v>0</v>
      </c>
    </row>
    <row r="146" spans="13:20" ht="15" customHeight="1" x14ac:dyDescent="0.35">
      <c r="M146" s="12">
        <v>145</v>
      </c>
      <c r="N146" s="12" t="str">
        <f t="shared" si="29"/>
        <v>A</v>
      </c>
      <c r="O146" s="14">
        <f t="shared" si="30"/>
        <v>10.16</v>
      </c>
      <c r="P146" s="15">
        <f t="shared" si="35"/>
        <v>924.19999999999754</v>
      </c>
      <c r="Q146" s="15">
        <f t="shared" si="31"/>
        <v>1284.1999999999975</v>
      </c>
      <c r="R146" s="12">
        <f t="shared" si="32"/>
        <v>0</v>
      </c>
      <c r="S146" s="12">
        <f t="shared" si="33"/>
        <v>0</v>
      </c>
      <c r="T146" s="12">
        <f t="shared" si="34"/>
        <v>0</v>
      </c>
    </row>
    <row r="147" spans="13:20" ht="15" customHeight="1" x14ac:dyDescent="0.35">
      <c r="M147" s="12">
        <v>146</v>
      </c>
      <c r="N147" s="12" t="str">
        <f t="shared" si="29"/>
        <v>A</v>
      </c>
      <c r="O147" s="14">
        <f t="shared" si="30"/>
        <v>10.16</v>
      </c>
      <c r="P147" s="15">
        <f t="shared" si="35"/>
        <v>934.35999999999751</v>
      </c>
      <c r="Q147" s="15">
        <f t="shared" si="31"/>
        <v>1296.8599999999974</v>
      </c>
      <c r="R147" s="12">
        <f t="shared" si="32"/>
        <v>0</v>
      </c>
      <c r="S147" s="12">
        <f t="shared" si="33"/>
        <v>0</v>
      </c>
      <c r="T147" s="12">
        <f t="shared" si="34"/>
        <v>0</v>
      </c>
    </row>
    <row r="148" spans="13:20" ht="15" customHeight="1" x14ac:dyDescent="0.35">
      <c r="M148" s="12">
        <v>147</v>
      </c>
      <c r="N148" s="12" t="str">
        <f t="shared" si="29"/>
        <v>A</v>
      </c>
      <c r="O148" s="14">
        <f t="shared" si="30"/>
        <v>10.16</v>
      </c>
      <c r="P148" s="15">
        <f t="shared" si="35"/>
        <v>944.51999999999748</v>
      </c>
      <c r="Q148" s="15">
        <f t="shared" si="31"/>
        <v>1309.5199999999975</v>
      </c>
      <c r="R148" s="12">
        <f t="shared" si="32"/>
        <v>0</v>
      </c>
      <c r="S148" s="12">
        <f t="shared" si="33"/>
        <v>0</v>
      </c>
      <c r="T148" s="12">
        <f t="shared" si="34"/>
        <v>0</v>
      </c>
    </row>
    <row r="149" spans="13:20" ht="15" customHeight="1" x14ac:dyDescent="0.35">
      <c r="M149" s="12">
        <v>148</v>
      </c>
      <c r="N149" s="12" t="str">
        <f t="shared" si="29"/>
        <v>B</v>
      </c>
      <c r="O149" s="14">
        <f t="shared" si="30"/>
        <v>4.0599999999999996</v>
      </c>
      <c r="P149" s="15">
        <f t="shared" si="35"/>
        <v>948.57999999999743</v>
      </c>
      <c r="Q149" s="15">
        <f t="shared" si="31"/>
        <v>1316.0799999999974</v>
      </c>
      <c r="R149" s="12">
        <f t="shared" si="32"/>
        <v>0</v>
      </c>
      <c r="S149" s="12">
        <f t="shared" si="33"/>
        <v>0</v>
      </c>
      <c r="T149" s="12">
        <f t="shared" si="34"/>
        <v>0</v>
      </c>
    </row>
    <row r="150" spans="13:20" ht="15" customHeight="1" x14ac:dyDescent="0.35">
      <c r="M150" s="12">
        <v>149</v>
      </c>
      <c r="N150" s="12" t="str">
        <f t="shared" si="29"/>
        <v>B</v>
      </c>
      <c r="O150" s="14">
        <f t="shared" si="30"/>
        <v>4.0599999999999996</v>
      </c>
      <c r="P150" s="15">
        <f t="shared" si="35"/>
        <v>952.63999999999737</v>
      </c>
      <c r="Q150" s="15">
        <f t="shared" si="31"/>
        <v>1322.6399999999974</v>
      </c>
      <c r="R150" s="12">
        <f t="shared" si="32"/>
        <v>0</v>
      </c>
      <c r="S150" s="12">
        <f t="shared" si="33"/>
        <v>0</v>
      </c>
      <c r="T150" s="12">
        <f t="shared" si="34"/>
        <v>0</v>
      </c>
    </row>
    <row r="151" spans="13:20" ht="15" customHeight="1" x14ac:dyDescent="0.35">
      <c r="M151" s="12">
        <v>150</v>
      </c>
      <c r="N151" s="12" t="str">
        <f t="shared" si="29"/>
        <v>B</v>
      </c>
      <c r="O151" s="14">
        <f t="shared" si="30"/>
        <v>4.0599999999999996</v>
      </c>
      <c r="P151" s="15">
        <f t="shared" si="35"/>
        <v>956.69999999999732</v>
      </c>
      <c r="Q151" s="15">
        <f t="shared" si="31"/>
        <v>1329.1999999999973</v>
      </c>
      <c r="R151" s="12">
        <f t="shared" si="32"/>
        <v>0</v>
      </c>
      <c r="S151" s="12">
        <f t="shared" si="33"/>
        <v>0</v>
      </c>
      <c r="T151" s="12">
        <f t="shared" si="34"/>
        <v>0</v>
      </c>
    </row>
    <row r="152" spans="13:20" ht="15" customHeight="1" x14ac:dyDescent="0.35">
      <c r="M152" s="12">
        <v>151</v>
      </c>
      <c r="N152" s="12" t="str">
        <f t="shared" si="29"/>
        <v>B</v>
      </c>
      <c r="O152" s="14">
        <f t="shared" si="30"/>
        <v>4.0599999999999996</v>
      </c>
      <c r="P152" s="15">
        <f t="shared" si="35"/>
        <v>960.75999999999726</v>
      </c>
      <c r="Q152" s="15">
        <f t="shared" si="31"/>
        <v>1335.7599999999973</v>
      </c>
      <c r="R152" s="12">
        <f t="shared" si="32"/>
        <v>0</v>
      </c>
      <c r="S152" s="12">
        <f t="shared" si="33"/>
        <v>0</v>
      </c>
      <c r="T152" s="12">
        <f t="shared" si="34"/>
        <v>0</v>
      </c>
    </row>
    <row r="153" spans="13:20" ht="15" customHeight="1" x14ac:dyDescent="0.35">
      <c r="M153" s="12">
        <v>152</v>
      </c>
      <c r="N153" s="12" t="str">
        <f t="shared" si="29"/>
        <v>B</v>
      </c>
      <c r="O153" s="14">
        <f t="shared" si="30"/>
        <v>4.0599999999999996</v>
      </c>
      <c r="P153" s="15">
        <f t="shared" si="35"/>
        <v>964.81999999999721</v>
      </c>
      <c r="Q153" s="15">
        <f t="shared" si="31"/>
        <v>1342.3199999999972</v>
      </c>
      <c r="R153" s="12">
        <f t="shared" si="32"/>
        <v>0</v>
      </c>
      <c r="S153" s="12">
        <f t="shared" si="33"/>
        <v>0</v>
      </c>
      <c r="T153" s="12">
        <f t="shared" si="34"/>
        <v>0</v>
      </c>
    </row>
    <row r="154" spans="13:20" ht="15" customHeight="1" x14ac:dyDescent="0.35">
      <c r="M154" s="12">
        <v>153</v>
      </c>
      <c r="N154" s="12" t="str">
        <f t="shared" si="29"/>
        <v>A</v>
      </c>
      <c r="O154" s="14">
        <f t="shared" si="30"/>
        <v>10.16</v>
      </c>
      <c r="P154" s="15">
        <f t="shared" si="35"/>
        <v>974.97999999999718</v>
      </c>
      <c r="Q154" s="15">
        <f t="shared" si="31"/>
        <v>1354.9799999999973</v>
      </c>
      <c r="R154" s="12">
        <f t="shared" si="32"/>
        <v>0</v>
      </c>
      <c r="S154" s="12">
        <f t="shared" si="33"/>
        <v>0</v>
      </c>
      <c r="T154" s="12">
        <f t="shared" si="34"/>
        <v>0</v>
      </c>
    </row>
    <row r="155" spans="13:20" ht="15" customHeight="1" x14ac:dyDescent="0.35">
      <c r="M155" s="12">
        <v>154</v>
      </c>
      <c r="N155" s="12" t="str">
        <f t="shared" si="29"/>
        <v>A</v>
      </c>
      <c r="O155" s="14">
        <f t="shared" si="30"/>
        <v>10.16</v>
      </c>
      <c r="P155" s="15">
        <f t="shared" si="35"/>
        <v>985.13999999999714</v>
      </c>
      <c r="Q155" s="15">
        <f t="shared" si="31"/>
        <v>1367.6399999999971</v>
      </c>
      <c r="R155" s="12">
        <f t="shared" si="32"/>
        <v>0</v>
      </c>
      <c r="S155" s="12">
        <f t="shared" si="33"/>
        <v>0</v>
      </c>
      <c r="T155" s="12">
        <f t="shared" si="34"/>
        <v>0</v>
      </c>
    </row>
    <row r="156" spans="13:20" ht="15" customHeight="1" x14ac:dyDescent="0.35">
      <c r="M156" s="12">
        <v>155</v>
      </c>
      <c r="N156" s="12" t="str">
        <f t="shared" si="29"/>
        <v>A</v>
      </c>
      <c r="O156" s="14">
        <f t="shared" si="30"/>
        <v>10.16</v>
      </c>
      <c r="P156" s="15">
        <f t="shared" si="35"/>
        <v>995.29999999999711</v>
      </c>
      <c r="Q156" s="15">
        <f t="shared" si="31"/>
        <v>1380.299999999997</v>
      </c>
      <c r="R156" s="12">
        <f t="shared" si="32"/>
        <v>0</v>
      </c>
      <c r="S156" s="12">
        <f t="shared" si="33"/>
        <v>0</v>
      </c>
      <c r="T156" s="12">
        <f t="shared" si="34"/>
        <v>0</v>
      </c>
    </row>
    <row r="157" spans="13:20" ht="15" customHeight="1" x14ac:dyDescent="0.35">
      <c r="M157" s="12">
        <v>156</v>
      </c>
      <c r="N157" s="12" t="str">
        <f t="shared" si="29"/>
        <v>B</v>
      </c>
      <c r="O157" s="14">
        <f t="shared" si="30"/>
        <v>4.0599999999999996</v>
      </c>
      <c r="P157" s="15">
        <f t="shared" si="35"/>
        <v>999.35999999999706</v>
      </c>
      <c r="Q157" s="15">
        <f t="shared" si="31"/>
        <v>1386.8599999999969</v>
      </c>
      <c r="R157" s="12">
        <f t="shared" si="32"/>
        <v>0</v>
      </c>
      <c r="S157" s="12">
        <f t="shared" si="33"/>
        <v>0</v>
      </c>
      <c r="T157" s="12">
        <f t="shared" si="34"/>
        <v>0</v>
      </c>
    </row>
    <row r="158" spans="13:20" ht="15" customHeight="1" x14ac:dyDescent="0.35">
      <c r="M158" s="12">
        <v>157</v>
      </c>
      <c r="N158" s="12" t="str">
        <f t="shared" si="29"/>
        <v>B</v>
      </c>
      <c r="O158" s="14">
        <f t="shared" si="30"/>
        <v>4.0599999999999996</v>
      </c>
      <c r="P158" s="15">
        <f t="shared" si="35"/>
        <v>1003.419999999997</v>
      </c>
      <c r="Q158" s="15">
        <f t="shared" si="31"/>
        <v>1393.4199999999969</v>
      </c>
      <c r="R158" s="12">
        <f t="shared" si="32"/>
        <v>0</v>
      </c>
      <c r="S158" s="12">
        <f t="shared" si="33"/>
        <v>0</v>
      </c>
      <c r="T158" s="12">
        <f t="shared" si="34"/>
        <v>0</v>
      </c>
    </row>
    <row r="159" spans="13:20" ht="15" customHeight="1" x14ac:dyDescent="0.35">
      <c r="M159" s="12">
        <v>158</v>
      </c>
      <c r="N159" s="12" t="str">
        <f t="shared" si="29"/>
        <v>B</v>
      </c>
      <c r="O159" s="14">
        <f t="shared" si="30"/>
        <v>4.0599999999999996</v>
      </c>
      <c r="P159" s="15">
        <f t="shared" si="35"/>
        <v>1007.4799999999969</v>
      </c>
      <c r="Q159" s="15">
        <f t="shared" si="31"/>
        <v>1399.9799999999968</v>
      </c>
      <c r="R159" s="12">
        <f t="shared" si="32"/>
        <v>0</v>
      </c>
      <c r="S159" s="12">
        <f t="shared" si="33"/>
        <v>0</v>
      </c>
      <c r="T159" s="12">
        <f t="shared" si="34"/>
        <v>0</v>
      </c>
    </row>
    <row r="160" spans="13:20" ht="15" customHeight="1" x14ac:dyDescent="0.35">
      <c r="M160" s="12">
        <v>159</v>
      </c>
      <c r="N160" s="12" t="str">
        <f t="shared" si="29"/>
        <v>B</v>
      </c>
      <c r="O160" s="14">
        <f t="shared" si="30"/>
        <v>4.0599999999999996</v>
      </c>
      <c r="P160" s="15">
        <f t="shared" si="35"/>
        <v>1011.5399999999969</v>
      </c>
      <c r="Q160" s="15">
        <f t="shared" si="31"/>
        <v>1406.5399999999968</v>
      </c>
      <c r="R160" s="12">
        <f t="shared" si="32"/>
        <v>0</v>
      </c>
      <c r="S160" s="12">
        <f t="shared" si="33"/>
        <v>0</v>
      </c>
      <c r="T160" s="12">
        <f t="shared" si="34"/>
        <v>0</v>
      </c>
    </row>
    <row r="161" spans="13:20" ht="15" customHeight="1" x14ac:dyDescent="0.35">
      <c r="M161" s="12">
        <v>160</v>
      </c>
      <c r="N161" s="12" t="str">
        <f t="shared" si="29"/>
        <v>B</v>
      </c>
      <c r="O161" s="14">
        <f t="shared" si="30"/>
        <v>4.0599999999999996</v>
      </c>
      <c r="P161" s="15">
        <f t="shared" si="35"/>
        <v>1015.5999999999968</v>
      </c>
      <c r="Q161" s="15">
        <f t="shared" si="31"/>
        <v>1413.0999999999967</v>
      </c>
      <c r="R161" s="12">
        <f t="shared" si="32"/>
        <v>0</v>
      </c>
      <c r="S161" s="12">
        <f t="shared" si="33"/>
        <v>0</v>
      </c>
      <c r="T161" s="12">
        <f t="shared" si="34"/>
        <v>0</v>
      </c>
    </row>
    <row r="162" spans="13:20" ht="15" customHeight="1" x14ac:dyDescent="0.35">
      <c r="M162" s="12">
        <v>161</v>
      </c>
      <c r="N162" s="12" t="str">
        <f t="shared" ref="N162:N193" si="36">IF(MOD(M162-1,$B$4+$B$7)&lt;$B$4,"A","B")</f>
        <v>A</v>
      </c>
      <c r="O162" s="14">
        <f t="shared" ref="O162:O193" si="37">IF(N162="A",$E$3,$E$4)</f>
        <v>10.16</v>
      </c>
      <c r="P162" s="15">
        <f t="shared" si="35"/>
        <v>1025.7599999999968</v>
      </c>
      <c r="Q162" s="15">
        <f t="shared" ref="Q162:Q193" si="38">P162+(M162-1)*$B$8</f>
        <v>1425.7599999999968</v>
      </c>
      <c r="R162" s="12">
        <f t="shared" ref="R162:R193" si="39">IF(AND(Q162&lt;=$B$9,N162="A"),1,0)</f>
        <v>0</v>
      </c>
      <c r="S162" s="12">
        <f t="shared" ref="S162:S193" si="40">IF(AND(Q162&lt;=$B$9,N162="B"),1,0)</f>
        <v>0</v>
      </c>
      <c r="T162" s="12">
        <f t="shared" ref="T162:T193" si="41">IF(Q162&lt;=$B$9,1,0)</f>
        <v>0</v>
      </c>
    </row>
    <row r="163" spans="13:20" ht="15" customHeight="1" x14ac:dyDescent="0.35">
      <c r="M163" s="12">
        <v>162</v>
      </c>
      <c r="N163" s="12" t="str">
        <f t="shared" si="36"/>
        <v>A</v>
      </c>
      <c r="O163" s="14">
        <f t="shared" si="37"/>
        <v>10.16</v>
      </c>
      <c r="P163" s="15">
        <f t="shared" ref="P163:P194" si="42">P162+O163</f>
        <v>1035.9199999999969</v>
      </c>
      <c r="Q163" s="15">
        <f t="shared" si="38"/>
        <v>1438.4199999999969</v>
      </c>
      <c r="R163" s="12">
        <f t="shared" si="39"/>
        <v>0</v>
      </c>
      <c r="S163" s="12">
        <f t="shared" si="40"/>
        <v>0</v>
      </c>
      <c r="T163" s="12">
        <f t="shared" si="41"/>
        <v>0</v>
      </c>
    </row>
    <row r="164" spans="13:20" ht="15" customHeight="1" x14ac:dyDescent="0.35">
      <c r="M164" s="12">
        <v>163</v>
      </c>
      <c r="N164" s="12" t="str">
        <f t="shared" si="36"/>
        <v>A</v>
      </c>
      <c r="O164" s="14">
        <f t="shared" si="37"/>
        <v>10.16</v>
      </c>
      <c r="P164" s="15">
        <f t="shared" si="42"/>
        <v>1046.079999999997</v>
      </c>
      <c r="Q164" s="15">
        <f t="shared" si="38"/>
        <v>1451.079999999997</v>
      </c>
      <c r="R164" s="12">
        <f t="shared" si="39"/>
        <v>0</v>
      </c>
      <c r="S164" s="12">
        <f t="shared" si="40"/>
        <v>0</v>
      </c>
      <c r="T164" s="12">
        <f t="shared" si="41"/>
        <v>0</v>
      </c>
    </row>
    <row r="165" spans="13:20" ht="15" customHeight="1" x14ac:dyDescent="0.35">
      <c r="M165" s="12">
        <v>164</v>
      </c>
      <c r="N165" s="12" t="str">
        <f t="shared" si="36"/>
        <v>B</v>
      </c>
      <c r="O165" s="14">
        <f t="shared" si="37"/>
        <v>4.0599999999999996</v>
      </c>
      <c r="P165" s="15">
        <f t="shared" si="42"/>
        <v>1050.1399999999969</v>
      </c>
      <c r="Q165" s="15">
        <f t="shared" si="38"/>
        <v>1457.6399999999969</v>
      </c>
      <c r="R165" s="12">
        <f t="shared" si="39"/>
        <v>0</v>
      </c>
      <c r="S165" s="12">
        <f t="shared" si="40"/>
        <v>0</v>
      </c>
      <c r="T165" s="12">
        <f t="shared" si="41"/>
        <v>0</v>
      </c>
    </row>
    <row r="166" spans="13:20" ht="15" customHeight="1" x14ac:dyDescent="0.35">
      <c r="M166" s="12">
        <v>165</v>
      </c>
      <c r="N166" s="12" t="str">
        <f t="shared" si="36"/>
        <v>B</v>
      </c>
      <c r="O166" s="14">
        <f t="shared" si="37"/>
        <v>4.0599999999999996</v>
      </c>
      <c r="P166" s="15">
        <f t="shared" si="42"/>
        <v>1054.1999999999969</v>
      </c>
      <c r="Q166" s="15">
        <f t="shared" si="38"/>
        <v>1464.1999999999969</v>
      </c>
      <c r="R166" s="12">
        <f t="shared" si="39"/>
        <v>0</v>
      </c>
      <c r="S166" s="12">
        <f t="shared" si="40"/>
        <v>0</v>
      </c>
      <c r="T166" s="12">
        <f t="shared" si="41"/>
        <v>0</v>
      </c>
    </row>
    <row r="167" spans="13:20" ht="15" customHeight="1" x14ac:dyDescent="0.35">
      <c r="M167" s="12">
        <v>166</v>
      </c>
      <c r="N167" s="12" t="str">
        <f t="shared" si="36"/>
        <v>B</v>
      </c>
      <c r="O167" s="14">
        <f t="shared" si="37"/>
        <v>4.0599999999999996</v>
      </c>
      <c r="P167" s="15">
        <f t="shared" si="42"/>
        <v>1058.2599999999968</v>
      </c>
      <c r="Q167" s="15">
        <f t="shared" si="38"/>
        <v>1470.7599999999968</v>
      </c>
      <c r="R167" s="12">
        <f t="shared" si="39"/>
        <v>0</v>
      </c>
      <c r="S167" s="12">
        <f t="shared" si="40"/>
        <v>0</v>
      </c>
      <c r="T167" s="12">
        <f t="shared" si="41"/>
        <v>0</v>
      </c>
    </row>
    <row r="168" spans="13:20" ht="15" customHeight="1" x14ac:dyDescent="0.35">
      <c r="M168" s="12">
        <v>167</v>
      </c>
      <c r="N168" s="12" t="str">
        <f t="shared" si="36"/>
        <v>B</v>
      </c>
      <c r="O168" s="14">
        <f t="shared" si="37"/>
        <v>4.0599999999999996</v>
      </c>
      <c r="P168" s="15">
        <f t="shared" si="42"/>
        <v>1062.3199999999968</v>
      </c>
      <c r="Q168" s="15">
        <f t="shared" si="38"/>
        <v>1477.3199999999968</v>
      </c>
      <c r="R168" s="12">
        <f t="shared" si="39"/>
        <v>0</v>
      </c>
      <c r="S168" s="12">
        <f t="shared" si="40"/>
        <v>0</v>
      </c>
      <c r="T168" s="12">
        <f t="shared" si="41"/>
        <v>0</v>
      </c>
    </row>
    <row r="169" spans="13:20" ht="15" customHeight="1" x14ac:dyDescent="0.35">
      <c r="M169" s="12">
        <v>168</v>
      </c>
      <c r="N169" s="12" t="str">
        <f t="shared" si="36"/>
        <v>B</v>
      </c>
      <c r="O169" s="14">
        <f t="shared" si="37"/>
        <v>4.0599999999999996</v>
      </c>
      <c r="P169" s="15">
        <f t="shared" si="42"/>
        <v>1066.3799999999967</v>
      </c>
      <c r="Q169" s="15">
        <f t="shared" si="38"/>
        <v>1483.8799999999967</v>
      </c>
      <c r="R169" s="12">
        <f t="shared" si="39"/>
        <v>0</v>
      </c>
      <c r="S169" s="12">
        <f t="shared" si="40"/>
        <v>0</v>
      </c>
      <c r="T169" s="12">
        <f t="shared" si="41"/>
        <v>0</v>
      </c>
    </row>
    <row r="170" spans="13:20" ht="15" customHeight="1" x14ac:dyDescent="0.35">
      <c r="M170" s="12">
        <v>169</v>
      </c>
      <c r="N170" s="12" t="str">
        <f t="shared" si="36"/>
        <v>A</v>
      </c>
      <c r="O170" s="14">
        <f t="shared" si="37"/>
        <v>10.16</v>
      </c>
      <c r="P170" s="15">
        <f t="shared" si="42"/>
        <v>1076.5399999999968</v>
      </c>
      <c r="Q170" s="15">
        <f t="shared" si="38"/>
        <v>1496.5399999999968</v>
      </c>
      <c r="R170" s="12">
        <f t="shared" si="39"/>
        <v>0</v>
      </c>
      <c r="S170" s="12">
        <f t="shared" si="40"/>
        <v>0</v>
      </c>
      <c r="T170" s="12">
        <f t="shared" si="41"/>
        <v>0</v>
      </c>
    </row>
    <row r="171" spans="13:20" ht="15" customHeight="1" x14ac:dyDescent="0.35">
      <c r="M171" s="12">
        <v>170</v>
      </c>
      <c r="N171" s="12" t="str">
        <f t="shared" si="36"/>
        <v>A</v>
      </c>
      <c r="O171" s="14">
        <f t="shared" si="37"/>
        <v>10.16</v>
      </c>
      <c r="P171" s="15">
        <f t="shared" si="42"/>
        <v>1086.6999999999969</v>
      </c>
      <c r="Q171" s="15">
        <f t="shared" si="38"/>
        <v>1509.1999999999969</v>
      </c>
      <c r="R171" s="12">
        <f t="shared" si="39"/>
        <v>0</v>
      </c>
      <c r="S171" s="12">
        <f t="shared" si="40"/>
        <v>0</v>
      </c>
      <c r="T171" s="12">
        <f t="shared" si="41"/>
        <v>0</v>
      </c>
    </row>
    <row r="172" spans="13:20" ht="15" customHeight="1" x14ac:dyDescent="0.35">
      <c r="M172" s="12">
        <v>171</v>
      </c>
      <c r="N172" s="12" t="str">
        <f t="shared" si="36"/>
        <v>A</v>
      </c>
      <c r="O172" s="14">
        <f t="shared" si="37"/>
        <v>10.16</v>
      </c>
      <c r="P172" s="15">
        <f t="shared" si="42"/>
        <v>1096.8599999999969</v>
      </c>
      <c r="Q172" s="15">
        <f t="shared" si="38"/>
        <v>1521.8599999999969</v>
      </c>
      <c r="R172" s="12">
        <f t="shared" si="39"/>
        <v>0</v>
      </c>
      <c r="S172" s="12">
        <f t="shared" si="40"/>
        <v>0</v>
      </c>
      <c r="T172" s="12">
        <f t="shared" si="41"/>
        <v>0</v>
      </c>
    </row>
    <row r="173" spans="13:20" ht="15" customHeight="1" x14ac:dyDescent="0.35">
      <c r="M173" s="12">
        <v>172</v>
      </c>
      <c r="N173" s="12" t="str">
        <f t="shared" si="36"/>
        <v>B</v>
      </c>
      <c r="O173" s="14">
        <f t="shared" si="37"/>
        <v>4.0599999999999996</v>
      </c>
      <c r="P173" s="15">
        <f t="shared" si="42"/>
        <v>1100.9199999999969</v>
      </c>
      <c r="Q173" s="15">
        <f t="shared" si="38"/>
        <v>1528.4199999999969</v>
      </c>
      <c r="R173" s="12">
        <f t="shared" si="39"/>
        <v>0</v>
      </c>
      <c r="S173" s="12">
        <f t="shared" si="40"/>
        <v>0</v>
      </c>
      <c r="T173" s="12">
        <f t="shared" si="41"/>
        <v>0</v>
      </c>
    </row>
    <row r="174" spans="13:20" ht="15" customHeight="1" x14ac:dyDescent="0.35">
      <c r="M174" s="12">
        <v>173</v>
      </c>
      <c r="N174" s="12" t="str">
        <f t="shared" si="36"/>
        <v>B</v>
      </c>
      <c r="O174" s="14">
        <f t="shared" si="37"/>
        <v>4.0599999999999996</v>
      </c>
      <c r="P174" s="15">
        <f t="shared" si="42"/>
        <v>1104.9799999999968</v>
      </c>
      <c r="Q174" s="15">
        <f t="shared" si="38"/>
        <v>1534.9799999999968</v>
      </c>
      <c r="R174" s="12">
        <f t="shared" si="39"/>
        <v>0</v>
      </c>
      <c r="S174" s="12">
        <f t="shared" si="40"/>
        <v>0</v>
      </c>
      <c r="T174" s="12">
        <f t="shared" si="41"/>
        <v>0</v>
      </c>
    </row>
    <row r="175" spans="13:20" ht="15" customHeight="1" x14ac:dyDescent="0.35">
      <c r="M175" s="12">
        <v>174</v>
      </c>
      <c r="N175" s="12" t="str">
        <f t="shared" si="36"/>
        <v>B</v>
      </c>
      <c r="O175" s="14">
        <f t="shared" si="37"/>
        <v>4.0599999999999996</v>
      </c>
      <c r="P175" s="15">
        <f t="shared" si="42"/>
        <v>1109.0399999999968</v>
      </c>
      <c r="Q175" s="15">
        <f t="shared" si="38"/>
        <v>1541.5399999999968</v>
      </c>
      <c r="R175" s="12">
        <f t="shared" si="39"/>
        <v>0</v>
      </c>
      <c r="S175" s="12">
        <f t="shared" si="40"/>
        <v>0</v>
      </c>
      <c r="T175" s="12">
        <f t="shared" si="41"/>
        <v>0</v>
      </c>
    </row>
    <row r="176" spans="13:20" ht="15" customHeight="1" x14ac:dyDescent="0.35">
      <c r="M176" s="12">
        <v>175</v>
      </c>
      <c r="N176" s="12" t="str">
        <f t="shared" si="36"/>
        <v>B</v>
      </c>
      <c r="O176" s="14">
        <f t="shared" si="37"/>
        <v>4.0599999999999996</v>
      </c>
      <c r="P176" s="15">
        <f t="shared" si="42"/>
        <v>1113.0999999999967</v>
      </c>
      <c r="Q176" s="15">
        <f t="shared" si="38"/>
        <v>1548.0999999999967</v>
      </c>
      <c r="R176" s="12">
        <f t="shared" si="39"/>
        <v>0</v>
      </c>
      <c r="S176" s="12">
        <f t="shared" si="40"/>
        <v>0</v>
      </c>
      <c r="T176" s="12">
        <f t="shared" si="41"/>
        <v>0</v>
      </c>
    </row>
    <row r="177" spans="13:20" ht="15" customHeight="1" x14ac:dyDescent="0.35">
      <c r="M177" s="12">
        <v>176</v>
      </c>
      <c r="N177" s="12" t="str">
        <f t="shared" si="36"/>
        <v>B</v>
      </c>
      <c r="O177" s="14">
        <f t="shared" si="37"/>
        <v>4.0599999999999996</v>
      </c>
      <c r="P177" s="15">
        <f t="shared" si="42"/>
        <v>1117.1599999999967</v>
      </c>
      <c r="Q177" s="15">
        <f t="shared" si="38"/>
        <v>1554.6599999999967</v>
      </c>
      <c r="R177" s="12">
        <f t="shared" si="39"/>
        <v>0</v>
      </c>
      <c r="S177" s="12">
        <f t="shared" si="40"/>
        <v>0</v>
      </c>
      <c r="T177" s="12">
        <f t="shared" si="41"/>
        <v>0</v>
      </c>
    </row>
    <row r="178" spans="13:20" ht="15" customHeight="1" x14ac:dyDescent="0.35">
      <c r="M178" s="12">
        <v>177</v>
      </c>
      <c r="N178" s="12" t="str">
        <f t="shared" si="36"/>
        <v>A</v>
      </c>
      <c r="O178" s="14">
        <f t="shared" si="37"/>
        <v>10.16</v>
      </c>
      <c r="P178" s="15">
        <f t="shared" si="42"/>
        <v>1127.3199999999968</v>
      </c>
      <c r="Q178" s="15">
        <f t="shared" si="38"/>
        <v>1567.3199999999968</v>
      </c>
      <c r="R178" s="12">
        <f t="shared" si="39"/>
        <v>0</v>
      </c>
      <c r="S178" s="12">
        <f t="shared" si="40"/>
        <v>0</v>
      </c>
      <c r="T178" s="12">
        <f t="shared" si="41"/>
        <v>0</v>
      </c>
    </row>
    <row r="179" spans="13:20" ht="15" customHeight="1" x14ac:dyDescent="0.35">
      <c r="M179" s="12">
        <v>178</v>
      </c>
      <c r="N179" s="12" t="str">
        <f t="shared" si="36"/>
        <v>A</v>
      </c>
      <c r="O179" s="14">
        <f t="shared" si="37"/>
        <v>10.16</v>
      </c>
      <c r="P179" s="15">
        <f t="shared" si="42"/>
        <v>1137.4799999999968</v>
      </c>
      <c r="Q179" s="15">
        <f t="shared" si="38"/>
        <v>1579.9799999999968</v>
      </c>
      <c r="R179" s="12">
        <f t="shared" si="39"/>
        <v>0</v>
      </c>
      <c r="S179" s="12">
        <f t="shared" si="40"/>
        <v>0</v>
      </c>
      <c r="T179" s="12">
        <f t="shared" si="41"/>
        <v>0</v>
      </c>
    </row>
    <row r="180" spans="13:20" ht="15" customHeight="1" x14ac:dyDescent="0.35">
      <c r="M180" s="12">
        <v>179</v>
      </c>
      <c r="N180" s="12" t="str">
        <f t="shared" si="36"/>
        <v>A</v>
      </c>
      <c r="O180" s="14">
        <f t="shared" si="37"/>
        <v>10.16</v>
      </c>
      <c r="P180" s="15">
        <f t="shared" si="42"/>
        <v>1147.6399999999969</v>
      </c>
      <c r="Q180" s="15">
        <f t="shared" si="38"/>
        <v>1592.6399999999969</v>
      </c>
      <c r="R180" s="12">
        <f t="shared" si="39"/>
        <v>0</v>
      </c>
      <c r="S180" s="12">
        <f t="shared" si="40"/>
        <v>0</v>
      </c>
      <c r="T180" s="12">
        <f t="shared" si="41"/>
        <v>0</v>
      </c>
    </row>
    <row r="181" spans="13:20" ht="15" customHeight="1" x14ac:dyDescent="0.35">
      <c r="M181" s="12">
        <v>180</v>
      </c>
      <c r="N181" s="12" t="str">
        <f t="shared" si="36"/>
        <v>B</v>
      </c>
      <c r="O181" s="14">
        <f t="shared" si="37"/>
        <v>4.0599999999999996</v>
      </c>
      <c r="P181" s="15">
        <f t="shared" si="42"/>
        <v>1151.6999999999969</v>
      </c>
      <c r="Q181" s="15">
        <f t="shared" si="38"/>
        <v>1599.1999999999969</v>
      </c>
      <c r="R181" s="12">
        <f t="shared" si="39"/>
        <v>0</v>
      </c>
      <c r="S181" s="12">
        <f t="shared" si="40"/>
        <v>0</v>
      </c>
      <c r="T181" s="12">
        <f t="shared" si="41"/>
        <v>0</v>
      </c>
    </row>
    <row r="182" spans="13:20" ht="15" customHeight="1" x14ac:dyDescent="0.35">
      <c r="M182" s="12">
        <v>181</v>
      </c>
      <c r="N182" s="12" t="str">
        <f t="shared" si="36"/>
        <v>B</v>
      </c>
      <c r="O182" s="14">
        <f t="shared" si="37"/>
        <v>4.0599999999999996</v>
      </c>
      <c r="P182" s="15">
        <f t="shared" si="42"/>
        <v>1155.7599999999968</v>
      </c>
      <c r="Q182" s="15">
        <f t="shared" si="38"/>
        <v>1605.7599999999968</v>
      </c>
      <c r="R182" s="12">
        <f t="shared" si="39"/>
        <v>0</v>
      </c>
      <c r="S182" s="12">
        <f t="shared" si="40"/>
        <v>0</v>
      </c>
      <c r="T182" s="12">
        <f t="shared" si="41"/>
        <v>0</v>
      </c>
    </row>
    <row r="183" spans="13:20" ht="15" customHeight="1" x14ac:dyDescent="0.35">
      <c r="M183" s="12">
        <v>182</v>
      </c>
      <c r="N183" s="12" t="str">
        <f t="shared" si="36"/>
        <v>B</v>
      </c>
      <c r="O183" s="14">
        <f t="shared" si="37"/>
        <v>4.0599999999999996</v>
      </c>
      <c r="P183" s="15">
        <f t="shared" si="42"/>
        <v>1159.8199999999968</v>
      </c>
      <c r="Q183" s="15">
        <f t="shared" si="38"/>
        <v>1612.3199999999968</v>
      </c>
      <c r="R183" s="12">
        <f t="shared" si="39"/>
        <v>0</v>
      </c>
      <c r="S183" s="12">
        <f t="shared" si="40"/>
        <v>0</v>
      </c>
      <c r="T183" s="12">
        <f t="shared" si="41"/>
        <v>0</v>
      </c>
    </row>
    <row r="184" spans="13:20" ht="15" customHeight="1" x14ac:dyDescent="0.35">
      <c r="M184" s="12">
        <v>183</v>
      </c>
      <c r="N184" s="12" t="str">
        <f t="shared" si="36"/>
        <v>B</v>
      </c>
      <c r="O184" s="14">
        <f t="shared" si="37"/>
        <v>4.0599999999999996</v>
      </c>
      <c r="P184" s="15">
        <f t="shared" si="42"/>
        <v>1163.8799999999967</v>
      </c>
      <c r="Q184" s="15">
        <f t="shared" si="38"/>
        <v>1618.8799999999967</v>
      </c>
      <c r="R184" s="12">
        <f t="shared" si="39"/>
        <v>0</v>
      </c>
      <c r="S184" s="12">
        <f t="shared" si="40"/>
        <v>0</v>
      </c>
      <c r="T184" s="12">
        <f t="shared" si="41"/>
        <v>0</v>
      </c>
    </row>
    <row r="185" spans="13:20" ht="15" customHeight="1" x14ac:dyDescent="0.35">
      <c r="M185" s="12">
        <v>184</v>
      </c>
      <c r="N185" s="12" t="str">
        <f t="shared" si="36"/>
        <v>B</v>
      </c>
      <c r="O185" s="14">
        <f t="shared" si="37"/>
        <v>4.0599999999999996</v>
      </c>
      <c r="P185" s="15">
        <f t="shared" si="42"/>
        <v>1167.9399999999966</v>
      </c>
      <c r="Q185" s="15">
        <f t="shared" si="38"/>
        <v>1625.4399999999966</v>
      </c>
      <c r="R185" s="12">
        <f t="shared" si="39"/>
        <v>0</v>
      </c>
      <c r="S185" s="12">
        <f t="shared" si="40"/>
        <v>0</v>
      </c>
      <c r="T185" s="12">
        <f t="shared" si="41"/>
        <v>0</v>
      </c>
    </row>
    <row r="186" spans="13:20" ht="15" customHeight="1" x14ac:dyDescent="0.35">
      <c r="M186" s="12">
        <v>185</v>
      </c>
      <c r="N186" s="12" t="str">
        <f t="shared" si="36"/>
        <v>A</v>
      </c>
      <c r="O186" s="14">
        <f t="shared" si="37"/>
        <v>10.16</v>
      </c>
      <c r="P186" s="15">
        <f t="shared" si="42"/>
        <v>1178.0999999999967</v>
      </c>
      <c r="Q186" s="15">
        <f t="shared" si="38"/>
        <v>1638.0999999999967</v>
      </c>
      <c r="R186" s="12">
        <f t="shared" si="39"/>
        <v>0</v>
      </c>
      <c r="S186" s="12">
        <f t="shared" si="40"/>
        <v>0</v>
      </c>
      <c r="T186" s="12">
        <f t="shared" si="41"/>
        <v>0</v>
      </c>
    </row>
    <row r="187" spans="13:20" ht="15" customHeight="1" x14ac:dyDescent="0.35">
      <c r="M187" s="12">
        <v>186</v>
      </c>
      <c r="N187" s="12" t="str">
        <f t="shared" si="36"/>
        <v>A</v>
      </c>
      <c r="O187" s="14">
        <f t="shared" si="37"/>
        <v>10.16</v>
      </c>
      <c r="P187" s="15">
        <f t="shared" si="42"/>
        <v>1188.2599999999968</v>
      </c>
      <c r="Q187" s="15">
        <f t="shared" si="38"/>
        <v>1650.7599999999968</v>
      </c>
      <c r="R187" s="12">
        <f t="shared" si="39"/>
        <v>0</v>
      </c>
      <c r="S187" s="12">
        <f t="shared" si="40"/>
        <v>0</v>
      </c>
      <c r="T187" s="12">
        <f t="shared" si="41"/>
        <v>0</v>
      </c>
    </row>
    <row r="188" spans="13:20" ht="15" customHeight="1" x14ac:dyDescent="0.35">
      <c r="M188" s="12">
        <v>187</v>
      </c>
      <c r="N188" s="12" t="str">
        <f t="shared" si="36"/>
        <v>A</v>
      </c>
      <c r="O188" s="14">
        <f t="shared" si="37"/>
        <v>10.16</v>
      </c>
      <c r="P188" s="15">
        <f t="shared" si="42"/>
        <v>1198.4199999999969</v>
      </c>
      <c r="Q188" s="15">
        <f t="shared" si="38"/>
        <v>1663.4199999999969</v>
      </c>
      <c r="R188" s="12">
        <f t="shared" si="39"/>
        <v>0</v>
      </c>
      <c r="S188" s="12">
        <f t="shared" si="40"/>
        <v>0</v>
      </c>
      <c r="T188" s="12">
        <f t="shared" si="41"/>
        <v>0</v>
      </c>
    </row>
    <row r="189" spans="13:20" ht="15" customHeight="1" x14ac:dyDescent="0.35">
      <c r="M189" s="12">
        <v>188</v>
      </c>
      <c r="N189" s="12" t="str">
        <f t="shared" si="36"/>
        <v>B</v>
      </c>
      <c r="O189" s="14">
        <f t="shared" si="37"/>
        <v>4.0599999999999996</v>
      </c>
      <c r="P189" s="15">
        <f t="shared" si="42"/>
        <v>1202.4799999999968</v>
      </c>
      <c r="Q189" s="15">
        <f t="shared" si="38"/>
        <v>1669.9799999999968</v>
      </c>
      <c r="R189" s="12">
        <f t="shared" si="39"/>
        <v>0</v>
      </c>
      <c r="S189" s="12">
        <f t="shared" si="40"/>
        <v>0</v>
      </c>
      <c r="T189" s="12">
        <f t="shared" si="41"/>
        <v>0</v>
      </c>
    </row>
    <row r="190" spans="13:20" ht="15" customHeight="1" x14ac:dyDescent="0.35">
      <c r="M190" s="12">
        <v>189</v>
      </c>
      <c r="N190" s="12" t="str">
        <f t="shared" si="36"/>
        <v>B</v>
      </c>
      <c r="O190" s="14">
        <f t="shared" si="37"/>
        <v>4.0599999999999996</v>
      </c>
      <c r="P190" s="15">
        <f t="shared" si="42"/>
        <v>1206.5399999999968</v>
      </c>
      <c r="Q190" s="15">
        <f t="shared" si="38"/>
        <v>1676.5399999999968</v>
      </c>
      <c r="R190" s="12">
        <f t="shared" si="39"/>
        <v>0</v>
      </c>
      <c r="S190" s="12">
        <f t="shared" si="40"/>
        <v>0</v>
      </c>
      <c r="T190" s="12">
        <f t="shared" si="41"/>
        <v>0</v>
      </c>
    </row>
    <row r="191" spans="13:20" ht="15" customHeight="1" x14ac:dyDescent="0.35">
      <c r="M191" s="12">
        <v>190</v>
      </c>
      <c r="N191" s="12" t="str">
        <f t="shared" si="36"/>
        <v>B</v>
      </c>
      <c r="O191" s="14">
        <f t="shared" si="37"/>
        <v>4.0599999999999996</v>
      </c>
      <c r="P191" s="15">
        <f t="shared" si="42"/>
        <v>1210.5999999999967</v>
      </c>
      <c r="Q191" s="15">
        <f t="shared" si="38"/>
        <v>1683.0999999999967</v>
      </c>
      <c r="R191" s="12">
        <f t="shared" si="39"/>
        <v>0</v>
      </c>
      <c r="S191" s="12">
        <f t="shared" si="40"/>
        <v>0</v>
      </c>
      <c r="T191" s="12">
        <f t="shared" si="41"/>
        <v>0</v>
      </c>
    </row>
    <row r="192" spans="13:20" ht="15" customHeight="1" x14ac:dyDescent="0.35">
      <c r="M192" s="12">
        <v>191</v>
      </c>
      <c r="N192" s="12" t="str">
        <f t="shared" si="36"/>
        <v>B</v>
      </c>
      <c r="O192" s="14">
        <f t="shared" si="37"/>
        <v>4.0599999999999996</v>
      </c>
      <c r="P192" s="15">
        <f t="shared" si="42"/>
        <v>1214.6599999999967</v>
      </c>
      <c r="Q192" s="15">
        <f t="shared" si="38"/>
        <v>1689.6599999999967</v>
      </c>
      <c r="R192" s="12">
        <f t="shared" si="39"/>
        <v>0</v>
      </c>
      <c r="S192" s="12">
        <f t="shared" si="40"/>
        <v>0</v>
      </c>
      <c r="T192" s="12">
        <f t="shared" si="41"/>
        <v>0</v>
      </c>
    </row>
    <row r="193" spans="13:20" ht="15" customHeight="1" x14ac:dyDescent="0.35">
      <c r="M193" s="12">
        <v>192</v>
      </c>
      <c r="N193" s="12" t="str">
        <f t="shared" si="36"/>
        <v>B</v>
      </c>
      <c r="O193" s="14">
        <f t="shared" si="37"/>
        <v>4.0599999999999996</v>
      </c>
      <c r="P193" s="15">
        <f t="shared" si="42"/>
        <v>1218.7199999999966</v>
      </c>
      <c r="Q193" s="15">
        <f t="shared" si="38"/>
        <v>1696.2199999999966</v>
      </c>
      <c r="R193" s="12">
        <f t="shared" si="39"/>
        <v>0</v>
      </c>
      <c r="S193" s="12">
        <f t="shared" si="40"/>
        <v>0</v>
      </c>
      <c r="T193" s="12">
        <f t="shared" si="41"/>
        <v>0</v>
      </c>
    </row>
    <row r="194" spans="13:20" ht="15" customHeight="1" x14ac:dyDescent="0.35">
      <c r="M194" s="12">
        <v>193</v>
      </c>
      <c r="N194" s="12" t="str">
        <f t="shared" ref="N194:N225" si="43">IF(MOD(M194-1,$B$4+$B$7)&lt;$B$4,"A","B")</f>
        <v>A</v>
      </c>
      <c r="O194" s="14">
        <f t="shared" ref="O194:O225" si="44">IF(N194="A",$E$3,$E$4)</f>
        <v>10.16</v>
      </c>
      <c r="P194" s="15">
        <f t="shared" si="42"/>
        <v>1228.8799999999967</v>
      </c>
      <c r="Q194" s="15">
        <f t="shared" ref="Q194:Q225" si="45">P194+(M194-1)*$B$8</f>
        <v>1708.8799999999967</v>
      </c>
      <c r="R194" s="12">
        <f t="shared" ref="R194:R225" si="46">IF(AND(Q194&lt;=$B$9,N194="A"),1,0)</f>
        <v>0</v>
      </c>
      <c r="S194" s="12">
        <f t="shared" ref="S194:S201" si="47">IF(AND(Q194&lt;=$B$9,N194="B"),1,0)</f>
        <v>0</v>
      </c>
      <c r="T194" s="12">
        <f t="shared" ref="T194:T201" si="48">IF(Q194&lt;=$B$9,1,0)</f>
        <v>0</v>
      </c>
    </row>
    <row r="195" spans="13:20" ht="15" customHeight="1" x14ac:dyDescent="0.35">
      <c r="M195" s="12">
        <v>194</v>
      </c>
      <c r="N195" s="12" t="str">
        <f t="shared" si="43"/>
        <v>A</v>
      </c>
      <c r="O195" s="14">
        <f t="shared" si="44"/>
        <v>10.16</v>
      </c>
      <c r="P195" s="15">
        <f t="shared" ref="P195:P226" si="49">P194+O195</f>
        <v>1239.0399999999968</v>
      </c>
      <c r="Q195" s="15">
        <f t="shared" si="45"/>
        <v>1721.5399999999968</v>
      </c>
      <c r="R195" s="12">
        <f t="shared" si="46"/>
        <v>0</v>
      </c>
      <c r="S195" s="12">
        <f t="shared" si="47"/>
        <v>0</v>
      </c>
      <c r="T195" s="12">
        <f t="shared" si="48"/>
        <v>0</v>
      </c>
    </row>
    <row r="196" spans="13:20" ht="15" customHeight="1" x14ac:dyDescent="0.35">
      <c r="M196" s="12">
        <v>195</v>
      </c>
      <c r="N196" s="12" t="str">
        <f t="shared" si="43"/>
        <v>A</v>
      </c>
      <c r="O196" s="14">
        <f t="shared" si="44"/>
        <v>10.16</v>
      </c>
      <c r="P196" s="15">
        <f t="shared" si="49"/>
        <v>1249.1999999999969</v>
      </c>
      <c r="Q196" s="15">
        <f t="shared" si="45"/>
        <v>1734.1999999999969</v>
      </c>
      <c r="R196" s="12">
        <f t="shared" si="46"/>
        <v>0</v>
      </c>
      <c r="S196" s="12">
        <f t="shared" si="47"/>
        <v>0</v>
      </c>
      <c r="T196" s="12">
        <f t="shared" si="48"/>
        <v>0</v>
      </c>
    </row>
    <row r="197" spans="13:20" ht="15" customHeight="1" x14ac:dyDescent="0.35">
      <c r="M197" s="12">
        <v>196</v>
      </c>
      <c r="N197" s="12" t="str">
        <f t="shared" si="43"/>
        <v>B</v>
      </c>
      <c r="O197" s="14">
        <f t="shared" si="44"/>
        <v>4.0599999999999996</v>
      </c>
      <c r="P197" s="15">
        <f t="shared" si="49"/>
        <v>1253.2599999999968</v>
      </c>
      <c r="Q197" s="15">
        <f t="shared" si="45"/>
        <v>1740.7599999999968</v>
      </c>
      <c r="R197" s="12">
        <f t="shared" si="46"/>
        <v>0</v>
      </c>
      <c r="S197" s="12">
        <f t="shared" si="47"/>
        <v>0</v>
      </c>
      <c r="T197" s="12">
        <f t="shared" si="48"/>
        <v>0</v>
      </c>
    </row>
    <row r="198" spans="13:20" ht="15" customHeight="1" x14ac:dyDescent="0.35">
      <c r="M198" s="12">
        <v>197</v>
      </c>
      <c r="N198" s="12" t="str">
        <f t="shared" si="43"/>
        <v>B</v>
      </c>
      <c r="O198" s="14">
        <f t="shared" si="44"/>
        <v>4.0599999999999996</v>
      </c>
      <c r="P198" s="15">
        <f t="shared" si="49"/>
        <v>1257.3199999999968</v>
      </c>
      <c r="Q198" s="15">
        <f t="shared" si="45"/>
        <v>1747.3199999999968</v>
      </c>
      <c r="R198" s="12">
        <f t="shared" si="46"/>
        <v>0</v>
      </c>
      <c r="S198" s="12">
        <f t="shared" si="47"/>
        <v>0</v>
      </c>
      <c r="T198" s="12">
        <f t="shared" si="48"/>
        <v>0</v>
      </c>
    </row>
    <row r="199" spans="13:20" ht="15" customHeight="1" x14ac:dyDescent="0.35">
      <c r="M199" s="12">
        <v>198</v>
      </c>
      <c r="N199" s="12" t="str">
        <f t="shared" si="43"/>
        <v>B</v>
      </c>
      <c r="O199" s="14">
        <f t="shared" si="44"/>
        <v>4.0599999999999996</v>
      </c>
      <c r="P199" s="15">
        <f t="shared" si="49"/>
        <v>1261.3799999999967</v>
      </c>
      <c r="Q199" s="15">
        <f t="shared" si="45"/>
        <v>1753.8799999999967</v>
      </c>
      <c r="R199" s="12">
        <f t="shared" si="46"/>
        <v>0</v>
      </c>
      <c r="S199" s="12">
        <f t="shared" si="47"/>
        <v>0</v>
      </c>
      <c r="T199" s="12">
        <f t="shared" si="48"/>
        <v>0</v>
      </c>
    </row>
    <row r="200" spans="13:20" ht="15" customHeight="1" x14ac:dyDescent="0.35">
      <c r="M200" s="12">
        <v>199</v>
      </c>
      <c r="N200" s="12" t="str">
        <f t="shared" si="43"/>
        <v>B</v>
      </c>
      <c r="O200" s="14">
        <f t="shared" si="44"/>
        <v>4.0599999999999996</v>
      </c>
      <c r="P200" s="15">
        <f t="shared" si="49"/>
        <v>1265.4399999999966</v>
      </c>
      <c r="Q200" s="15">
        <f t="shared" si="45"/>
        <v>1760.4399999999966</v>
      </c>
      <c r="R200" s="12">
        <f t="shared" si="46"/>
        <v>0</v>
      </c>
      <c r="S200" s="12">
        <f t="shared" si="47"/>
        <v>0</v>
      </c>
      <c r="T200" s="12">
        <f t="shared" si="48"/>
        <v>0</v>
      </c>
    </row>
    <row r="201" spans="13:20" ht="15" customHeight="1" x14ac:dyDescent="0.35">
      <c r="M201" s="12">
        <v>200</v>
      </c>
      <c r="N201" s="12" t="str">
        <f t="shared" si="43"/>
        <v>B</v>
      </c>
      <c r="O201" s="14">
        <f t="shared" si="44"/>
        <v>4.0599999999999996</v>
      </c>
      <c r="P201" s="15">
        <f t="shared" si="49"/>
        <v>1269.4999999999966</v>
      </c>
      <c r="Q201" s="15">
        <f t="shared" si="45"/>
        <v>1766.9999999999966</v>
      </c>
      <c r="R201" s="12">
        <f t="shared" si="46"/>
        <v>0</v>
      </c>
      <c r="S201" s="12">
        <f t="shared" si="47"/>
        <v>0</v>
      </c>
      <c r="T201" s="12">
        <f t="shared" si="48"/>
        <v>0</v>
      </c>
    </row>
  </sheetData>
  <mergeCells count="1">
    <mergeCell ref="A1:F1"/>
  </mergeCells>
  <dataValidations count="6">
    <dataValidation type="list" allowBlank="1" sqref="B2 B5" xr:uid="{00000000-0002-0000-1D00-000000000000}">
      <formula1>$J$2:$J$8</formula1>
      <formula2>0</formula2>
    </dataValidation>
    <dataValidation type="list" allowBlank="1" sqref="B11" xr:uid="{00000000-0002-0000-1D00-000002000000}">
      <formula1>$J$11:$J$15</formula1>
      <formula2>0</formula2>
    </dataValidation>
    <dataValidation type="list" sqref="B12" xr:uid="{00000000-0002-0000-1D00-000003000000}">
      <formula1>"รวม,ไม่รวม"</formula1>
    </dataValidation>
    <dataValidation type="list" sqref="B15" xr:uid="{00000000-0002-0000-1D00-000004000000}">
      <formula1>"ต่อ,ไม่ต่อ"</formula1>
    </dataValidation>
    <dataValidation type="list" allowBlank="1" sqref="B3" xr:uid="{00000000-0002-0000-1D00-000005000000}">
      <formula1>$AF$1:$AF$2</formula1>
    </dataValidation>
    <dataValidation type="list" allowBlank="1" sqref="B6" xr:uid="{00000000-0002-0000-1D00-000006000000}">
      <formula1>$AF$3:$AF$4</formula1>
    </dataValidation>
  </dataValidations>
  <hyperlinks>
    <hyperlink ref="G1" location="'สารบัญ'!A1" display="🏠 สารบัญ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5B9BD5"/>
  </sheetPr>
  <dimension ref="A1:AF52"/>
  <sheetViews>
    <sheetView zoomScaleNormal="100" workbookViewId="0"/>
  </sheetViews>
  <sheetFormatPr defaultColWidth="8.6328125" defaultRowHeight="14.5" x14ac:dyDescent="0.35"/>
  <cols>
    <col min="1" max="1" width="46" customWidth="1"/>
    <col min="2" max="2" width="17.453125" customWidth="1"/>
    <col min="3" max="3" width="46" customWidth="1"/>
    <col min="4" max="4" width="20.453125" customWidth="1"/>
    <col min="5" max="5" width="11" customWidth="1"/>
    <col min="6" max="6" width="17.453125" customWidth="1"/>
    <col min="7" max="7" width="37.26953125" customWidth="1"/>
    <col min="8" max="8" width="24.453125" customWidth="1"/>
    <col min="10" max="10" width="25.453125" customWidth="1"/>
    <col min="11" max="11" width="17.453125" customWidth="1"/>
    <col min="12" max="12" width="13" customWidth="1"/>
    <col min="14" max="14" width="26.453125" customWidth="1"/>
    <col min="15" max="19" width="13" customWidth="1"/>
    <col min="22" max="22" width="9" customWidth="1"/>
    <col min="28" max="28" width="19.453125" hidden="1" customWidth="1"/>
    <col min="29" max="30" width="13" hidden="1" customWidth="1"/>
    <col min="32" max="32" width="13" hidden="1" customWidth="1"/>
  </cols>
  <sheetData>
    <row r="1" spans="1:32" ht="24" customHeight="1" x14ac:dyDescent="0.35">
      <c r="A1" s="437" t="s">
        <v>1893</v>
      </c>
      <c r="B1" s="411"/>
      <c r="C1" s="411"/>
      <c r="D1" s="411"/>
      <c r="E1" s="411"/>
      <c r="F1" s="411"/>
      <c r="G1" s="388" t="s">
        <v>78</v>
      </c>
      <c r="H1" s="389"/>
      <c r="I1" s="319"/>
      <c r="J1" s="91" t="s">
        <v>1749</v>
      </c>
      <c r="AF1" t="str">
        <f>IFERROR(VLOOKUP(B2,$AB$2:$AD$8,2,0),"")</f>
        <v>1.6"</v>
      </c>
    </row>
    <row r="2" spans="1:32" ht="15" customHeight="1" x14ac:dyDescent="0.35">
      <c r="A2" s="91" t="s">
        <v>1894</v>
      </c>
      <c r="B2" s="92" t="s">
        <v>590</v>
      </c>
      <c r="C2" s="25" t="s">
        <v>1895</v>
      </c>
      <c r="D2" s="93" t="s">
        <v>1857</v>
      </c>
      <c r="E2" s="94">
        <f>(H8/100)*(H9/100)</f>
        <v>6.3</v>
      </c>
      <c r="G2" s="93" t="s">
        <v>1794</v>
      </c>
      <c r="H2" s="95">
        <f>LOOKUP(B7,$V$2:$V$10)</f>
        <v>300</v>
      </c>
      <c r="J2" s="93" t="s">
        <v>1754</v>
      </c>
      <c r="K2" s="95">
        <v>500</v>
      </c>
      <c r="N2" s="12" t="s">
        <v>1755</v>
      </c>
      <c r="O2" s="13">
        <v>3300</v>
      </c>
      <c r="P2" s="13">
        <v>300</v>
      </c>
      <c r="Q2" s="13">
        <v>1000</v>
      </c>
      <c r="R2" s="13">
        <v>1700</v>
      </c>
      <c r="S2" s="13">
        <v>2400</v>
      </c>
      <c r="V2" s="12">
        <v>50</v>
      </c>
      <c r="AB2" t="s">
        <v>1754</v>
      </c>
      <c r="AC2" t="s">
        <v>1756</v>
      </c>
      <c r="AD2" t="s">
        <v>1757</v>
      </c>
      <c r="AF2" t="str">
        <f>IFERROR(VLOOKUP(B2,$AB$2:$AD$8,3,0),"")</f>
        <v>4"</v>
      </c>
    </row>
    <row r="3" spans="1:32" ht="15" customHeight="1" x14ac:dyDescent="0.35">
      <c r="A3" s="91" t="s">
        <v>1758</v>
      </c>
      <c r="B3" s="92" t="s">
        <v>1759</v>
      </c>
      <c r="C3" s="193" t="s">
        <v>1896</v>
      </c>
      <c r="D3" s="93" t="s">
        <v>1897</v>
      </c>
      <c r="E3" s="94">
        <f>VLOOKUP(B3,$J$18:$K$26,2,0)</f>
        <v>4.0599999999999996</v>
      </c>
      <c r="G3" s="93" t="s">
        <v>1799</v>
      </c>
      <c r="H3" s="95">
        <f>IFERROR(INDEX($V$2:$V$10,MATCH(B7,$V$2:$V$10,1)+1),99999)</f>
        <v>600</v>
      </c>
      <c r="J3" s="93" t="s">
        <v>1762</v>
      </c>
      <c r="K3" s="95">
        <v>310</v>
      </c>
      <c r="N3" s="12" t="s">
        <v>1763</v>
      </c>
      <c r="O3" s="13">
        <v>4300</v>
      </c>
      <c r="P3" s="13">
        <v>400</v>
      </c>
      <c r="Q3" s="13">
        <v>1500</v>
      </c>
      <c r="R3" s="13">
        <v>2500</v>
      </c>
      <c r="S3" s="13">
        <v>3500</v>
      </c>
      <c r="V3" s="12">
        <v>60</v>
      </c>
      <c r="AB3" t="s">
        <v>1762</v>
      </c>
      <c r="AC3" t="s">
        <v>1764</v>
      </c>
      <c r="AD3" t="s">
        <v>1764</v>
      </c>
    </row>
    <row r="4" spans="1:32" ht="15" customHeight="1" x14ac:dyDescent="0.35">
      <c r="A4" s="91" t="s">
        <v>1765</v>
      </c>
      <c r="B4" s="96">
        <v>5</v>
      </c>
      <c r="C4" s="407" t="s">
        <v>1898</v>
      </c>
      <c r="D4" s="93" t="s">
        <v>1899</v>
      </c>
      <c r="E4" s="94">
        <f>E3+B4</f>
        <v>9.0599999999999987</v>
      </c>
      <c r="G4" s="93" t="s">
        <v>1802</v>
      </c>
      <c r="H4" s="95">
        <f>IF(B7-H2&lt;=20,H2,IF(H3-B7&lt;=20,H3,B7))</f>
        <v>350</v>
      </c>
      <c r="J4" s="93" t="s">
        <v>1768</v>
      </c>
      <c r="K4" s="95">
        <v>395</v>
      </c>
      <c r="N4" s="12" t="s">
        <v>1769</v>
      </c>
      <c r="O4" s="13">
        <v>5000</v>
      </c>
      <c r="P4" s="13">
        <v>500</v>
      </c>
      <c r="Q4" s="13">
        <v>1900</v>
      </c>
      <c r="R4" s="13">
        <v>3300</v>
      </c>
      <c r="S4" s="13">
        <v>4700</v>
      </c>
      <c r="V4" s="12">
        <v>75</v>
      </c>
      <c r="AB4" t="s">
        <v>1768</v>
      </c>
      <c r="AC4" t="s">
        <v>1764</v>
      </c>
      <c r="AD4" t="s">
        <v>1770</v>
      </c>
    </row>
    <row r="5" spans="1:32" ht="15" customHeight="1" x14ac:dyDescent="0.35">
      <c r="A5" s="91" t="s">
        <v>1253</v>
      </c>
      <c r="B5" s="92" t="s">
        <v>112</v>
      </c>
      <c r="C5" s="359" t="s">
        <v>1900</v>
      </c>
      <c r="D5" s="93" t="s">
        <v>1901</v>
      </c>
      <c r="E5" s="95">
        <f>IF(B6="นอน",H8,H9)</f>
        <v>350</v>
      </c>
      <c r="F5" s="241">
        <v>3</v>
      </c>
      <c r="G5" s="93" t="s">
        <v>1805</v>
      </c>
      <c r="H5" s="95">
        <f>LOOKUP(B8,$V$2:$V$10)</f>
        <v>150</v>
      </c>
      <c r="J5" s="93" t="s">
        <v>1775</v>
      </c>
      <c r="K5" s="95">
        <v>485</v>
      </c>
      <c r="N5" s="12" t="s">
        <v>1776</v>
      </c>
      <c r="O5" s="13">
        <v>2800</v>
      </c>
      <c r="P5" s="13">
        <v>200</v>
      </c>
      <c r="Q5" s="13">
        <v>800</v>
      </c>
      <c r="R5" s="13">
        <v>1100</v>
      </c>
      <c r="S5" s="13">
        <v>1600</v>
      </c>
      <c r="V5" s="12">
        <v>100</v>
      </c>
      <c r="AB5" t="s">
        <v>1775</v>
      </c>
      <c r="AC5" t="s">
        <v>1764</v>
      </c>
      <c r="AD5" t="s">
        <v>1759</v>
      </c>
    </row>
    <row r="6" spans="1:32" ht="15" customHeight="1" x14ac:dyDescent="0.35">
      <c r="A6" s="91" t="s">
        <v>1782</v>
      </c>
      <c r="B6" s="92" t="s">
        <v>1783</v>
      </c>
      <c r="C6" s="359" t="s">
        <v>1902</v>
      </c>
      <c r="D6" s="93" t="s">
        <v>1903</v>
      </c>
      <c r="E6" s="95">
        <f>IF(B6="นอน",H9,H8)</f>
        <v>180</v>
      </c>
      <c r="F6" s="241" t="s">
        <v>1775</v>
      </c>
      <c r="G6" s="93" t="s">
        <v>1809</v>
      </c>
      <c r="H6" s="95">
        <f>IFERROR(INDEX($V$2:$V$10,MATCH(B8,$V$2:$V$10,1)+1),99999)</f>
        <v>200</v>
      </c>
      <c r="J6" s="93" t="s">
        <v>1779</v>
      </c>
      <c r="K6" s="95">
        <v>905</v>
      </c>
      <c r="N6" s="12" t="s">
        <v>1780</v>
      </c>
      <c r="O6" s="13">
        <v>3200</v>
      </c>
      <c r="P6" s="13">
        <v>200</v>
      </c>
      <c r="Q6" s="13">
        <v>1000</v>
      </c>
      <c r="R6" s="13">
        <v>1400</v>
      </c>
      <c r="S6" s="13">
        <v>2000</v>
      </c>
      <c r="V6" s="12">
        <v>120</v>
      </c>
      <c r="AB6" t="s">
        <v>1779</v>
      </c>
      <c r="AC6" t="s">
        <v>1764</v>
      </c>
      <c r="AD6" t="s">
        <v>1781</v>
      </c>
    </row>
    <row r="7" spans="1:32" ht="15" customHeight="1" x14ac:dyDescent="0.35">
      <c r="A7" s="91" t="s">
        <v>1873</v>
      </c>
      <c r="B7" s="96">
        <v>350</v>
      </c>
      <c r="C7" s="359" t="s">
        <v>1904</v>
      </c>
      <c r="D7" s="93" t="s">
        <v>1784</v>
      </c>
      <c r="E7" s="95">
        <f>INT(E6/E4)+1</f>
        <v>20</v>
      </c>
      <c r="F7" s="241" t="s">
        <v>1759</v>
      </c>
      <c r="G7" s="93" t="s">
        <v>1811</v>
      </c>
      <c r="H7" s="95">
        <f>IF(B8-H5&lt;=20,H5,IF(H6-B8&lt;=20,H6,B8))</f>
        <v>200</v>
      </c>
      <c r="J7" s="93" t="s">
        <v>592</v>
      </c>
      <c r="K7" s="95">
        <v>770</v>
      </c>
      <c r="N7" s="12" t="s">
        <v>1786</v>
      </c>
      <c r="O7" s="13">
        <v>3300</v>
      </c>
      <c r="P7" s="13">
        <v>300</v>
      </c>
      <c r="Q7" s="13">
        <v>1000</v>
      </c>
      <c r="R7" s="13">
        <v>1700</v>
      </c>
      <c r="S7" s="13">
        <v>2400</v>
      </c>
      <c r="V7" s="12">
        <v>150</v>
      </c>
      <c r="AB7" t="s">
        <v>592</v>
      </c>
      <c r="AC7" t="s">
        <v>1759</v>
      </c>
      <c r="AD7" t="s">
        <v>1759</v>
      </c>
    </row>
    <row r="8" spans="1:32" ht="15" customHeight="1" x14ac:dyDescent="0.35">
      <c r="A8" s="91" t="s">
        <v>1876</v>
      </c>
      <c r="B8" s="96">
        <v>180</v>
      </c>
      <c r="C8" s="359" t="s">
        <v>1905</v>
      </c>
      <c r="D8" s="93" t="s">
        <v>1787</v>
      </c>
      <c r="E8" s="95">
        <f>IF(B17="ต่อ",H13,H12)</f>
        <v>20</v>
      </c>
      <c r="F8" s="241">
        <v>5</v>
      </c>
      <c r="G8" s="93" t="s">
        <v>1813</v>
      </c>
      <c r="H8" s="95">
        <f>IF(B6="นอน",H4,B7)</f>
        <v>350</v>
      </c>
      <c r="J8" s="93" t="s">
        <v>590</v>
      </c>
      <c r="K8" s="95">
        <v>1220</v>
      </c>
      <c r="N8" s="12" t="s">
        <v>1789</v>
      </c>
      <c r="O8" s="13">
        <v>3700</v>
      </c>
      <c r="P8" s="13">
        <v>300</v>
      </c>
      <c r="Q8" s="13">
        <v>1000</v>
      </c>
      <c r="R8" s="13">
        <v>1400</v>
      </c>
      <c r="S8" s="13">
        <v>2000</v>
      </c>
      <c r="V8" s="12">
        <v>200</v>
      </c>
      <c r="AB8" t="s">
        <v>590</v>
      </c>
      <c r="AC8" t="s">
        <v>1759</v>
      </c>
      <c r="AD8" t="s">
        <v>1781</v>
      </c>
    </row>
    <row r="9" spans="1:32" ht="15" customHeight="1" x14ac:dyDescent="0.35">
      <c r="A9" s="91" t="s">
        <v>1906</v>
      </c>
      <c r="B9" s="96">
        <v>7</v>
      </c>
      <c r="C9" s="359" t="s">
        <v>1907</v>
      </c>
      <c r="D9" s="93" t="s">
        <v>1790</v>
      </c>
      <c r="E9" s="97">
        <f>VLOOKUP(B5,$J$11:$L$15,2,0)</f>
        <v>1</v>
      </c>
      <c r="F9" s="241">
        <v>2.5</v>
      </c>
      <c r="G9" s="93" t="s">
        <v>1816</v>
      </c>
      <c r="H9" s="95">
        <f>IF(B6="ตั้ง",H7,B8)</f>
        <v>180</v>
      </c>
      <c r="N9" s="12" t="s">
        <v>1791</v>
      </c>
      <c r="O9" s="13">
        <v>4500</v>
      </c>
      <c r="P9" s="13">
        <v>400</v>
      </c>
      <c r="Q9" s="13">
        <v>1400</v>
      </c>
      <c r="R9" s="13">
        <v>1900</v>
      </c>
      <c r="S9" s="13">
        <v>2800</v>
      </c>
      <c r="V9" s="12">
        <v>300</v>
      </c>
    </row>
    <row r="10" spans="1:32" ht="15" customHeight="1" x14ac:dyDescent="0.35">
      <c r="A10" s="91" t="s">
        <v>1908</v>
      </c>
      <c r="B10" s="96">
        <v>2</v>
      </c>
      <c r="D10" s="93" t="s">
        <v>1909</v>
      </c>
      <c r="E10" s="95">
        <f>ROUND(VLOOKUP(B2,$J$2:$K$8,2,0)*E9/5,0)*5</f>
        <v>1220</v>
      </c>
      <c r="G10" s="93" t="s">
        <v>1863</v>
      </c>
      <c r="H10" s="95">
        <f>LOOKUP(E5,$V$2:$V$10)</f>
        <v>300</v>
      </c>
      <c r="N10" s="12" t="s">
        <v>1795</v>
      </c>
      <c r="O10" s="13">
        <v>4800</v>
      </c>
      <c r="P10" s="13">
        <v>500</v>
      </c>
      <c r="Q10" s="13">
        <v>1600</v>
      </c>
      <c r="R10" s="13">
        <v>2200</v>
      </c>
      <c r="S10" s="13">
        <v>3200</v>
      </c>
      <c r="V10" s="12">
        <v>600</v>
      </c>
    </row>
    <row r="11" spans="1:32" ht="15" customHeight="1" x14ac:dyDescent="0.35">
      <c r="A11" s="91" t="s">
        <v>1910</v>
      </c>
      <c r="B11" s="96">
        <v>0</v>
      </c>
      <c r="D11" s="93" t="s">
        <v>1884</v>
      </c>
      <c r="E11" s="95">
        <f>VLOOKUP(B5,$J$11:$L$15,3,0)</f>
        <v>0</v>
      </c>
      <c r="G11" s="93" t="s">
        <v>1866</v>
      </c>
      <c r="H11" s="95">
        <f>E5-H10</f>
        <v>50</v>
      </c>
      <c r="J11" s="93" t="s">
        <v>112</v>
      </c>
      <c r="K11" s="97">
        <f>mult_mtong</f>
        <v>1</v>
      </c>
      <c r="L11" s="95">
        <v>0</v>
      </c>
      <c r="N11" s="12" t="s">
        <v>1800</v>
      </c>
      <c r="O11" s="13">
        <v>3200</v>
      </c>
      <c r="P11" s="13">
        <v>300</v>
      </c>
      <c r="Q11" s="13">
        <v>800</v>
      </c>
      <c r="R11" s="13">
        <v>1100</v>
      </c>
      <c r="S11" s="13">
        <v>1600</v>
      </c>
    </row>
    <row r="12" spans="1:32" ht="15" customHeight="1" x14ac:dyDescent="0.35">
      <c r="A12" s="91" t="s">
        <v>1911</v>
      </c>
      <c r="B12" s="92" t="s">
        <v>1392</v>
      </c>
      <c r="D12" s="93" t="s">
        <v>1912</v>
      </c>
      <c r="E12" s="95">
        <f>ROUNDUP(2*(B7+B8)/600,0)</f>
        <v>2</v>
      </c>
      <c r="G12" s="93" t="s">
        <v>1824</v>
      </c>
      <c r="H12" s="95">
        <f>ROUNDUP(E7/MAX(INT(600/E5),1),0)</f>
        <v>20</v>
      </c>
      <c r="J12" s="93" t="s">
        <v>94</v>
      </c>
      <c r="K12" s="97">
        <f>mult_mtong+rate_grey/192</f>
        <v>1.5208333333333335</v>
      </c>
      <c r="L12" s="95">
        <v>0</v>
      </c>
      <c r="N12" s="12" t="s">
        <v>1803</v>
      </c>
      <c r="O12" s="13">
        <v>3700</v>
      </c>
      <c r="P12" s="13">
        <v>300</v>
      </c>
      <c r="Q12" s="13">
        <v>1000</v>
      </c>
      <c r="R12" s="13">
        <v>1400</v>
      </c>
      <c r="S12" s="13">
        <v>2000</v>
      </c>
    </row>
    <row r="13" spans="1:32" ht="15" customHeight="1" x14ac:dyDescent="0.35">
      <c r="A13" s="91" t="s">
        <v>1913</v>
      </c>
      <c r="B13" s="92" t="s">
        <v>1298</v>
      </c>
      <c r="C13" t="str">
        <f>IF(B13="มี","◀ แบ่ง "&amp;E17&amp;" บาน (~"&amp;ROUND(B7/E17,0)&amp;" ซม./บาน)","")</f>
        <v/>
      </c>
      <c r="D13" s="93" t="s">
        <v>1914</v>
      </c>
      <c r="E13" s="95">
        <f>ROUND(1540*E9/5,0)*5</f>
        <v>1540</v>
      </c>
      <c r="G13" s="93" t="s">
        <v>1826</v>
      </c>
      <c r="H13" s="95">
        <f>ROUNDUP(E7/(600/H10),0)+IF(H11&gt;0,ROUNDUP(E7/INT(600/H11),0),0)</f>
        <v>12</v>
      </c>
      <c r="J13" s="93" t="s">
        <v>1806</v>
      </c>
      <c r="K13" s="97">
        <f>mult_mtong+rate_woodstock/192</f>
        <v>1.5859375</v>
      </c>
      <c r="L13" s="95">
        <v>0</v>
      </c>
      <c r="N13" s="12" t="s">
        <v>1807</v>
      </c>
      <c r="O13" s="13">
        <v>4000</v>
      </c>
      <c r="P13" s="13">
        <v>400</v>
      </c>
      <c r="Q13" s="13">
        <v>1200</v>
      </c>
      <c r="R13" s="13">
        <v>1700</v>
      </c>
      <c r="S13" s="13">
        <v>2400</v>
      </c>
    </row>
    <row r="14" spans="1:32" ht="15" customHeight="1" x14ac:dyDescent="0.35">
      <c r="A14" s="91" t="s">
        <v>1915</v>
      </c>
      <c r="B14" s="92" t="s">
        <v>1298</v>
      </c>
      <c r="D14" s="93" t="s">
        <v>1916</v>
      </c>
      <c r="E14" s="95">
        <f>ROUND(2210*E9/5,0)*5</f>
        <v>2210</v>
      </c>
      <c r="J14" s="93" t="s">
        <v>96</v>
      </c>
      <c r="K14" s="97">
        <f>mult_mtong+rate_special/192</f>
        <v>1.9010416666666665</v>
      </c>
      <c r="L14" s="95">
        <v>2000</v>
      </c>
      <c r="N14" s="12" t="s">
        <v>1810</v>
      </c>
      <c r="O14" s="13">
        <v>3200</v>
      </c>
      <c r="P14" s="13">
        <v>200</v>
      </c>
      <c r="Q14" s="13">
        <v>700</v>
      </c>
      <c r="R14" s="13">
        <v>1000</v>
      </c>
      <c r="S14" s="13">
        <v>1400</v>
      </c>
    </row>
    <row r="15" spans="1:32" ht="15" customHeight="1" x14ac:dyDescent="0.35">
      <c r="A15" s="91" t="s">
        <v>1917</v>
      </c>
      <c r="B15" s="92" t="s">
        <v>1298</v>
      </c>
      <c r="D15" s="93" t="s">
        <v>1918</v>
      </c>
      <c r="E15" s="95">
        <f>ROUNDUP(B9/6,0)</f>
        <v>2</v>
      </c>
      <c r="J15" s="93" t="s">
        <v>98</v>
      </c>
      <c r="K15" s="97">
        <f>mult_mtong+rate_woodbake/192</f>
        <v>1.9895833333333335</v>
      </c>
      <c r="L15" s="95">
        <v>2000</v>
      </c>
      <c r="N15" s="12" t="s">
        <v>1812</v>
      </c>
      <c r="O15" s="13">
        <v>3700</v>
      </c>
      <c r="P15" s="13">
        <v>300</v>
      </c>
      <c r="Q15" s="13">
        <v>1000</v>
      </c>
      <c r="R15" s="13">
        <v>1300</v>
      </c>
      <c r="S15" s="13">
        <v>1900</v>
      </c>
    </row>
    <row r="16" spans="1:32" ht="15" customHeight="1" x14ac:dyDescent="0.35">
      <c r="A16" s="91" t="s">
        <v>1919</v>
      </c>
      <c r="B16" s="96">
        <v>0</v>
      </c>
      <c r="D16" s="93" t="s">
        <v>1920</v>
      </c>
      <c r="E16" s="95">
        <f>IF(B13="มี",2500,1500)</f>
        <v>1500</v>
      </c>
      <c r="N16" s="12" t="s">
        <v>1814</v>
      </c>
      <c r="O16" s="13">
        <v>3900</v>
      </c>
      <c r="P16" s="13">
        <v>300</v>
      </c>
      <c r="Q16" s="13">
        <v>1100</v>
      </c>
      <c r="R16" s="13">
        <v>1500</v>
      </c>
      <c r="S16" s="13">
        <v>2200</v>
      </c>
    </row>
    <row r="17" spans="1:19" ht="15" customHeight="1" x14ac:dyDescent="0.35">
      <c r="A17" s="91" t="s">
        <v>1796</v>
      </c>
      <c r="B17" s="92" t="s">
        <v>1797</v>
      </c>
      <c r="D17" t="s">
        <v>1921</v>
      </c>
      <c r="E17">
        <f>IF(B13="มี",ROUNDUP(B7/75,0),1)</f>
        <v>1</v>
      </c>
      <c r="N17" s="12" t="s">
        <v>1817</v>
      </c>
      <c r="O17" s="13">
        <v>3300</v>
      </c>
      <c r="P17" s="13">
        <v>300</v>
      </c>
      <c r="Q17" s="13">
        <v>900</v>
      </c>
      <c r="R17" s="13">
        <v>1400</v>
      </c>
      <c r="S17" s="13">
        <v>2000</v>
      </c>
    </row>
    <row r="18" spans="1:19" ht="15" customHeight="1" x14ac:dyDescent="0.35">
      <c r="A18" s="111" t="s">
        <v>1633</v>
      </c>
      <c r="B18" s="111" t="s">
        <v>1255</v>
      </c>
      <c r="C18" s="111" t="s">
        <v>1256</v>
      </c>
      <c r="D18" s="111" t="s">
        <v>1377</v>
      </c>
      <c r="G18" s="112" t="s">
        <v>1922</v>
      </c>
      <c r="H18" s="113">
        <f>IF(B4&gt;=4,5,IF(B4&gt;=2.5,3,IF(B4&gt;=1,2,0)))</f>
        <v>5</v>
      </c>
      <c r="J18" s="112" t="s">
        <v>1756</v>
      </c>
      <c r="K18" s="114">
        <v>1</v>
      </c>
      <c r="N18" s="12" t="s">
        <v>1820</v>
      </c>
      <c r="O18" s="13">
        <v>4000</v>
      </c>
      <c r="P18" s="13">
        <v>400</v>
      </c>
      <c r="Q18" s="13">
        <v>1200</v>
      </c>
      <c r="R18" s="13">
        <v>1900</v>
      </c>
      <c r="S18" s="13">
        <v>2800</v>
      </c>
    </row>
    <row r="19" spans="1:19" ht="15" customHeight="1" x14ac:dyDescent="0.35">
      <c r="A19" s="99" t="str">
        <f>IF($C$3="ระแนงสลับ",ระแนงสลับ_ประตู!A21,B2&amp;" (ใบระแนง+ต่อ)")</f>
        <v>กล่อง 1.6"×4" (ใบระแนง+ต่อ)</v>
      </c>
      <c r="B19" s="82">
        <f>IF($C$3="ระแนงสลับ",ระแนงสลับ_ประตู!B21,E8)</f>
        <v>20</v>
      </c>
      <c r="C19" s="82">
        <f>IF($C$3="ระแนงสลับ",ระแนงสลับ_ประตู!C21,E10)</f>
        <v>1220</v>
      </c>
      <c r="D19" s="82">
        <f>IF($C$3="ระแนงสลับ",ระแนงสลับ_ประตู!D21,E8*E10+IF(AND(B17="ต่อ",H11&gt;0),E7*80,0))</f>
        <v>24400</v>
      </c>
      <c r="G19" s="93" t="s">
        <v>1923</v>
      </c>
      <c r="H19" s="93" t="str">
        <f>B2&amp;"|"&amp;B3&amp;"|"&amp;H18</f>
        <v>กล่อง 1.6"×4"|1.6"|5</v>
      </c>
      <c r="J19" s="93" t="s">
        <v>1757</v>
      </c>
      <c r="K19" s="94">
        <v>5</v>
      </c>
      <c r="N19" s="12" t="s">
        <v>1823</v>
      </c>
      <c r="O19" s="13">
        <v>4300</v>
      </c>
      <c r="P19" s="13">
        <v>400</v>
      </c>
      <c r="Q19" s="13">
        <v>1400</v>
      </c>
      <c r="R19" s="13">
        <v>2200</v>
      </c>
      <c r="S19" s="13">
        <v>3200</v>
      </c>
    </row>
    <row r="20" spans="1:19" ht="15" customHeight="1" x14ac:dyDescent="0.35">
      <c r="A20" s="251" t="str">
        <f>IF($C$3="ระแนงสลับ",ระแนงสลับ_ประตู!A22,"")</f>
        <v/>
      </c>
      <c r="B20" s="252" t="str">
        <f>IF($C$3="ระแนงสลับ",ระแนงสลับ_ประตู!B22,"")</f>
        <v/>
      </c>
      <c r="C20" s="252" t="str">
        <f>IF($C$3="ระแนงสลับ",ระแนงสลับ_ประตู!C22,"")</f>
        <v/>
      </c>
      <c r="D20" s="253">
        <f>IF($C$3="ระแนงสลับ",ระแนงสลับ_ประตู!D22,0)</f>
        <v>0</v>
      </c>
      <c r="G20" s="346" t="s">
        <v>1924</v>
      </c>
      <c r="H20" s="398">
        <f>ROUND((E6-E7*E3)/(E7-1),2)</f>
        <v>5.2</v>
      </c>
    </row>
    <row r="21" spans="1:19" ht="15" customHeight="1" x14ac:dyDescent="0.35">
      <c r="A21" s="251" t="str">
        <f>IF($C$3="ระแนงสลับ",ระแนงสลับ_ประตู!A23,"")</f>
        <v/>
      </c>
      <c r="B21" s="252" t="str">
        <f>IF($C$3="ระแนงสลับ",ระแนงสลับ_ประตู!B23,"")</f>
        <v/>
      </c>
      <c r="C21" s="252" t="str">
        <f>IF($C$3="ระแนงสลับ",ระแนงสลับ_ประตู!C23,"")</f>
        <v/>
      </c>
      <c r="D21" s="253">
        <f>IF($C$3="ระแนงสลับ",ระแนงสลับ_ประตู!D23,0)</f>
        <v>0</v>
      </c>
      <c r="G21" s="346" t="s">
        <v>1925</v>
      </c>
      <c r="H21" s="398">
        <f>ระแนงสลับ_ประตู!E12</f>
        <v>2.5926923076923059</v>
      </c>
    </row>
    <row r="22" spans="1:19" ht="15" customHeight="1" x14ac:dyDescent="0.35">
      <c r="A22" s="251" t="str">
        <f>IF($C$3="ระแนงสลับ",ระแนงสลับ_ประตู!A24,"")</f>
        <v/>
      </c>
      <c r="B22" s="252" t="str">
        <f>IF($C$3="ระแนงสลับ",ระแนงสลับ_ประตู!B24,"")</f>
        <v/>
      </c>
      <c r="C22" s="252" t="str">
        <f>IF($C$3="ระแนงสลับ",ระแนงสลับ_ประตู!C24,"")</f>
        <v/>
      </c>
      <c r="D22" s="253">
        <f>IF($C$3="ระแนงสลับ",ระแนงสลับ_ประตู!D24,0)</f>
        <v>0</v>
      </c>
    </row>
    <row r="23" spans="1:19" ht="15" customHeight="1" x14ac:dyDescent="0.35">
      <c r="A23" s="99" t="s">
        <v>1926</v>
      </c>
      <c r="B23" s="82">
        <f>IF(B13="มี",E17*ROUNDUP(2*(B7/E17+B8)/600,0),E12)</f>
        <v>2</v>
      </c>
      <c r="C23" s="82">
        <f>E13</f>
        <v>1540</v>
      </c>
      <c r="D23" s="82">
        <f t="shared" ref="D23:D28" si="0">B23*C23</f>
        <v>3080</v>
      </c>
      <c r="G23" s="93" t="s">
        <v>1804</v>
      </c>
      <c r="H23" s="95">
        <f>IFERROR(MATCH(H19,$N$2:$N$38,0),0)</f>
        <v>35</v>
      </c>
      <c r="J23" s="93" t="s">
        <v>1764</v>
      </c>
      <c r="K23" s="94">
        <v>2.54</v>
      </c>
      <c r="N23" s="12" t="s">
        <v>1825</v>
      </c>
      <c r="O23" s="13">
        <v>3300</v>
      </c>
      <c r="P23" s="13">
        <v>300</v>
      </c>
      <c r="Q23" s="13">
        <v>900</v>
      </c>
      <c r="R23" s="13">
        <v>1400</v>
      </c>
      <c r="S23" s="13">
        <v>2000</v>
      </c>
    </row>
    <row r="24" spans="1:19" ht="15" customHeight="1" x14ac:dyDescent="0.35">
      <c r="A24" s="99" t="s">
        <v>1927</v>
      </c>
      <c r="B24" s="82">
        <v>1</v>
      </c>
      <c r="C24" s="82">
        <f>E14</f>
        <v>2210</v>
      </c>
      <c r="D24" s="82">
        <f t="shared" si="0"/>
        <v>2210</v>
      </c>
      <c r="G24" s="93" t="s">
        <v>1928</v>
      </c>
      <c r="H24" s="95">
        <f>IF(H23=0,0,INDEX($O$2:$O$38,H23)+IF(B5="เทาซาฮาร่า",INDEX($P$2:$P$38,H23),IF(B5="ลายไม้สต๊อก",INDEX($Q$2:$Q$38,H23),IF(B5="สีอบพิเศษ",INDEX($R$2:$R$38,H23),IF(B5="สีลายไม้อบพิเศษ",INDEX($S$2:$S$38,H23),0)))))</f>
        <v>5400</v>
      </c>
      <c r="J24" s="93" t="s">
        <v>1770</v>
      </c>
      <c r="K24" s="94">
        <v>3.81</v>
      </c>
      <c r="N24" s="12" t="s">
        <v>1827</v>
      </c>
      <c r="O24" s="13">
        <v>3700</v>
      </c>
      <c r="P24" s="13">
        <v>300</v>
      </c>
      <c r="Q24" s="13">
        <v>1000</v>
      </c>
      <c r="R24" s="13">
        <v>1700</v>
      </c>
      <c r="S24" s="13">
        <v>2400</v>
      </c>
    </row>
    <row r="25" spans="1:19" ht="15" customHeight="1" x14ac:dyDescent="0.35">
      <c r="A25" s="99" t="s">
        <v>1929</v>
      </c>
      <c r="B25" s="82">
        <v>1</v>
      </c>
      <c r="C25" s="82">
        <v>860</v>
      </c>
      <c r="D25" s="82">
        <f t="shared" si="0"/>
        <v>860</v>
      </c>
      <c r="J25" s="93" t="s">
        <v>1759</v>
      </c>
      <c r="K25" s="94">
        <v>4.0599999999999996</v>
      </c>
      <c r="N25" s="12" t="s">
        <v>1830</v>
      </c>
      <c r="O25" s="13">
        <v>3700</v>
      </c>
      <c r="P25" s="13">
        <v>300</v>
      </c>
      <c r="Q25" s="13">
        <v>1000</v>
      </c>
      <c r="R25" s="13">
        <v>1700</v>
      </c>
      <c r="S25" s="13">
        <v>2400</v>
      </c>
    </row>
    <row r="26" spans="1:19" ht="15" customHeight="1" x14ac:dyDescent="0.35">
      <c r="A26" s="99" t="s">
        <v>1930</v>
      </c>
      <c r="B26" s="82">
        <f>IF(B13="มี",E17+1,B10)</f>
        <v>2</v>
      </c>
      <c r="C26" s="82">
        <f>IF(B13="มี",290,299)</f>
        <v>299</v>
      </c>
      <c r="D26" s="82">
        <f t="shared" si="0"/>
        <v>598</v>
      </c>
      <c r="J26" s="93" t="s">
        <v>1781</v>
      </c>
      <c r="K26" s="94">
        <v>10.16</v>
      </c>
      <c r="N26" s="12" t="s">
        <v>1832</v>
      </c>
      <c r="O26" s="13">
        <v>5500</v>
      </c>
      <c r="P26" s="13">
        <v>600</v>
      </c>
      <c r="Q26" s="13">
        <v>2000</v>
      </c>
      <c r="R26" s="13">
        <v>3700</v>
      </c>
      <c r="S26" s="13">
        <v>5300</v>
      </c>
    </row>
    <row r="27" spans="1:19" ht="15" customHeight="1" x14ac:dyDescent="0.35">
      <c r="A27" s="99" t="s">
        <v>1931</v>
      </c>
      <c r="B27" s="82">
        <v>4</v>
      </c>
      <c r="C27" s="82">
        <v>30</v>
      </c>
      <c r="D27" s="82">
        <f t="shared" si="0"/>
        <v>120</v>
      </c>
      <c r="N27" s="12" t="s">
        <v>1834</v>
      </c>
      <c r="O27" s="13">
        <v>7100</v>
      </c>
      <c r="P27" s="13">
        <v>800</v>
      </c>
      <c r="Q27" s="13">
        <v>2700</v>
      </c>
      <c r="R27" s="13">
        <v>5200</v>
      </c>
      <c r="S27" s="13">
        <v>7500</v>
      </c>
    </row>
    <row r="28" spans="1:19" ht="15" customHeight="1" x14ac:dyDescent="0.35">
      <c r="A28" s="99" t="s">
        <v>1932</v>
      </c>
      <c r="B28" s="82">
        <f>E15</f>
        <v>2</v>
      </c>
      <c r="C28" s="82">
        <v>1090</v>
      </c>
      <c r="D28" s="82">
        <f t="shared" si="0"/>
        <v>2180</v>
      </c>
      <c r="N28" s="12" t="s">
        <v>1835</v>
      </c>
      <c r="O28" s="13">
        <v>7900</v>
      </c>
      <c r="P28" s="13">
        <v>900</v>
      </c>
      <c r="Q28" s="13">
        <v>3100</v>
      </c>
      <c r="R28" s="13">
        <v>5900</v>
      </c>
      <c r="S28" s="13">
        <v>8500</v>
      </c>
    </row>
    <row r="29" spans="1:19" ht="15" customHeight="1" x14ac:dyDescent="0.35">
      <c r="A29" s="99" t="s">
        <v>1933</v>
      </c>
      <c r="B29" s="82">
        <f>IF(B12="มี",1,0)</f>
        <v>1</v>
      </c>
      <c r="C29" s="82">
        <v>16000</v>
      </c>
      <c r="D29" s="82">
        <f>IF(B12="มี",1,0)*C29</f>
        <v>16000</v>
      </c>
      <c r="N29" s="12" t="s">
        <v>1837</v>
      </c>
      <c r="O29" s="13">
        <v>4000</v>
      </c>
      <c r="P29" s="13">
        <v>400</v>
      </c>
      <c r="Q29" s="13">
        <v>1200</v>
      </c>
      <c r="R29" s="13">
        <v>2300</v>
      </c>
      <c r="S29" s="13">
        <v>3200</v>
      </c>
    </row>
    <row r="30" spans="1:19" ht="15" customHeight="1" x14ac:dyDescent="0.35">
      <c r="A30" s="99" t="s">
        <v>1934</v>
      </c>
      <c r="B30" s="82">
        <f>B11</f>
        <v>0</v>
      </c>
      <c r="C30" s="82">
        <v>500</v>
      </c>
      <c r="D30" s="82">
        <f>B30*C30</f>
        <v>0</v>
      </c>
      <c r="N30" s="12" t="s">
        <v>1839</v>
      </c>
      <c r="O30" s="13">
        <v>4000</v>
      </c>
      <c r="P30" s="13">
        <v>400</v>
      </c>
      <c r="Q30" s="13">
        <v>1200</v>
      </c>
      <c r="R30" s="13">
        <v>2300</v>
      </c>
      <c r="S30" s="13">
        <v>3200</v>
      </c>
    </row>
    <row r="31" spans="1:19" ht="15" customHeight="1" x14ac:dyDescent="0.35">
      <c r="A31" s="99" t="s">
        <v>1935</v>
      </c>
      <c r="B31" s="82">
        <f>IF(B14="มี",B9,0)</f>
        <v>0</v>
      </c>
      <c r="C31" s="82">
        <f>E16</f>
        <v>1500</v>
      </c>
      <c r="D31" s="82">
        <f>B31*C31</f>
        <v>0</v>
      </c>
      <c r="N31" s="12" t="s">
        <v>1841</v>
      </c>
      <c r="O31" s="13">
        <v>4800</v>
      </c>
      <c r="P31" s="13">
        <v>500</v>
      </c>
      <c r="Q31" s="13">
        <v>1600</v>
      </c>
      <c r="R31" s="13">
        <v>3000</v>
      </c>
      <c r="S31" s="13">
        <v>4300</v>
      </c>
    </row>
    <row r="32" spans="1:19" ht="15" customHeight="1" x14ac:dyDescent="0.35">
      <c r="A32" s="99" t="s">
        <v>1936</v>
      </c>
      <c r="B32" s="82">
        <f>IF(B15="มี",1,0)</f>
        <v>0</v>
      </c>
      <c r="C32" s="82">
        <v>2000</v>
      </c>
      <c r="D32" s="82">
        <f>B32*C32</f>
        <v>0</v>
      </c>
      <c r="N32" s="12" t="s">
        <v>1843</v>
      </c>
      <c r="O32" s="13">
        <v>5100</v>
      </c>
      <c r="P32" s="13">
        <v>500</v>
      </c>
      <c r="Q32" s="13">
        <v>1600</v>
      </c>
      <c r="R32" s="13">
        <v>3000</v>
      </c>
      <c r="S32" s="13">
        <v>4300</v>
      </c>
    </row>
    <row r="33" spans="1:19" ht="15" customHeight="1" x14ac:dyDescent="0.35">
      <c r="A33" s="99" t="s">
        <v>1818</v>
      </c>
      <c r="B33" s="82">
        <f>IF(E11&gt;0,1,0)</f>
        <v>0</v>
      </c>
      <c r="C33" s="82">
        <f>E11</f>
        <v>0</v>
      </c>
      <c r="D33" s="82">
        <f>B33*C33</f>
        <v>0</v>
      </c>
      <c r="N33" s="12" t="s">
        <v>1844</v>
      </c>
      <c r="O33" s="13">
        <v>3900</v>
      </c>
      <c r="P33" s="13">
        <v>300</v>
      </c>
      <c r="Q33" s="13">
        <v>1100</v>
      </c>
      <c r="R33" s="13">
        <v>2000</v>
      </c>
      <c r="S33" s="13">
        <v>2800</v>
      </c>
    </row>
    <row r="34" spans="1:19" ht="15" customHeight="1" x14ac:dyDescent="0.35">
      <c r="A34" s="99" t="s">
        <v>1937</v>
      </c>
      <c r="B34" s="82">
        <v>1</v>
      </c>
      <c r="C34" s="82"/>
      <c r="D34" s="82">
        <f>D51</f>
        <v>3528</v>
      </c>
      <c r="N34" s="12" t="s">
        <v>1845</v>
      </c>
      <c r="O34" s="13">
        <v>4400</v>
      </c>
      <c r="P34" s="13">
        <v>400</v>
      </c>
      <c r="Q34" s="13">
        <v>1400</v>
      </c>
      <c r="R34" s="13">
        <v>2400</v>
      </c>
      <c r="S34" s="13">
        <v>3500</v>
      </c>
    </row>
    <row r="35" spans="1:19" ht="15" customHeight="1" x14ac:dyDescent="0.35">
      <c r="A35" s="119" t="s">
        <v>1938</v>
      </c>
      <c r="B35" s="153"/>
      <c r="C35" s="153"/>
      <c r="D35" s="159">
        <f>D52</f>
        <v>7056</v>
      </c>
      <c r="N35" s="12" t="s">
        <v>1846</v>
      </c>
      <c r="O35" s="13">
        <v>5000</v>
      </c>
      <c r="P35" s="13">
        <v>500</v>
      </c>
      <c r="Q35" s="13">
        <v>1700</v>
      </c>
      <c r="R35" s="13">
        <v>2900</v>
      </c>
      <c r="S35" s="13">
        <v>4200</v>
      </c>
    </row>
    <row r="36" spans="1:19" ht="15" customHeight="1" x14ac:dyDescent="0.35">
      <c r="A36" s="101" t="s">
        <v>1939</v>
      </c>
      <c r="B36" s="153"/>
      <c r="C36" s="153"/>
      <c r="D36" s="160">
        <f>SUM(D19:D35)</f>
        <v>60032</v>
      </c>
      <c r="N36" s="12" t="s">
        <v>1847</v>
      </c>
      <c r="O36" s="13">
        <v>5400</v>
      </c>
      <c r="P36" s="13">
        <v>600</v>
      </c>
      <c r="Q36" s="13">
        <v>1900</v>
      </c>
      <c r="R36" s="13">
        <v>3300</v>
      </c>
      <c r="S36" s="13">
        <v>4700</v>
      </c>
    </row>
    <row r="37" spans="1:19" ht="15" customHeight="1" x14ac:dyDescent="0.35">
      <c r="A37" s="30" t="s">
        <v>1125</v>
      </c>
      <c r="B37" s="147" t="s">
        <v>1896</v>
      </c>
      <c r="D37" s="66">
        <f>D36/E2</f>
        <v>9528.8888888888887</v>
      </c>
      <c r="N37" s="12" t="s">
        <v>1848</v>
      </c>
      <c r="O37" s="13">
        <v>6500</v>
      </c>
      <c r="P37" s="13">
        <v>700</v>
      </c>
      <c r="Q37" s="13">
        <v>2400</v>
      </c>
      <c r="R37" s="13">
        <v>4100</v>
      </c>
      <c r="S37" s="13">
        <v>5900</v>
      </c>
    </row>
    <row r="38" spans="1:19" ht="15" customHeight="1" x14ac:dyDescent="0.35">
      <c r="A38" s="108" t="s">
        <v>1940</v>
      </c>
      <c r="B38" s="147" t="s">
        <v>1896</v>
      </c>
      <c r="N38" s="12" t="s">
        <v>1849</v>
      </c>
      <c r="O38" s="13">
        <v>7300</v>
      </c>
      <c r="P38" s="13">
        <v>800</v>
      </c>
      <c r="Q38" s="13">
        <v>2900</v>
      </c>
      <c r="R38" s="13">
        <v>4900</v>
      </c>
      <c r="S38" s="13">
        <v>7000</v>
      </c>
    </row>
    <row r="39" spans="1:19" ht="15" customHeight="1" x14ac:dyDescent="0.35">
      <c r="A39" s="161" t="s">
        <v>1941</v>
      </c>
      <c r="N39" s="12" t="s">
        <v>1850</v>
      </c>
      <c r="O39" s="13">
        <v>4600</v>
      </c>
      <c r="P39" s="13">
        <v>400</v>
      </c>
      <c r="Q39" s="13">
        <v>1500</v>
      </c>
      <c r="R39" s="13">
        <v>2500</v>
      </c>
      <c r="S39" s="13">
        <v>3500</v>
      </c>
    </row>
    <row r="40" spans="1:19" ht="15" customHeight="1" x14ac:dyDescent="0.35">
      <c r="A40" s="91" t="s">
        <v>1942</v>
      </c>
      <c r="N40" s="12" t="s">
        <v>1851</v>
      </c>
      <c r="O40" s="13">
        <v>4600</v>
      </c>
      <c r="P40" s="13">
        <v>400</v>
      </c>
      <c r="Q40" s="13">
        <v>1500</v>
      </c>
      <c r="R40" s="13">
        <v>2500</v>
      </c>
      <c r="S40" s="13">
        <v>3500</v>
      </c>
    </row>
    <row r="41" spans="1:19" ht="15" customHeight="1" x14ac:dyDescent="0.35">
      <c r="A41" s="99" t="s">
        <v>1943</v>
      </c>
      <c r="D41" s="82">
        <f>H24*E2</f>
        <v>34020</v>
      </c>
      <c r="N41" s="12" t="s">
        <v>1852</v>
      </c>
      <c r="O41" s="13">
        <v>5400</v>
      </c>
      <c r="P41" s="13">
        <v>600</v>
      </c>
      <c r="Q41" s="13">
        <v>1900</v>
      </c>
      <c r="R41" s="13">
        <v>3300</v>
      </c>
      <c r="S41" s="13">
        <v>4700</v>
      </c>
    </row>
    <row r="42" spans="1:19" ht="15" customHeight="1" x14ac:dyDescent="0.35">
      <c r="A42" s="99" t="s">
        <v>1944</v>
      </c>
      <c r="D42" s="82">
        <v>6000</v>
      </c>
    </row>
    <row r="43" spans="1:19" ht="15" customHeight="1" x14ac:dyDescent="0.35">
      <c r="A43" s="99" t="s">
        <v>1945</v>
      </c>
      <c r="D43" s="82">
        <f>IF(B14="มี",E16*B9,E16*B9)</f>
        <v>10500</v>
      </c>
    </row>
    <row r="44" spans="1:19" ht="15" customHeight="1" x14ac:dyDescent="0.35">
      <c r="A44" s="99" t="s">
        <v>1946</v>
      </c>
      <c r="D44" s="82">
        <f>IF(B12="มี",30000,0)</f>
        <v>30000</v>
      </c>
    </row>
    <row r="45" spans="1:19" x14ac:dyDescent="0.35">
      <c r="A45" s="99" t="s">
        <v>1947</v>
      </c>
      <c r="D45" s="82">
        <f>IF(B15="มี",2000,0)</f>
        <v>0</v>
      </c>
    </row>
    <row r="46" spans="1:19" ht="15" customHeight="1" x14ac:dyDescent="0.35">
      <c r="A46" s="103" t="s">
        <v>1948</v>
      </c>
      <c r="B46" s="153"/>
      <c r="C46" s="153"/>
      <c r="D46" s="105">
        <f>SUM(D41:D45)</f>
        <v>80520</v>
      </c>
    </row>
    <row r="47" spans="1:19" x14ac:dyDescent="0.35">
      <c r="A47" s="106" t="s">
        <v>1833</v>
      </c>
      <c r="B47" s="153"/>
      <c r="C47" s="153"/>
      <c r="D47" s="162">
        <f>(D46-D36)/D36</f>
        <v>0.34128464818763327</v>
      </c>
    </row>
    <row r="49" spans="1:4" x14ac:dyDescent="0.35">
      <c r="A49" s="108"/>
    </row>
    <row r="51" spans="1:4" x14ac:dyDescent="0.35">
      <c r="A51" s="30" t="s">
        <v>1937</v>
      </c>
      <c r="D51" s="66">
        <f>ROUND(560*E2,0)</f>
        <v>3528</v>
      </c>
    </row>
    <row r="52" spans="1:4" x14ac:dyDescent="0.35">
      <c r="A52" s="30" t="s">
        <v>1938</v>
      </c>
      <c r="D52" s="66">
        <f>ROUND(1120*E2,0)</f>
        <v>7056</v>
      </c>
    </row>
  </sheetData>
  <mergeCells count="1">
    <mergeCell ref="A1:F1"/>
  </mergeCells>
  <dataValidations count="8">
    <dataValidation type="list" allowBlank="1" sqref="B2" xr:uid="{00000000-0002-0000-1E00-000000000000}">
      <formula1>$J$2:$J$8</formula1>
      <formula2>0</formula2>
    </dataValidation>
    <dataValidation type="list" allowBlank="1" sqref="B5" xr:uid="{00000000-0002-0000-1E00-000001000000}">
      <formula1>$J$11:$J$15</formula1>
      <formula2>0</formula2>
    </dataValidation>
    <dataValidation type="list" allowBlank="1" sqref="B6" xr:uid="{00000000-0002-0000-1E00-000002000000}">
      <formula1>"นอน,ตั้ง"</formula1>
      <formula2>0</formula2>
    </dataValidation>
    <dataValidation type="list" sqref="B17" xr:uid="{00000000-0002-0000-1E00-000003000000}">
      <formula1>"ต่อ,ไม่ต่อ"</formula1>
    </dataValidation>
    <dataValidation type="list" sqref="B12:B15" xr:uid="{00000000-0002-0000-1E00-000004000000}">
      <formula1>"มี,ไม่มี"</formula1>
    </dataValidation>
    <dataValidation type="list" allowBlank="1" sqref="C3" xr:uid="{00000000-0002-0000-1E00-000008000000}">
      <formula1>"ระแนง,ระแนงสลับ"</formula1>
    </dataValidation>
    <dataValidation type="list" allowBlank="1" sqref="B3 F7" xr:uid="{00000000-0002-0000-1E00-000009000000}">
      <formula1>$AF$1:$AF$2</formula1>
    </dataValidation>
    <dataValidation type="list" allowBlank="1" sqref="F6" xr:uid="{00000000-0002-0000-1E00-00000A000000}">
      <formula1>$J$2:$J$8</formula1>
    </dataValidation>
  </dataValidations>
  <hyperlinks>
    <hyperlink ref="G1" location="'สารบัญ'!A1" display="🏠 สารบัญ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5B9BD5"/>
  </sheetPr>
  <dimension ref="A1:AD38"/>
  <sheetViews>
    <sheetView workbookViewId="0"/>
  </sheetViews>
  <sheetFormatPr defaultRowHeight="14.5" x14ac:dyDescent="0.35"/>
  <cols>
    <col min="1" max="1" width="46" customWidth="1"/>
    <col min="2" max="3" width="16.90625" customWidth="1"/>
    <col min="4" max="4" width="23.08984375" customWidth="1"/>
    <col min="5" max="5" width="17.453125" customWidth="1"/>
    <col min="7" max="7" width="13" customWidth="1"/>
    <col min="27" max="28" width="13" hidden="1" customWidth="1"/>
    <col min="29" max="29" width="40.453125" hidden="1" customWidth="1"/>
    <col min="30" max="30" width="13" customWidth="1"/>
  </cols>
  <sheetData>
    <row r="1" spans="1:30" ht="15.5" x14ac:dyDescent="0.35">
      <c r="A1" s="130" t="s">
        <v>1949</v>
      </c>
      <c r="B1" s="319"/>
      <c r="G1" s="388" t="s">
        <v>78</v>
      </c>
      <c r="H1" s="389"/>
      <c r="AA1" s="25" t="s">
        <v>1950</v>
      </c>
      <c r="AB1" s="25" t="s">
        <v>1951</v>
      </c>
      <c r="AD1" t="s">
        <v>1952</v>
      </c>
    </row>
    <row r="2" spans="1:30" x14ac:dyDescent="0.35">
      <c r="A2" s="30" t="s">
        <v>1236</v>
      </c>
      <c r="B2" s="137">
        <v>300</v>
      </c>
      <c r="D2" s="30" t="s">
        <v>1953</v>
      </c>
      <c r="E2" s="144">
        <f>B2/B4</f>
        <v>150</v>
      </c>
      <c r="AA2" s="30">
        <v>29.5</v>
      </c>
      <c r="AB2" s="30">
        <v>3</v>
      </c>
      <c r="AC2" s="30" t="s">
        <v>778</v>
      </c>
      <c r="AD2">
        <v>1</v>
      </c>
    </row>
    <row r="3" spans="1:30" x14ac:dyDescent="0.35">
      <c r="A3" s="30" t="s">
        <v>1238</v>
      </c>
      <c r="B3" s="137">
        <v>150</v>
      </c>
      <c r="D3" s="30" t="s">
        <v>1954</v>
      </c>
      <c r="E3" s="144">
        <f>IF(B5="นอน",B3,E2)</f>
        <v>150</v>
      </c>
      <c r="AA3" s="30">
        <v>38.4</v>
      </c>
      <c r="AB3" s="30">
        <v>4</v>
      </c>
      <c r="AC3" s="30" t="s">
        <v>800</v>
      </c>
      <c r="AD3">
        <v>1</v>
      </c>
    </row>
    <row r="4" spans="1:30" x14ac:dyDescent="0.35">
      <c r="A4" s="30" t="s">
        <v>1557</v>
      </c>
      <c r="B4" s="137">
        <v>2</v>
      </c>
      <c r="D4" s="30" t="s">
        <v>1955</v>
      </c>
      <c r="E4" s="144">
        <f>IF(B5="นอน",E2,B3)</f>
        <v>150</v>
      </c>
      <c r="AA4" s="30">
        <v>47.3</v>
      </c>
      <c r="AB4" s="30">
        <v>5</v>
      </c>
      <c r="AC4" s="30" t="s">
        <v>782</v>
      </c>
      <c r="AD4">
        <v>1</v>
      </c>
    </row>
    <row r="5" spans="1:30" x14ac:dyDescent="0.35">
      <c r="A5" s="30" t="s">
        <v>1782</v>
      </c>
      <c r="B5" s="137" t="s">
        <v>1783</v>
      </c>
      <c r="D5" s="30" t="s">
        <v>1956</v>
      </c>
      <c r="E5" s="144">
        <f>IF(B5="นอน",E2,B3)</f>
        <v>150</v>
      </c>
      <c r="AA5" s="30">
        <v>56.2</v>
      </c>
      <c r="AB5" s="30">
        <v>6</v>
      </c>
      <c r="AC5" s="30" t="s">
        <v>740</v>
      </c>
      <c r="AD5">
        <v>1</v>
      </c>
    </row>
    <row r="6" spans="1:30" x14ac:dyDescent="0.35">
      <c r="A6" s="30" t="s">
        <v>1957</v>
      </c>
      <c r="B6" s="137" t="s">
        <v>412</v>
      </c>
      <c r="D6" s="30" t="s">
        <v>1958</v>
      </c>
      <c r="E6" s="30">
        <f>IF(B8="สีอบขาว/ดำ",1,IF(B8="เทาซาฮาร่า",1+rate_grey/192,IF(B8="ลายไม้ stock",1.6,IF(B8="สีอบพิเศษ",1+rate_special/192,1+rate_woodbake/192))))</f>
        <v>1</v>
      </c>
      <c r="AA6" s="30">
        <v>65.099999999999994</v>
      </c>
      <c r="AB6" s="30">
        <v>7</v>
      </c>
      <c r="AC6" s="30" t="s">
        <v>805</v>
      </c>
      <c r="AD6">
        <v>1</v>
      </c>
    </row>
    <row r="7" spans="1:30" x14ac:dyDescent="0.35">
      <c r="A7" s="30" t="s">
        <v>1959</v>
      </c>
      <c r="B7" s="137" t="s">
        <v>778</v>
      </c>
      <c r="D7" s="30" t="s">
        <v>1266</v>
      </c>
      <c r="E7" s="30">
        <f>IF(OR(B8="สีอบพิเศษ",B8="สีลายไม้อบพิเศษ"),2000,0)</f>
        <v>0</v>
      </c>
      <c r="AA7" s="30">
        <v>74</v>
      </c>
      <c r="AB7" s="30">
        <v>8</v>
      </c>
      <c r="AC7" s="30" t="s">
        <v>807</v>
      </c>
      <c r="AD7">
        <v>1</v>
      </c>
    </row>
    <row r="8" spans="1:30" x14ac:dyDescent="0.35">
      <c r="A8" s="30" t="s">
        <v>1371</v>
      </c>
      <c r="B8" s="137" t="s">
        <v>1254</v>
      </c>
      <c r="D8" s="30" t="s">
        <v>1960</v>
      </c>
      <c r="E8" s="30">
        <f>IF(B8="สีอบขาว/ดำ",0,1)</f>
        <v>0</v>
      </c>
      <c r="AA8" s="30">
        <v>82.9</v>
      </c>
      <c r="AB8" s="30">
        <v>9</v>
      </c>
      <c r="AC8" s="30" t="s">
        <v>808</v>
      </c>
      <c r="AD8">
        <v>1</v>
      </c>
    </row>
    <row r="9" spans="1:30" x14ac:dyDescent="0.35">
      <c r="A9" s="30" t="s">
        <v>1911</v>
      </c>
      <c r="B9" s="137" t="s">
        <v>1298</v>
      </c>
      <c r="D9" s="30" t="s">
        <v>1961</v>
      </c>
      <c r="E9" s="30">
        <f>IFERROR(MATCH(E3,$AA$2:$AA$34,1),1)</f>
        <v>14</v>
      </c>
      <c r="AA9" s="30">
        <v>91.8</v>
      </c>
      <c r="AB9" s="30">
        <v>10</v>
      </c>
      <c r="AC9" s="30" t="s">
        <v>785</v>
      </c>
      <c r="AD9">
        <v>1</v>
      </c>
    </row>
    <row r="10" spans="1:30" x14ac:dyDescent="0.35">
      <c r="A10" s="30" t="s">
        <v>1247</v>
      </c>
      <c r="B10" s="137">
        <v>100</v>
      </c>
      <c r="D10" s="30" t="s">
        <v>1962</v>
      </c>
      <c r="E10" s="30">
        <f>INDEX($AB$2:$AB$34,E9)</f>
        <v>16</v>
      </c>
      <c r="AA10" s="30">
        <v>100.7</v>
      </c>
      <c r="AB10" s="30">
        <v>11</v>
      </c>
      <c r="AC10" s="30" t="s">
        <v>810</v>
      </c>
      <c r="AD10">
        <v>2</v>
      </c>
    </row>
    <row r="11" spans="1:30" x14ac:dyDescent="0.35">
      <c r="A11" s="346" t="s">
        <v>1963</v>
      </c>
      <c r="D11" s="30" t="s">
        <v>1964</v>
      </c>
      <c r="E11" s="144">
        <f>INDEX($AA$2:$AA$34,E9)</f>
        <v>145.19999999999999</v>
      </c>
      <c r="AA11" s="30">
        <v>109.6</v>
      </c>
      <c r="AB11" s="30">
        <v>12</v>
      </c>
      <c r="AC11" s="30" t="s">
        <v>813</v>
      </c>
      <c r="AD11">
        <v>2</v>
      </c>
    </row>
    <row r="12" spans="1:30" x14ac:dyDescent="0.35">
      <c r="A12" s="359" t="s">
        <v>1965</v>
      </c>
      <c r="B12" s="398">
        <f>E10</f>
        <v>16</v>
      </c>
      <c r="D12" s="30" t="s">
        <v>1966</v>
      </c>
      <c r="E12" s="144">
        <f>MAX(0,E3-E11)</f>
        <v>4.8000000000000114</v>
      </c>
      <c r="AA12" s="30">
        <v>118.5</v>
      </c>
      <c r="AB12" s="30">
        <v>13</v>
      </c>
      <c r="AC12" s="30" t="s">
        <v>819</v>
      </c>
      <c r="AD12">
        <v>2</v>
      </c>
    </row>
    <row r="13" spans="1:30" x14ac:dyDescent="0.35">
      <c r="A13" s="359" t="s">
        <v>1967</v>
      </c>
      <c r="B13" s="398">
        <f>ROUND(E11*10,0)</f>
        <v>1452</v>
      </c>
      <c r="D13" s="30" t="s">
        <v>1968</v>
      </c>
      <c r="E13" s="30">
        <f>IF(E12&gt;0,ROUNDUP(E12/8.9,0),0)</f>
        <v>1</v>
      </c>
      <c r="AA13" s="30">
        <v>127.4</v>
      </c>
      <c r="AB13" s="30">
        <v>14</v>
      </c>
      <c r="AC13" s="30" t="s">
        <v>822</v>
      </c>
      <c r="AD13">
        <v>2</v>
      </c>
    </row>
    <row r="14" spans="1:30" x14ac:dyDescent="0.35">
      <c r="A14" s="359" t="s">
        <v>1969</v>
      </c>
      <c r="B14" s="398">
        <f>INDEX($AD$2:$AD$34,E9)</f>
        <v>2</v>
      </c>
      <c r="D14" s="30" t="s">
        <v>1970</v>
      </c>
      <c r="E14" s="30">
        <f>E10+E13</f>
        <v>17</v>
      </c>
      <c r="AA14" s="30">
        <v>136.30000000000001</v>
      </c>
      <c r="AB14" s="30">
        <v>15</v>
      </c>
      <c r="AC14" s="30" t="s">
        <v>825</v>
      </c>
      <c r="AD14">
        <v>2</v>
      </c>
    </row>
    <row r="15" spans="1:30" x14ac:dyDescent="0.35">
      <c r="A15" s="359" t="s">
        <v>1971</v>
      </c>
      <c r="B15" s="398">
        <f>B25</f>
        <v>2</v>
      </c>
      <c r="D15" s="30" t="s">
        <v>1972</v>
      </c>
      <c r="E15" s="30">
        <f>E14*B4</f>
        <v>34</v>
      </c>
      <c r="AA15" s="30">
        <v>145.19999999999999</v>
      </c>
      <c r="AB15" s="30">
        <v>16</v>
      </c>
      <c r="AC15" s="30" t="s">
        <v>827</v>
      </c>
      <c r="AD15">
        <v>2</v>
      </c>
    </row>
    <row r="16" spans="1:30" x14ac:dyDescent="0.35">
      <c r="D16" s="30" t="s">
        <v>1973</v>
      </c>
      <c r="E16" s="30">
        <f>IF(B6="ลูกฟูก",IF(E8=1,94,90),IF(E8=1,92,88))</f>
        <v>90</v>
      </c>
      <c r="AA16" s="30">
        <v>154.1</v>
      </c>
      <c r="AB16" s="30">
        <v>17</v>
      </c>
      <c r="AC16" s="30" t="s">
        <v>828</v>
      </c>
      <c r="AD16">
        <v>2</v>
      </c>
    </row>
    <row r="17" spans="1:30" x14ac:dyDescent="0.35">
      <c r="D17" s="30" t="s">
        <v>1974</v>
      </c>
      <c r="E17" s="144">
        <f>2*(B2+B3)+(B4-1)*B3</f>
        <v>1050</v>
      </c>
      <c r="AA17" s="30">
        <v>163</v>
      </c>
      <c r="AB17" s="30">
        <v>18</v>
      </c>
      <c r="AC17" s="30" t="s">
        <v>1180</v>
      </c>
      <c r="AD17">
        <v>2</v>
      </c>
    </row>
    <row r="18" spans="1:30" x14ac:dyDescent="0.35">
      <c r="D18" s="30" t="s">
        <v>1975</v>
      </c>
      <c r="E18" s="30">
        <f>ROUNDUP(E17/600,0)</f>
        <v>2</v>
      </c>
      <c r="AA18" s="30">
        <v>171.9</v>
      </c>
      <c r="AB18" s="30">
        <v>19</v>
      </c>
      <c r="AC18" s="30" t="s">
        <v>829</v>
      </c>
      <c r="AD18">
        <v>2</v>
      </c>
    </row>
    <row r="19" spans="1:30" x14ac:dyDescent="0.35">
      <c r="D19" s="30" t="s">
        <v>1976</v>
      </c>
      <c r="E19" s="30">
        <f>IFERROR(INDEX(ราคาวัสดุกลาง!$I$2:$I$106,MATCH(B7,ราคาวัสดุกลาง!$H$2:$H$106,0)),264)</f>
        <v>264</v>
      </c>
      <c r="AA19" s="30">
        <v>180.8</v>
      </c>
      <c r="AB19" s="30">
        <v>20</v>
      </c>
      <c r="AC19" s="30" t="s">
        <v>831</v>
      </c>
      <c r="AD19">
        <v>2</v>
      </c>
    </row>
    <row r="20" spans="1:30" x14ac:dyDescent="0.35">
      <c r="D20" s="30" t="s">
        <v>1977</v>
      </c>
      <c r="E20" s="30">
        <f>IF(B9="มี",INDEX(ราคาออโต้!$C:$C,MATCH("มอเตอร์บานเกล็ด",ราคาออโต้!$B:$B,0)),0)</f>
        <v>0</v>
      </c>
      <c r="AA20" s="30">
        <v>189.7</v>
      </c>
      <c r="AB20" s="30">
        <v>21</v>
      </c>
      <c r="AC20" s="30" t="s">
        <v>786</v>
      </c>
      <c r="AD20">
        <v>3</v>
      </c>
    </row>
    <row r="21" spans="1:30" x14ac:dyDescent="0.35">
      <c r="AA21" s="30">
        <v>198.6</v>
      </c>
      <c r="AB21" s="30">
        <v>22</v>
      </c>
      <c r="AC21" s="30" t="s">
        <v>791</v>
      </c>
      <c r="AD21">
        <v>4</v>
      </c>
    </row>
    <row r="22" spans="1:30" x14ac:dyDescent="0.35">
      <c r="AA22" s="30">
        <v>207.5</v>
      </c>
      <c r="AB22" s="30">
        <v>23</v>
      </c>
      <c r="AC22" s="30" t="s">
        <v>860</v>
      </c>
      <c r="AD22">
        <v>4</v>
      </c>
    </row>
    <row r="23" spans="1:30" x14ac:dyDescent="0.35">
      <c r="A23" s="125" t="s">
        <v>1376</v>
      </c>
      <c r="B23" s="125" t="s">
        <v>1255</v>
      </c>
      <c r="C23" s="125" t="s">
        <v>1256</v>
      </c>
      <c r="D23" s="125" t="s">
        <v>1377</v>
      </c>
      <c r="AA23" s="30">
        <v>216.4</v>
      </c>
      <c r="AB23" s="30">
        <v>24</v>
      </c>
      <c r="AD23">
        <v>4</v>
      </c>
    </row>
    <row r="24" spans="1:30" x14ac:dyDescent="0.35">
      <c r="A24" s="30" t="s">
        <v>1978</v>
      </c>
      <c r="B24" s="138">
        <f>E18</f>
        <v>2</v>
      </c>
      <c r="C24" s="138">
        <f>905*E6*mult_mtong</f>
        <v>905</v>
      </c>
      <c r="D24" s="139">
        <f>B24*C24</f>
        <v>1810</v>
      </c>
      <c r="AA24" s="30">
        <v>225.3</v>
      </c>
      <c r="AB24" s="30">
        <v>25</v>
      </c>
      <c r="AD24">
        <v>4</v>
      </c>
    </row>
    <row r="25" spans="1:30" x14ac:dyDescent="0.35">
      <c r="A25" s="30" t="s">
        <v>1979</v>
      </c>
      <c r="B25" s="138">
        <f>B4</f>
        <v>2</v>
      </c>
      <c r="C25" s="138">
        <f>E10*E16</f>
        <v>1440</v>
      </c>
      <c r="D25" s="139">
        <f>E10*E16*B4</f>
        <v>2880</v>
      </c>
      <c r="AA25" s="30">
        <v>234.2</v>
      </c>
      <c r="AB25" s="30">
        <v>26</v>
      </c>
      <c r="AD25">
        <v>4</v>
      </c>
    </row>
    <row r="26" spans="1:30" x14ac:dyDescent="0.35">
      <c r="A26" s="30" t="s">
        <v>1980</v>
      </c>
      <c r="B26" s="138">
        <f>IF(B6="ลูกฟูก",ROUNDUP(E15*E4/600,0),ROUND(E15*0.102*E4/100,2))</f>
        <v>9</v>
      </c>
      <c r="C26" s="138">
        <f>IF(B6="ลูกฟูก",572*E6*mult_mtong,E19)</f>
        <v>572</v>
      </c>
      <c r="D26" s="139">
        <f>B26*C26</f>
        <v>5148</v>
      </c>
      <c r="AA26" s="30">
        <v>243.1</v>
      </c>
      <c r="AB26" s="30">
        <v>27</v>
      </c>
      <c r="AD26">
        <v>4</v>
      </c>
    </row>
    <row r="27" spans="1:30" x14ac:dyDescent="0.35">
      <c r="A27" s="30" t="s">
        <v>1981</v>
      </c>
      <c r="B27" s="138">
        <f>IF(E13&gt;0,2*B4,0)</f>
        <v>4</v>
      </c>
      <c r="C27" s="138">
        <f>IF(E13&gt;0,(E12/600)*150,0)</f>
        <v>1.2000000000000028</v>
      </c>
      <c r="D27" s="139">
        <f>B27*C27</f>
        <v>4.8000000000000114</v>
      </c>
      <c r="AA27" s="30">
        <v>252</v>
      </c>
      <c r="AB27" s="30">
        <v>28</v>
      </c>
      <c r="AD27">
        <v>4</v>
      </c>
    </row>
    <row r="28" spans="1:30" x14ac:dyDescent="0.35">
      <c r="A28" s="30" t="s">
        <v>1386</v>
      </c>
      <c r="B28" s="138">
        <f>IF(E7&gt;0,1,0)</f>
        <v>0</v>
      </c>
      <c r="C28" s="138">
        <f>E7</f>
        <v>0</v>
      </c>
      <c r="D28" s="139">
        <f>B28*C28</f>
        <v>0</v>
      </c>
      <c r="AA28" s="30">
        <v>260.89999999999998</v>
      </c>
      <c r="AB28" s="30">
        <v>29</v>
      </c>
      <c r="AD28">
        <v>4</v>
      </c>
    </row>
    <row r="29" spans="1:30" x14ac:dyDescent="0.35">
      <c r="A29" s="30" t="s">
        <v>549</v>
      </c>
      <c r="B29" s="138">
        <f>IF(B9="มี",1,0)</f>
        <v>0</v>
      </c>
      <c r="C29" s="138">
        <f>E20</f>
        <v>0</v>
      </c>
      <c r="D29" s="139">
        <f>B29*C29</f>
        <v>0</v>
      </c>
      <c r="AA29" s="30">
        <v>269.8</v>
      </c>
      <c r="AB29" s="30">
        <v>30</v>
      </c>
      <c r="AD29">
        <v>4</v>
      </c>
    </row>
    <row r="30" spans="1:30" x14ac:dyDescent="0.35">
      <c r="A30" s="25" t="s">
        <v>1982</v>
      </c>
      <c r="D30" s="140">
        <f>SUM(D24:D29)</f>
        <v>9842.7999999999993</v>
      </c>
      <c r="AA30" s="30">
        <v>278.7</v>
      </c>
      <c r="AB30" s="30">
        <v>31</v>
      </c>
      <c r="AD30">
        <v>4</v>
      </c>
    </row>
    <row r="31" spans="1:30" x14ac:dyDescent="0.35">
      <c r="A31" s="30" t="s">
        <v>1752</v>
      </c>
      <c r="D31" s="141">
        <f>B2*B3/10000</f>
        <v>4.5</v>
      </c>
      <c r="AA31" s="30">
        <v>287.60000000000002</v>
      </c>
      <c r="AB31" s="30">
        <v>32</v>
      </c>
      <c r="AD31">
        <v>4</v>
      </c>
    </row>
    <row r="32" spans="1:30" x14ac:dyDescent="0.35">
      <c r="A32" s="30" t="s">
        <v>1983</v>
      </c>
      <c r="D32" s="139">
        <f>ROUND(196*D31,0)</f>
        <v>882</v>
      </c>
      <c r="AA32" s="30">
        <v>296.5</v>
      </c>
      <c r="AB32" s="30">
        <v>33</v>
      </c>
      <c r="AD32">
        <v>6</v>
      </c>
    </row>
    <row r="33" spans="1:30" x14ac:dyDescent="0.35">
      <c r="A33" s="30" t="s">
        <v>1984</v>
      </c>
      <c r="D33" s="139">
        <f>ROUND(196*D31,0)</f>
        <v>882</v>
      </c>
      <c r="AA33" s="30">
        <v>305.39999999999998</v>
      </c>
      <c r="AB33" s="30">
        <v>34</v>
      </c>
      <c r="AD33">
        <v>6</v>
      </c>
    </row>
    <row r="34" spans="1:30" x14ac:dyDescent="0.35">
      <c r="A34" s="25" t="s">
        <v>1567</v>
      </c>
      <c r="D34" s="142">
        <f>ROUNDUP((D30+D32)*(1+B10/100)/100,0)*100</f>
        <v>21500</v>
      </c>
      <c r="AA34" s="30">
        <v>314.3</v>
      </c>
      <c r="AB34" s="30">
        <v>35</v>
      </c>
      <c r="AD34">
        <v>6</v>
      </c>
    </row>
    <row r="35" spans="1:30" x14ac:dyDescent="0.35">
      <c r="A35" s="25" t="s">
        <v>1568</v>
      </c>
      <c r="D35" s="142">
        <f>D34+ROUNDUP(D33*(1+B10/100)/100,0)*100</f>
        <v>23300</v>
      </c>
      <c r="AA35" s="30"/>
      <c r="AB35" s="30"/>
    </row>
    <row r="36" spans="1:30" x14ac:dyDescent="0.35">
      <c r="A36" s="30" t="s">
        <v>1569</v>
      </c>
      <c r="D36" s="143">
        <f>(D34-(D30+D32))/(D30+D32)</f>
        <v>1.0046993883335822</v>
      </c>
      <c r="AA36" s="30"/>
      <c r="AB36" s="30"/>
    </row>
    <row r="37" spans="1:30" x14ac:dyDescent="0.35">
      <c r="A37" s="30" t="s">
        <v>1985</v>
      </c>
    </row>
    <row r="38" spans="1:30" x14ac:dyDescent="0.35">
      <c r="A38" s="359" t="s">
        <v>1986</v>
      </c>
      <c r="D38" s="359">
        <f>ROUND((D30+D32+D33)/D31,0)</f>
        <v>2579</v>
      </c>
    </row>
  </sheetData>
  <dataValidations count="5">
    <dataValidation type="list" allowBlank="1" sqref="B5" xr:uid="{00000000-0002-0000-1F00-000000000000}">
      <formula1>"นอน,ตั้ง"</formula1>
    </dataValidation>
    <dataValidation type="list" allowBlank="1" sqref="B6" xr:uid="{00000000-0002-0000-1F00-000001000000}">
      <formula1>"ลูกฟูก,กระจก"</formula1>
    </dataValidation>
    <dataValidation type="list" allowBlank="1" sqref="B8" xr:uid="{00000000-0002-0000-1F00-000002000000}">
      <formula1>"สีอบขาว/ดำ,เทาซาฮาร่า,ลายไม้ stock,สีอบพิเศษ,สีลายไม้อบพิเศษ"</formula1>
    </dataValidation>
    <dataValidation type="list" allowBlank="1" sqref="B9" xr:uid="{00000000-0002-0000-1F00-000003000000}">
      <formula1>"มี,ไม่มี"</formula1>
    </dataValidation>
    <dataValidation type="list" allowBlank="1" sqref="B7" xr:uid="{00000000-0002-0000-1F00-000004000000}">
      <formula1>$AC$2:$AC$22</formula1>
    </dataValidation>
  </dataValidations>
  <hyperlinks>
    <hyperlink ref="G1" location="'สารบัญ'!A1" display="🏠 สารบัญ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5B9BD5"/>
  </sheetPr>
  <dimension ref="A1:AF38"/>
  <sheetViews>
    <sheetView workbookViewId="0"/>
  </sheetViews>
  <sheetFormatPr defaultColWidth="8.6328125" defaultRowHeight="14.5" x14ac:dyDescent="0.35"/>
  <cols>
    <col min="1" max="1" width="46" customWidth="1"/>
    <col min="2" max="2" width="17.453125" customWidth="1"/>
    <col min="3" max="3" width="16.90625" customWidth="1"/>
    <col min="4" max="4" width="30.7265625" customWidth="1"/>
    <col min="5" max="5" width="24.453125" customWidth="1"/>
    <col min="6" max="6" width="3" customWidth="1"/>
    <col min="7" max="7" width="21.7265625" customWidth="1"/>
    <col min="8" max="8" width="11" customWidth="1"/>
    <col min="10" max="10" width="25.453125" customWidth="1"/>
    <col min="11" max="11" width="17.453125" customWidth="1"/>
    <col min="12" max="12" width="13" customWidth="1"/>
    <col min="14" max="14" width="26.453125" customWidth="1"/>
    <col min="15" max="20" width="13" customWidth="1"/>
    <col min="22" max="22" width="15.08984375" customWidth="1"/>
    <col min="28" max="28" width="19.453125" hidden="1" customWidth="1"/>
    <col min="29" max="30" width="13" hidden="1" customWidth="1"/>
    <col min="32" max="32" width="13" hidden="1" customWidth="1"/>
  </cols>
  <sheetData>
    <row r="1" spans="1:32" ht="24" customHeight="1" x14ac:dyDescent="0.35">
      <c r="A1" s="437" t="s">
        <v>1987</v>
      </c>
      <c r="B1" s="411"/>
      <c r="C1" s="411"/>
      <c r="D1" s="411"/>
      <c r="E1" s="411"/>
      <c r="F1" s="411"/>
      <c r="G1" s="388" t="s">
        <v>78</v>
      </c>
      <c r="H1" s="389"/>
      <c r="I1" s="319"/>
      <c r="J1" s="91" t="s">
        <v>1749</v>
      </c>
      <c r="V1" s="11" t="s">
        <v>1750</v>
      </c>
      <c r="AF1" t="str">
        <f>IFERROR(VLOOKUP(B2,$AB$2:$AD$8,2,0),"")</f>
        <v>1.6"</v>
      </c>
    </row>
    <row r="2" spans="1:32" ht="15" customHeight="1" x14ac:dyDescent="0.35">
      <c r="A2" s="91" t="s">
        <v>1751</v>
      </c>
      <c r="B2" s="92" t="s">
        <v>590</v>
      </c>
      <c r="D2" s="93" t="s">
        <v>1752</v>
      </c>
      <c r="E2" s="94">
        <f>(H16/100)*(H17/100)</f>
        <v>4.8</v>
      </c>
      <c r="G2" s="93" t="s">
        <v>1753</v>
      </c>
      <c r="H2" s="95">
        <f>IF(B5="รวม",ROUNDUP(IF(B9&lt;=250,2,3)/MAX(INT(600/B8),1),0),0)</f>
        <v>0</v>
      </c>
      <c r="J2" s="93" t="s">
        <v>1754</v>
      </c>
      <c r="K2" s="95">
        <v>500</v>
      </c>
      <c r="N2" s="12" t="s">
        <v>1755</v>
      </c>
      <c r="O2" s="13">
        <v>3300</v>
      </c>
      <c r="P2" s="13">
        <v>5200</v>
      </c>
      <c r="Q2" s="13">
        <v>300</v>
      </c>
      <c r="R2" s="13">
        <v>1000</v>
      </c>
      <c r="S2" s="13">
        <v>1700</v>
      </c>
      <c r="T2" s="13">
        <v>2400</v>
      </c>
      <c r="V2" s="12">
        <v>50</v>
      </c>
      <c r="AB2" t="s">
        <v>1754</v>
      </c>
      <c r="AC2" t="s">
        <v>1756</v>
      </c>
      <c r="AD2" t="s">
        <v>1757</v>
      </c>
      <c r="AF2" t="str">
        <f>IFERROR(VLOOKUP(B2,$AB$2:$AD$8,3,0),"")</f>
        <v>4"</v>
      </c>
    </row>
    <row r="3" spans="1:32" ht="15" customHeight="1" x14ac:dyDescent="0.35">
      <c r="A3" s="91" t="s">
        <v>1758</v>
      </c>
      <c r="B3" s="92" t="s">
        <v>1759</v>
      </c>
      <c r="D3" s="93" t="s">
        <v>1760</v>
      </c>
      <c r="E3" s="94">
        <f>VLOOKUP(B3,$J$18:$K$23,2,0)</f>
        <v>4.0599999999999996</v>
      </c>
      <c r="G3" s="93" t="s">
        <v>1761</v>
      </c>
      <c r="H3" s="95">
        <f>ROUND(485*E9/5,0)*5</f>
        <v>485</v>
      </c>
      <c r="J3" s="93" t="s">
        <v>1762</v>
      </c>
      <c r="K3" s="95">
        <v>310</v>
      </c>
      <c r="N3" s="12" t="s">
        <v>1763</v>
      </c>
      <c r="O3" s="13">
        <v>4300</v>
      </c>
      <c r="P3" s="13">
        <v>6000</v>
      </c>
      <c r="Q3" s="13">
        <v>400</v>
      </c>
      <c r="R3" s="13">
        <v>1500</v>
      </c>
      <c r="S3" s="13">
        <v>2500</v>
      </c>
      <c r="T3" s="13">
        <v>3500</v>
      </c>
      <c r="V3" s="12">
        <v>60</v>
      </c>
      <c r="AB3" t="s">
        <v>1762</v>
      </c>
      <c r="AC3" t="s">
        <v>1764</v>
      </c>
      <c r="AD3" t="s">
        <v>1764</v>
      </c>
    </row>
    <row r="4" spans="1:32" ht="15" customHeight="1" x14ac:dyDescent="0.35">
      <c r="A4" s="91" t="s">
        <v>1988</v>
      </c>
      <c r="B4" s="96">
        <v>0.2</v>
      </c>
      <c r="D4" s="93" t="s">
        <v>1766</v>
      </c>
      <c r="E4" s="94">
        <f>E3+B4</f>
        <v>4.26</v>
      </c>
      <c r="G4" s="93" t="s">
        <v>1767</v>
      </c>
      <c r="H4" s="95">
        <f>VLOOKUP(B6,$J$11:$L$15,3,0)</f>
        <v>0</v>
      </c>
      <c r="J4" s="93" t="s">
        <v>1768</v>
      </c>
      <c r="K4" s="95">
        <v>395</v>
      </c>
      <c r="N4" s="12" t="s">
        <v>1769</v>
      </c>
      <c r="O4" s="13">
        <v>5000</v>
      </c>
      <c r="P4" s="13">
        <v>7200</v>
      </c>
      <c r="Q4" s="13">
        <v>500</v>
      </c>
      <c r="R4" s="13">
        <v>1900</v>
      </c>
      <c r="S4" s="13">
        <v>3300</v>
      </c>
      <c r="T4" s="13">
        <v>4700</v>
      </c>
      <c r="V4" s="12">
        <v>75</v>
      </c>
      <c r="AB4" t="s">
        <v>1768</v>
      </c>
      <c r="AC4" t="s">
        <v>1764</v>
      </c>
      <c r="AD4" t="s">
        <v>1770</v>
      </c>
    </row>
    <row r="5" spans="1:32" ht="15" customHeight="1" x14ac:dyDescent="0.35">
      <c r="A5" s="91" t="s">
        <v>1771</v>
      </c>
      <c r="B5" s="92" t="s">
        <v>1772</v>
      </c>
      <c r="D5" s="93" t="s">
        <v>1773</v>
      </c>
      <c r="E5" s="95">
        <f>IF(B7="นอน",H16,H17)</f>
        <v>200</v>
      </c>
      <c r="G5" s="93" t="s">
        <v>1774</v>
      </c>
      <c r="H5" s="95">
        <f>IF(E13=0,0,INDEX($O$2:$O$38,E13))</f>
        <v>0</v>
      </c>
      <c r="J5" s="93" t="s">
        <v>1775</v>
      </c>
      <c r="K5" s="95">
        <v>485</v>
      </c>
      <c r="N5" s="12" t="s">
        <v>1776</v>
      </c>
      <c r="O5" s="13">
        <v>2800</v>
      </c>
      <c r="P5" s="13">
        <v>4500</v>
      </c>
      <c r="Q5" s="13">
        <v>200</v>
      </c>
      <c r="R5" s="13">
        <v>800</v>
      </c>
      <c r="S5" s="13">
        <v>1100</v>
      </c>
      <c r="T5" s="13">
        <v>1600</v>
      </c>
      <c r="V5" s="12">
        <v>100</v>
      </c>
      <c r="AB5" t="s">
        <v>1775</v>
      </c>
      <c r="AC5" t="s">
        <v>1764</v>
      </c>
      <c r="AD5" t="s">
        <v>1759</v>
      </c>
    </row>
    <row r="6" spans="1:32" ht="15" customHeight="1" x14ac:dyDescent="0.35">
      <c r="A6" s="91" t="s">
        <v>1253</v>
      </c>
      <c r="B6" s="92" t="s">
        <v>112</v>
      </c>
      <c r="D6" s="93" t="s">
        <v>1777</v>
      </c>
      <c r="E6" s="95">
        <f>IF(B7="นอน",H17,H16)</f>
        <v>240</v>
      </c>
      <c r="G6" s="93" t="s">
        <v>1778</v>
      </c>
      <c r="H6" s="95">
        <f>IF(E13=0,0,INDEX($P$2:$P$38,E13))</f>
        <v>0</v>
      </c>
      <c r="J6" s="93" t="s">
        <v>1779</v>
      </c>
      <c r="K6" s="95">
        <v>905</v>
      </c>
      <c r="N6" s="12" t="s">
        <v>1780</v>
      </c>
      <c r="O6" s="13">
        <v>3200</v>
      </c>
      <c r="P6" s="13">
        <v>4800</v>
      </c>
      <c r="Q6" s="13">
        <v>200</v>
      </c>
      <c r="R6" s="13">
        <v>1000</v>
      </c>
      <c r="S6" s="13">
        <v>1400</v>
      </c>
      <c r="T6" s="13">
        <v>2000</v>
      </c>
      <c r="V6" s="12">
        <v>120</v>
      </c>
      <c r="AB6" t="s">
        <v>1779</v>
      </c>
      <c r="AC6" t="s">
        <v>1764</v>
      </c>
      <c r="AD6" t="s">
        <v>1781</v>
      </c>
    </row>
    <row r="7" spans="1:32" ht="15" customHeight="1" x14ac:dyDescent="0.35">
      <c r="A7" s="91" t="s">
        <v>1782</v>
      </c>
      <c r="B7" s="92" t="s">
        <v>1783</v>
      </c>
      <c r="D7" s="93" t="s">
        <v>1784</v>
      </c>
      <c r="E7" s="95">
        <f>INT(E6/E4)+1</f>
        <v>57</v>
      </c>
      <c r="G7" s="93" t="s">
        <v>1785</v>
      </c>
      <c r="H7" s="95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>0</v>
      </c>
      <c r="J7" s="93" t="s">
        <v>592</v>
      </c>
      <c r="K7" s="95">
        <v>770</v>
      </c>
      <c r="N7" s="12" t="s">
        <v>1786</v>
      </c>
      <c r="O7" s="13">
        <v>3300</v>
      </c>
      <c r="P7" s="13">
        <v>5100</v>
      </c>
      <c r="Q7" s="13">
        <v>300</v>
      </c>
      <c r="R7" s="13">
        <v>1000</v>
      </c>
      <c r="S7" s="13">
        <v>1700</v>
      </c>
      <c r="T7" s="13">
        <v>2400</v>
      </c>
      <c r="V7" s="12">
        <v>150</v>
      </c>
      <c r="AB7" t="s">
        <v>592</v>
      </c>
      <c r="AC7" t="s">
        <v>1759</v>
      </c>
      <c r="AD7" t="s">
        <v>1759</v>
      </c>
    </row>
    <row r="8" spans="1:32" ht="15" customHeight="1" x14ac:dyDescent="0.35">
      <c r="A8" s="91" t="s">
        <v>1715</v>
      </c>
      <c r="B8" s="96">
        <v>200</v>
      </c>
      <c r="D8" s="93" t="s">
        <v>1787</v>
      </c>
      <c r="E8" s="95">
        <f>IF(B11="ต่อ",H21,H20)</f>
        <v>19</v>
      </c>
      <c r="G8" s="93" t="s">
        <v>1788</v>
      </c>
      <c r="H8" s="95">
        <f>IF(B5="ไม่รวม",H5,H6)+H7</f>
        <v>0</v>
      </c>
      <c r="J8" s="93" t="s">
        <v>590</v>
      </c>
      <c r="K8" s="95">
        <v>1220</v>
      </c>
      <c r="N8" s="12" t="s">
        <v>1789</v>
      </c>
      <c r="O8" s="13">
        <v>3700</v>
      </c>
      <c r="P8" s="13">
        <v>5300</v>
      </c>
      <c r="Q8" s="13">
        <v>300</v>
      </c>
      <c r="R8" s="13">
        <v>1000</v>
      </c>
      <c r="S8" s="13">
        <v>1400</v>
      </c>
      <c r="T8" s="13">
        <v>2000</v>
      </c>
      <c r="V8" s="12">
        <v>200</v>
      </c>
      <c r="AB8" t="s">
        <v>590</v>
      </c>
      <c r="AC8" t="s">
        <v>1759</v>
      </c>
      <c r="AD8" t="s">
        <v>1781</v>
      </c>
    </row>
    <row r="9" spans="1:32" ht="15" customHeight="1" x14ac:dyDescent="0.35">
      <c r="A9" s="91" t="s">
        <v>1238</v>
      </c>
      <c r="B9" s="96">
        <v>240</v>
      </c>
      <c r="D9" s="93" t="s">
        <v>1790</v>
      </c>
      <c r="E9" s="97">
        <f>VLOOKUP(B6,$J$11:$L$15,2,0)</f>
        <v>1</v>
      </c>
      <c r="N9" s="12" t="s">
        <v>1791</v>
      </c>
      <c r="O9" s="13">
        <v>4500</v>
      </c>
      <c r="P9" s="13">
        <v>6400</v>
      </c>
      <c r="Q9" s="13">
        <v>400</v>
      </c>
      <c r="R9" s="13">
        <v>1400</v>
      </c>
      <c r="S9" s="13">
        <v>1900</v>
      </c>
      <c r="T9" s="13">
        <v>2800</v>
      </c>
      <c r="V9" s="12">
        <v>300</v>
      </c>
    </row>
    <row r="10" spans="1:32" ht="15" customHeight="1" x14ac:dyDescent="0.35">
      <c r="A10" s="91" t="s">
        <v>1792</v>
      </c>
      <c r="B10" s="96">
        <v>385</v>
      </c>
      <c r="D10" s="93" t="s">
        <v>1793</v>
      </c>
      <c r="E10" s="95">
        <f>ROUND(VLOOKUP(B2,$J$2:$K$8,2,0)*E9/5,0)*5</f>
        <v>1220</v>
      </c>
      <c r="G10" s="93" t="s">
        <v>1794</v>
      </c>
      <c r="H10" s="95">
        <f>LOOKUP(B8,$V$2:$V$10)</f>
        <v>200</v>
      </c>
      <c r="N10" s="12" t="s">
        <v>1795</v>
      </c>
      <c r="O10" s="13">
        <v>4800</v>
      </c>
      <c r="P10" s="13">
        <v>6900</v>
      </c>
      <c r="Q10" s="13">
        <v>500</v>
      </c>
      <c r="R10" s="13">
        <v>1600</v>
      </c>
      <c r="S10" s="13">
        <v>2200</v>
      </c>
      <c r="T10" s="13">
        <v>3200</v>
      </c>
      <c r="V10" s="12">
        <v>600</v>
      </c>
    </row>
    <row r="11" spans="1:32" ht="15" customHeight="1" x14ac:dyDescent="0.35">
      <c r="A11" s="91" t="s">
        <v>1796</v>
      </c>
      <c r="B11" s="92" t="s">
        <v>1797</v>
      </c>
      <c r="D11" s="93" t="s">
        <v>1798</v>
      </c>
      <c r="E11" s="95">
        <f>IF(B4&gt;=4,5,IF(B4&gt;=2.5,3,IF(B4&gt;=1,2,0)))</f>
        <v>0</v>
      </c>
      <c r="G11" s="93" t="s">
        <v>1799</v>
      </c>
      <c r="H11" s="95">
        <f>IFERROR(INDEX($V$2:$V$10,MATCH(B8,$V$2:$V$10,1)+1),99999)</f>
        <v>300</v>
      </c>
      <c r="J11" s="93" t="s">
        <v>112</v>
      </c>
      <c r="K11" s="97">
        <f>mult_mtong</f>
        <v>1</v>
      </c>
      <c r="L11" s="95">
        <v>0</v>
      </c>
      <c r="N11" s="12" t="s">
        <v>1800</v>
      </c>
      <c r="O11" s="13">
        <v>3200</v>
      </c>
      <c r="P11" s="13">
        <v>4900</v>
      </c>
      <c r="Q11" s="13">
        <v>300</v>
      </c>
      <c r="R11" s="13">
        <v>800</v>
      </c>
      <c r="S11" s="13">
        <v>1100</v>
      </c>
      <c r="T11" s="13">
        <v>1600</v>
      </c>
    </row>
    <row r="12" spans="1:32" ht="15" customHeight="1" x14ac:dyDescent="0.35">
      <c r="A12" s="25" t="s">
        <v>1801</v>
      </c>
      <c r="B12" s="96">
        <v>580</v>
      </c>
      <c r="D12" s="93" t="s">
        <v>870</v>
      </c>
      <c r="E12" s="93" t="str">
        <f>B2&amp;"|"&amp;B3&amp;"|"&amp;E11</f>
        <v>กล่อง 1.6"×4"|1.6"|0</v>
      </c>
      <c r="G12" s="93" t="s">
        <v>1802</v>
      </c>
      <c r="H12" s="95">
        <f>IF(B8-H10&lt;=20,H10,IF(H11-B8&lt;=20,H11,B8))</f>
        <v>200</v>
      </c>
      <c r="J12" s="93" t="s">
        <v>94</v>
      </c>
      <c r="K12" s="97">
        <f>mult_mtong+rate_grey/192</f>
        <v>1.5208333333333335</v>
      </c>
      <c r="L12" s="95">
        <v>0</v>
      </c>
      <c r="N12" s="12" t="s">
        <v>1803</v>
      </c>
      <c r="O12" s="13">
        <v>3700</v>
      </c>
      <c r="P12" s="13">
        <v>5300</v>
      </c>
      <c r="Q12" s="13">
        <v>300</v>
      </c>
      <c r="R12" s="13">
        <v>1000</v>
      </c>
      <c r="S12" s="13">
        <v>1400</v>
      </c>
      <c r="T12" s="13">
        <v>2000</v>
      </c>
    </row>
    <row r="13" spans="1:32" ht="15" customHeight="1" x14ac:dyDescent="0.35">
      <c r="A13" s="359" t="s">
        <v>1989</v>
      </c>
      <c r="B13" s="408" t="s">
        <v>1990</v>
      </c>
      <c r="D13" s="93" t="s">
        <v>1804</v>
      </c>
      <c r="E13" s="95">
        <f>IFERROR(MATCH(E12,$N$2:$N$38,0),0)</f>
        <v>0</v>
      </c>
      <c r="G13" s="93" t="s">
        <v>1805</v>
      </c>
      <c r="H13" s="95">
        <f>LOOKUP(B9,$V$2:$V$10)</f>
        <v>200</v>
      </c>
      <c r="J13" s="93" t="s">
        <v>1806</v>
      </c>
      <c r="K13" s="97">
        <f>mult_mtong+rate_woodstock/192</f>
        <v>1.5859375</v>
      </c>
      <c r="L13" s="95">
        <v>0</v>
      </c>
      <c r="N13" s="12" t="s">
        <v>1807</v>
      </c>
      <c r="O13" s="13">
        <v>4000</v>
      </c>
      <c r="P13" s="13">
        <v>5800</v>
      </c>
      <c r="Q13" s="13">
        <v>400</v>
      </c>
      <c r="R13" s="13">
        <v>1200</v>
      </c>
      <c r="S13" s="13">
        <v>1700</v>
      </c>
      <c r="T13" s="13">
        <v>2400</v>
      </c>
    </row>
    <row r="14" spans="1:32" ht="15" customHeight="1" x14ac:dyDescent="0.35">
      <c r="D14" s="346" t="s">
        <v>1808</v>
      </c>
      <c r="E14" s="398">
        <f>ROUND((E6-E7*E3)/(E7-1),2)</f>
        <v>0.15</v>
      </c>
      <c r="G14" s="93" t="s">
        <v>1809</v>
      </c>
      <c r="H14" s="95">
        <f>IFERROR(INDEX($V$2:$V$10,MATCH(B9,$V$2:$V$10,1)+1),99999)</f>
        <v>300</v>
      </c>
      <c r="J14" s="93" t="s">
        <v>96</v>
      </c>
      <c r="K14" s="97">
        <f>mult_mtong+rate_special/192</f>
        <v>1.9010416666666665</v>
      </c>
      <c r="L14" s="95">
        <v>2000</v>
      </c>
      <c r="N14" s="12" t="s">
        <v>1810</v>
      </c>
      <c r="O14" s="13">
        <v>3200</v>
      </c>
      <c r="P14" s="13">
        <v>4700</v>
      </c>
      <c r="Q14" s="13">
        <v>200</v>
      </c>
      <c r="R14" s="13">
        <v>700</v>
      </c>
      <c r="S14" s="13">
        <v>1000</v>
      </c>
      <c r="T14" s="13">
        <v>1400</v>
      </c>
    </row>
    <row r="15" spans="1:32" ht="15" customHeight="1" x14ac:dyDescent="0.35">
      <c r="A15" s="98" t="s">
        <v>1376</v>
      </c>
      <c r="B15" s="98" t="s">
        <v>1255</v>
      </c>
      <c r="C15" s="98" t="s">
        <v>1256</v>
      </c>
      <c r="D15" s="98" t="s">
        <v>1377</v>
      </c>
      <c r="G15" s="93" t="s">
        <v>1811</v>
      </c>
      <c r="H15" s="95">
        <f>IF(B9-H13&lt;=20,H13,IF(H14-B9&lt;=20,H14,B9))</f>
        <v>240</v>
      </c>
      <c r="J15" s="93" t="s">
        <v>98</v>
      </c>
      <c r="K15" s="97">
        <f>mult_mtong+rate_woodbake/192</f>
        <v>1.9895833333333335</v>
      </c>
      <c r="L15" s="95">
        <v>2000</v>
      </c>
      <c r="N15" s="12" t="s">
        <v>1812</v>
      </c>
      <c r="O15" s="13">
        <v>3700</v>
      </c>
      <c r="P15" s="13">
        <v>5400</v>
      </c>
      <c r="Q15" s="13">
        <v>300</v>
      </c>
      <c r="R15" s="13">
        <v>1000</v>
      </c>
      <c r="S15" s="13">
        <v>1300</v>
      </c>
      <c r="T15" s="13">
        <v>1900</v>
      </c>
    </row>
    <row r="16" spans="1:32" ht="15" customHeight="1" x14ac:dyDescent="0.35">
      <c r="A16" s="99" t="str">
        <f>B2&amp;" (ใบระแนง)"</f>
        <v>กล่อง 1.6"×4" (ใบระแนง)</v>
      </c>
      <c r="B16" s="82">
        <f>E8</f>
        <v>19</v>
      </c>
      <c r="C16" s="82">
        <f>E10</f>
        <v>1220</v>
      </c>
      <c r="D16" s="82">
        <f>IF(B11="ต่อ",H23,H22)</f>
        <v>23180</v>
      </c>
      <c r="G16" s="93" t="s">
        <v>1813</v>
      </c>
      <c r="H16" s="95">
        <f>IF(B7="นอน",H12,B8)</f>
        <v>200</v>
      </c>
      <c r="N16" s="12" t="s">
        <v>1814</v>
      </c>
      <c r="O16" s="13">
        <v>3900</v>
      </c>
      <c r="P16" s="13">
        <v>5600</v>
      </c>
      <c r="Q16" s="13">
        <v>300</v>
      </c>
      <c r="R16" s="13">
        <v>1100</v>
      </c>
      <c r="S16" s="13">
        <v>1500</v>
      </c>
      <c r="T16" s="13">
        <v>2200</v>
      </c>
    </row>
    <row r="17" spans="1:20" ht="15" customHeight="1" x14ac:dyDescent="0.35">
      <c r="A17" s="99" t="s">
        <v>1815</v>
      </c>
      <c r="B17" s="82">
        <f>H2</f>
        <v>0</v>
      </c>
      <c r="C17" s="82">
        <f>H3</f>
        <v>485</v>
      </c>
      <c r="D17" s="82">
        <f>B17*C17</f>
        <v>0</v>
      </c>
      <c r="G17" s="93" t="s">
        <v>1816</v>
      </c>
      <c r="H17" s="95">
        <f>IF(B7="ตั้ง",H15,B9)</f>
        <v>240</v>
      </c>
      <c r="N17" s="12" t="s">
        <v>1817</v>
      </c>
      <c r="O17" s="13">
        <v>3300</v>
      </c>
      <c r="P17" s="13">
        <v>5200</v>
      </c>
      <c r="Q17" s="13">
        <v>300</v>
      </c>
      <c r="R17" s="13">
        <v>900</v>
      </c>
      <c r="S17" s="13">
        <v>1400</v>
      </c>
      <c r="T17" s="13">
        <v>2000</v>
      </c>
    </row>
    <row r="18" spans="1:20" ht="15" customHeight="1" x14ac:dyDescent="0.35">
      <c r="A18" s="99" t="s">
        <v>1991</v>
      </c>
      <c r="B18" s="82">
        <f>ROUNDUP(B8/600,0)</f>
        <v>1</v>
      </c>
      <c r="C18" s="82">
        <f>ROUND(2208*E9,0)</f>
        <v>2208</v>
      </c>
      <c r="D18" s="82">
        <f>B18*C18</f>
        <v>2208</v>
      </c>
      <c r="G18" s="93" t="s">
        <v>1819</v>
      </c>
      <c r="H18" s="95">
        <f>LOOKUP(E5,$V$2:$V$10)</f>
        <v>200</v>
      </c>
      <c r="J18" s="93" t="s">
        <v>1756</v>
      </c>
      <c r="K18" s="94">
        <v>1</v>
      </c>
      <c r="N18" s="12" t="s">
        <v>1820</v>
      </c>
      <c r="O18" s="13">
        <v>4000</v>
      </c>
      <c r="P18" s="13">
        <v>6100</v>
      </c>
      <c r="Q18" s="13">
        <v>400</v>
      </c>
      <c r="R18" s="13">
        <v>1200</v>
      </c>
      <c r="S18" s="13">
        <v>1900</v>
      </c>
      <c r="T18" s="13">
        <v>2800</v>
      </c>
    </row>
    <row r="19" spans="1:20" ht="15" customHeight="1" x14ac:dyDescent="0.35">
      <c r="A19" s="100" t="s">
        <v>552</v>
      </c>
      <c r="B19" s="82">
        <f>IF(B13="ไม่เอา",0,1)</f>
        <v>1</v>
      </c>
      <c r="C19" s="82">
        <f>INDEX(ราคาออโต้!$C:$C,MATCH("มอเตอร์ระแนงหมุน",ราคาออโต้!$B:$B,0))</f>
        <v>1800</v>
      </c>
      <c r="D19" s="82">
        <f>B19*C19</f>
        <v>1800</v>
      </c>
      <c r="G19" s="93" t="s">
        <v>1822</v>
      </c>
      <c r="H19" s="95">
        <f>E5-H18</f>
        <v>0</v>
      </c>
      <c r="J19" s="93" t="s">
        <v>1757</v>
      </c>
      <c r="K19" s="94">
        <v>5</v>
      </c>
      <c r="N19" s="12" t="s">
        <v>1823</v>
      </c>
      <c r="O19" s="13">
        <v>4300</v>
      </c>
      <c r="P19" s="13">
        <v>6500</v>
      </c>
      <c r="Q19" s="13">
        <v>400</v>
      </c>
      <c r="R19" s="13">
        <v>1400</v>
      </c>
      <c r="S19" s="13">
        <v>2200</v>
      </c>
      <c r="T19" s="13">
        <v>3200</v>
      </c>
    </row>
    <row r="20" spans="1:20" ht="15" customHeight="1" x14ac:dyDescent="0.35">
      <c r="A20" s="101" t="s">
        <v>1992</v>
      </c>
      <c r="B20" s="153"/>
      <c r="C20" s="153"/>
      <c r="D20" s="102">
        <f>ROUND(200*B8/100,0)+ROUND(160*E7,0)</f>
        <v>9520</v>
      </c>
      <c r="G20" s="93" t="s">
        <v>1824</v>
      </c>
      <c r="H20" s="95">
        <f>ROUNDUP(E7/MAX(INT(600/E5),1),0)</f>
        <v>19</v>
      </c>
      <c r="J20" s="93" t="s">
        <v>1764</v>
      </c>
      <c r="K20" s="94">
        <v>2.54</v>
      </c>
      <c r="N20" s="12" t="s">
        <v>1825</v>
      </c>
      <c r="O20" s="13">
        <v>3300</v>
      </c>
      <c r="P20" s="13">
        <v>5200</v>
      </c>
      <c r="Q20" s="13">
        <v>300</v>
      </c>
      <c r="R20" s="13">
        <v>900</v>
      </c>
      <c r="S20" s="13">
        <v>1400</v>
      </c>
      <c r="T20" s="13">
        <v>2000</v>
      </c>
    </row>
    <row r="21" spans="1:20" ht="15" customHeight="1" x14ac:dyDescent="0.35">
      <c r="A21" s="101" t="s">
        <v>1818</v>
      </c>
      <c r="B21" s="153">
        <f>IF(H4&gt;0,1,0)</f>
        <v>0</v>
      </c>
      <c r="C21" s="153">
        <v>2000</v>
      </c>
      <c r="D21" s="102">
        <f>B21*C21</f>
        <v>0</v>
      </c>
      <c r="G21" s="93" t="s">
        <v>1826</v>
      </c>
      <c r="H21" s="95">
        <f>ROUNDUP(E7/(600/H18),0)+IF(H19&gt;0,ROUNDUP(E7/INT(600/H19),0),0)</f>
        <v>19</v>
      </c>
      <c r="J21" s="93" t="s">
        <v>1770</v>
      </c>
      <c r="K21" s="94">
        <v>3.81</v>
      </c>
      <c r="N21" s="12" t="s">
        <v>1827</v>
      </c>
      <c r="O21" s="13">
        <v>3700</v>
      </c>
      <c r="P21" s="13">
        <v>5600</v>
      </c>
      <c r="Q21" s="13">
        <v>300</v>
      </c>
      <c r="R21" s="13">
        <v>1000</v>
      </c>
      <c r="S21" s="13">
        <v>1700</v>
      </c>
      <c r="T21" s="13">
        <v>2400</v>
      </c>
    </row>
    <row r="22" spans="1:20" ht="15" customHeight="1" x14ac:dyDescent="0.35">
      <c r="A22" s="103" t="s">
        <v>1821</v>
      </c>
      <c r="B22" s="153">
        <f>E2</f>
        <v>4.8</v>
      </c>
      <c r="C22" s="153">
        <f>B10+B12</f>
        <v>965</v>
      </c>
      <c r="D22" s="104">
        <f>B22*C22</f>
        <v>4632</v>
      </c>
      <c r="G22" s="93" t="s">
        <v>1829</v>
      </c>
      <c r="H22" s="95">
        <f>H20*E10</f>
        <v>23180</v>
      </c>
      <c r="J22" s="93" t="s">
        <v>1759</v>
      </c>
      <c r="K22" s="94">
        <v>4.0599999999999996</v>
      </c>
      <c r="N22" s="12" t="s">
        <v>1830</v>
      </c>
      <c r="O22" s="13">
        <v>3700</v>
      </c>
      <c r="P22" s="13">
        <v>5600</v>
      </c>
      <c r="Q22" s="13">
        <v>300</v>
      </c>
      <c r="R22" s="13">
        <v>1000</v>
      </c>
      <c r="S22" s="13">
        <v>1700</v>
      </c>
      <c r="T22" s="13">
        <v>2400</v>
      </c>
    </row>
    <row r="23" spans="1:20" ht="15" customHeight="1" x14ac:dyDescent="0.35">
      <c r="A23" s="103" t="s">
        <v>1268</v>
      </c>
      <c r="B23" s="153"/>
      <c r="C23" s="153"/>
      <c r="D23" s="105">
        <f>SUM(D16:D22)</f>
        <v>41340</v>
      </c>
      <c r="G23" s="93" t="s">
        <v>1831</v>
      </c>
      <c r="H23" s="95">
        <f>H21*E10+IF(H19&gt;0,E7*80,0)</f>
        <v>23180</v>
      </c>
      <c r="J23" s="93" t="s">
        <v>1781</v>
      </c>
      <c r="K23" s="94">
        <v>10.16</v>
      </c>
      <c r="N23" s="12" t="s">
        <v>1832</v>
      </c>
      <c r="O23" s="13">
        <v>5500</v>
      </c>
      <c r="P23" s="13">
        <v>8100</v>
      </c>
      <c r="Q23" s="13">
        <v>600</v>
      </c>
      <c r="R23" s="13">
        <v>2000</v>
      </c>
      <c r="S23" s="13">
        <v>3700</v>
      </c>
      <c r="T23" s="13">
        <v>5300</v>
      </c>
    </row>
    <row r="24" spans="1:20" ht="15" customHeight="1" x14ac:dyDescent="0.35">
      <c r="A24" s="106" t="s">
        <v>1125</v>
      </c>
      <c r="B24" s="153"/>
      <c r="C24" s="153"/>
      <c r="D24" s="107">
        <f>IFERROR(D23/E2,0)</f>
        <v>8612.5</v>
      </c>
      <c r="N24" s="12" t="s">
        <v>1834</v>
      </c>
      <c r="O24" s="13">
        <v>7100</v>
      </c>
      <c r="P24" s="13">
        <v>10100</v>
      </c>
      <c r="Q24" s="13">
        <v>800</v>
      </c>
      <c r="R24" s="13">
        <v>2700</v>
      </c>
      <c r="S24" s="13">
        <v>5200</v>
      </c>
      <c r="T24" s="13">
        <v>7500</v>
      </c>
    </row>
    <row r="25" spans="1:20" ht="15" customHeight="1" x14ac:dyDescent="0.35">
      <c r="A25" t="s">
        <v>1993</v>
      </c>
      <c r="D25">
        <f>ROUNDUP(D23*2/100,0)*100</f>
        <v>82700</v>
      </c>
      <c r="N25" s="12" t="s">
        <v>1835</v>
      </c>
      <c r="O25" s="13">
        <v>7900</v>
      </c>
      <c r="P25" s="13">
        <v>10800</v>
      </c>
      <c r="Q25" s="13">
        <v>900</v>
      </c>
      <c r="R25" s="13">
        <v>3100</v>
      </c>
      <c r="S25" s="13">
        <v>5900</v>
      </c>
      <c r="T25" s="13">
        <v>8500</v>
      </c>
    </row>
    <row r="26" spans="1:20" ht="15" customHeight="1" x14ac:dyDescent="0.35">
      <c r="A26" s="108" t="s">
        <v>1994</v>
      </c>
      <c r="D26">
        <f>IFERROR((D25-D23)/D23,0)</f>
        <v>1.000483792936623</v>
      </c>
      <c r="N26" s="12" t="s">
        <v>1837</v>
      </c>
      <c r="O26" s="13">
        <v>4000</v>
      </c>
      <c r="P26" s="13">
        <v>6000</v>
      </c>
      <c r="Q26" s="13">
        <v>400</v>
      </c>
      <c r="R26" s="13">
        <v>1200</v>
      </c>
      <c r="S26" s="13">
        <v>2300</v>
      </c>
      <c r="T26" s="13">
        <v>3200</v>
      </c>
    </row>
    <row r="27" spans="1:20" ht="15" customHeight="1" x14ac:dyDescent="0.35">
      <c r="A27" s="109" t="s">
        <v>1838</v>
      </c>
      <c r="D27" s="110">
        <f>H22</f>
        <v>23180</v>
      </c>
      <c r="N27" s="12" t="s">
        <v>1839</v>
      </c>
      <c r="O27" s="13">
        <v>4000</v>
      </c>
      <c r="P27" s="13">
        <v>6000</v>
      </c>
      <c r="Q27" s="13">
        <v>400</v>
      </c>
      <c r="R27" s="13">
        <v>1200</v>
      </c>
      <c r="S27" s="13">
        <v>2300</v>
      </c>
      <c r="T27" s="13">
        <v>3200</v>
      </c>
    </row>
    <row r="28" spans="1:20" ht="15" customHeight="1" x14ac:dyDescent="0.35">
      <c r="A28" s="109" t="s">
        <v>1840</v>
      </c>
      <c r="D28" s="110">
        <f>H23</f>
        <v>23180</v>
      </c>
      <c r="N28" s="12" t="s">
        <v>1841</v>
      </c>
      <c r="O28" s="13">
        <v>4800</v>
      </c>
      <c r="P28" s="13">
        <v>6900</v>
      </c>
      <c r="Q28" s="13">
        <v>500</v>
      </c>
      <c r="R28" s="13">
        <v>1600</v>
      </c>
      <c r="S28" s="13">
        <v>3000</v>
      </c>
      <c r="T28" s="13">
        <v>4300</v>
      </c>
    </row>
    <row r="29" spans="1:20" ht="15" customHeight="1" x14ac:dyDescent="0.35">
      <c r="A29" s="109" t="s">
        <v>1842</v>
      </c>
      <c r="D29" s="110">
        <f>H22-H23</f>
        <v>0</v>
      </c>
      <c r="N29" s="12" t="s">
        <v>1843</v>
      </c>
      <c r="O29" s="13">
        <v>5100</v>
      </c>
      <c r="P29" s="13">
        <v>6900</v>
      </c>
      <c r="Q29" s="13">
        <v>500</v>
      </c>
      <c r="R29" s="13">
        <v>1600</v>
      </c>
      <c r="S29" s="13">
        <v>3000</v>
      </c>
      <c r="T29" s="13">
        <v>4300</v>
      </c>
    </row>
    <row r="30" spans="1:20" ht="15" customHeight="1" x14ac:dyDescent="0.35">
      <c r="N30" s="12" t="s">
        <v>1844</v>
      </c>
      <c r="O30" s="13">
        <v>3900</v>
      </c>
      <c r="P30" s="13">
        <v>5600</v>
      </c>
      <c r="Q30" s="13">
        <v>300</v>
      </c>
      <c r="R30" s="13">
        <v>1100</v>
      </c>
      <c r="S30" s="13">
        <v>2000</v>
      </c>
      <c r="T30" s="13">
        <v>2800</v>
      </c>
    </row>
    <row r="31" spans="1:20" ht="15" customHeight="1" x14ac:dyDescent="0.35">
      <c r="A31" s="108"/>
      <c r="B31" s="150"/>
      <c r="N31" s="12" t="s">
        <v>1845</v>
      </c>
      <c r="O31" s="13">
        <v>4400</v>
      </c>
      <c r="P31" s="13">
        <v>6400</v>
      </c>
      <c r="Q31" s="13">
        <v>400</v>
      </c>
      <c r="R31" s="13">
        <v>1400</v>
      </c>
      <c r="S31" s="13">
        <v>2400</v>
      </c>
      <c r="T31" s="13">
        <v>3500</v>
      </c>
    </row>
    <row r="32" spans="1:20" ht="15" customHeight="1" x14ac:dyDescent="0.35">
      <c r="N32" s="12" t="s">
        <v>1846</v>
      </c>
      <c r="O32" s="13">
        <v>5000</v>
      </c>
      <c r="P32" s="13">
        <v>7200</v>
      </c>
      <c r="Q32" s="13">
        <v>500</v>
      </c>
      <c r="R32" s="13">
        <v>1700</v>
      </c>
      <c r="S32" s="13">
        <v>2900</v>
      </c>
      <c r="T32" s="13">
        <v>4200</v>
      </c>
    </row>
    <row r="33" spans="14:20" ht="15" customHeight="1" x14ac:dyDescent="0.35">
      <c r="N33" s="12" t="s">
        <v>1847</v>
      </c>
      <c r="O33" s="13">
        <v>5400</v>
      </c>
      <c r="P33" s="13">
        <v>7900</v>
      </c>
      <c r="Q33" s="13">
        <v>600</v>
      </c>
      <c r="R33" s="13">
        <v>1900</v>
      </c>
      <c r="S33" s="13">
        <v>3300</v>
      </c>
      <c r="T33" s="13">
        <v>4700</v>
      </c>
    </row>
    <row r="34" spans="14:20" ht="15" customHeight="1" x14ac:dyDescent="0.35">
      <c r="N34" s="12" t="s">
        <v>1848</v>
      </c>
      <c r="O34" s="13">
        <v>6500</v>
      </c>
      <c r="P34" s="13">
        <v>9200</v>
      </c>
      <c r="Q34" s="13">
        <v>700</v>
      </c>
      <c r="R34" s="13">
        <v>2400</v>
      </c>
      <c r="S34" s="13">
        <v>4100</v>
      </c>
      <c r="T34" s="13">
        <v>5900</v>
      </c>
    </row>
    <row r="35" spans="14:20" ht="15" customHeight="1" x14ac:dyDescent="0.35">
      <c r="N35" s="12" t="s">
        <v>1849</v>
      </c>
      <c r="O35" s="13">
        <v>7300</v>
      </c>
      <c r="P35" s="13">
        <v>10600</v>
      </c>
      <c r="Q35" s="13">
        <v>800</v>
      </c>
      <c r="R35" s="13">
        <v>2900</v>
      </c>
      <c r="S35" s="13">
        <v>4900</v>
      </c>
      <c r="T35" s="13">
        <v>7000</v>
      </c>
    </row>
    <row r="36" spans="14:20" ht="15" customHeight="1" x14ac:dyDescent="0.35">
      <c r="N36" s="12" t="s">
        <v>1850</v>
      </c>
      <c r="O36" s="13">
        <v>4600</v>
      </c>
      <c r="P36" s="13">
        <v>6500</v>
      </c>
      <c r="Q36" s="13">
        <v>400</v>
      </c>
      <c r="R36" s="13">
        <v>1500</v>
      </c>
      <c r="S36" s="13">
        <v>2500</v>
      </c>
      <c r="T36" s="13">
        <v>3500</v>
      </c>
    </row>
    <row r="37" spans="14:20" ht="15" customHeight="1" x14ac:dyDescent="0.35">
      <c r="N37" s="12" t="s">
        <v>1851</v>
      </c>
      <c r="O37" s="13">
        <v>4600</v>
      </c>
      <c r="P37" s="13">
        <v>6500</v>
      </c>
      <c r="Q37" s="13">
        <v>400</v>
      </c>
      <c r="R37" s="13">
        <v>1500</v>
      </c>
      <c r="S37" s="13">
        <v>2500</v>
      </c>
      <c r="T37" s="13">
        <v>3500</v>
      </c>
    </row>
    <row r="38" spans="14:20" ht="15" customHeight="1" x14ac:dyDescent="0.35">
      <c r="N38" s="12" t="s">
        <v>1852</v>
      </c>
      <c r="O38" s="13">
        <v>5400</v>
      </c>
      <c r="P38" s="13">
        <v>7900</v>
      </c>
      <c r="Q38" s="13">
        <v>600</v>
      </c>
      <c r="R38" s="13">
        <v>1900</v>
      </c>
      <c r="S38" s="13">
        <v>3300</v>
      </c>
      <c r="T38" s="13">
        <v>4700</v>
      </c>
    </row>
  </sheetData>
  <mergeCells count="1">
    <mergeCell ref="A1:F1"/>
  </mergeCells>
  <dataValidations count="7">
    <dataValidation type="list" allowBlank="1" sqref="B3" xr:uid="{00000000-0002-0000-2000-000000000000}">
      <formula1>$AF$1:$AF$2</formula1>
    </dataValidation>
    <dataValidation type="list" allowBlank="1" sqref="B2" xr:uid="{00000000-0002-0000-2000-000001000000}">
      <formula1>$J$2:$J$8</formula1>
    </dataValidation>
    <dataValidation type="list" allowBlank="1" sqref="B5" xr:uid="{00000000-0002-0000-2000-000002000000}">
      <formula1>"รวม,ไม่รวม"</formula1>
    </dataValidation>
    <dataValidation type="list" allowBlank="1" sqref="B6" xr:uid="{00000000-0002-0000-2000-000003000000}">
      <formula1>$J$11:$J$15</formula1>
    </dataValidation>
    <dataValidation type="list" allowBlank="1" sqref="B7" xr:uid="{00000000-0002-0000-2000-000004000000}">
      <formula1>"นอน,ตั้ง"</formula1>
    </dataValidation>
    <dataValidation type="list" allowBlank="1" sqref="B11" xr:uid="{00000000-0002-0000-2000-000005000000}">
      <formula1>"ต่อ,ไม่ต่อ"</formula1>
    </dataValidation>
    <dataValidation type="list" allowBlank="1" sqref="B13" xr:uid="{00000000-0002-0000-2000-000006000000}">
      <formula1>"เอา,ไม่เอา"</formula1>
    </dataValidation>
  </dataValidations>
  <hyperlinks>
    <hyperlink ref="G1" location="'สารบัญ'!A1" display="🏠 สารบัญ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ED7D31"/>
  </sheetPr>
  <dimension ref="A1:H49"/>
  <sheetViews>
    <sheetView workbookViewId="0"/>
  </sheetViews>
  <sheetFormatPr defaultRowHeight="14.5" x14ac:dyDescent="0.35"/>
  <cols>
    <col min="1" max="1" width="46" customWidth="1"/>
    <col min="2" max="2" width="18" customWidth="1"/>
    <col min="3" max="3" width="40.26953125" customWidth="1"/>
    <col min="4" max="4" width="16" customWidth="1"/>
    <col min="7" max="7" width="13" customWidth="1"/>
  </cols>
  <sheetData>
    <row r="1" spans="1:8" ht="22" customHeight="1" x14ac:dyDescent="0.35">
      <c r="A1" s="445" t="s">
        <v>1995</v>
      </c>
      <c r="B1" s="411"/>
      <c r="C1" s="411"/>
      <c r="D1" s="411"/>
      <c r="E1" s="319"/>
      <c r="G1" s="388" t="s">
        <v>78</v>
      </c>
      <c r="H1" s="389"/>
    </row>
    <row r="2" spans="1:8" x14ac:dyDescent="0.35">
      <c r="A2" s="446" t="s">
        <v>1996</v>
      </c>
      <c r="B2" s="411"/>
      <c r="C2" s="411"/>
      <c r="D2" s="411"/>
    </row>
    <row r="3" spans="1:8" x14ac:dyDescent="0.35">
      <c r="A3" s="243" t="s">
        <v>1997</v>
      </c>
      <c r="B3" s="244" t="s">
        <v>1998</v>
      </c>
    </row>
    <row r="4" spans="1:8" x14ac:dyDescent="0.35">
      <c r="A4" s="243" t="s">
        <v>1999</v>
      </c>
      <c r="B4" s="244" t="s">
        <v>606</v>
      </c>
    </row>
    <row r="5" spans="1:8" x14ac:dyDescent="0.35">
      <c r="A5" s="243" t="s">
        <v>2000</v>
      </c>
      <c r="B5" s="244" t="s">
        <v>2001</v>
      </c>
    </row>
    <row r="6" spans="1:8" x14ac:dyDescent="0.35">
      <c r="A6" s="243" t="s">
        <v>2002</v>
      </c>
      <c r="B6" s="244" t="s">
        <v>2003</v>
      </c>
    </row>
    <row r="7" spans="1:8" x14ac:dyDescent="0.35">
      <c r="A7" s="30" t="s">
        <v>2004</v>
      </c>
      <c r="B7" s="254" t="s">
        <v>2005</v>
      </c>
      <c r="C7" s="246" t="s">
        <v>2006</v>
      </c>
    </row>
    <row r="8" spans="1:8" x14ac:dyDescent="0.35">
      <c r="A8" s="242" t="s">
        <v>2007</v>
      </c>
    </row>
    <row r="9" spans="1:8" x14ac:dyDescent="0.35">
      <c r="A9" s="245" t="str">
        <f>IF(B7="ใช่","ติดตาย: กว้าง (ซม.) →","กว้าง (ซม.) →")</f>
        <v>กว้าง (ซม.) →</v>
      </c>
      <c r="B9" s="244">
        <v>400</v>
      </c>
      <c r="C9" s="246"/>
    </row>
    <row r="10" spans="1:8" x14ac:dyDescent="0.35">
      <c r="A10" s="245" t="str">
        <f>IF(B7="ใช่","ติดตาย: ยื่น (ซม.) →",IF(B3="หลังคาจั่ว","ลึก D (ซม.) →","ยื่น (ซม.) →"))</f>
        <v>ยื่น (ซม.) →</v>
      </c>
      <c r="B10" s="244">
        <v>200</v>
      </c>
      <c r="C10" s="246"/>
    </row>
    <row r="11" spans="1:8" x14ac:dyDescent="0.35">
      <c r="A11" s="245" t="str">
        <f>IF(B7="ใช่","เลื่อน: กว้าง (ซม.) →",IF(B3="หลังคาจั่ว","สูงยอดจั่ว H (ซม.) →","— (ไม่ใช้)"))</f>
        <v>— (ไม่ใช้)</v>
      </c>
      <c r="B11" s="244">
        <v>150</v>
      </c>
      <c r="C11" s="246" t="str">
        <f>IF(B3="หลังคาจั่ว","← เฉพาะจั่ว",IF(B7="ใช่","← เฉพาะเลื่อน",""))</f>
        <v/>
      </c>
    </row>
    <row r="12" spans="1:8" x14ac:dyDescent="0.35">
      <c r="A12" s="245" t="str">
        <f>IF(B7="ใช่","เลื่อน: ยื่น (ซม.) →","— (ไม่ใช้)")</f>
        <v>— (ไม่ใช้)</v>
      </c>
      <c r="B12" s="261">
        <v>150</v>
      </c>
      <c r="C12" s="246" t="str">
        <f>IF(B7="ใช่","← เฉพาะเลื่อน","")</f>
        <v/>
      </c>
    </row>
    <row r="13" spans="1:8" x14ac:dyDescent="0.35">
      <c r="A13" s="245" t="str">
        <f>IF(B7="ใช่","รูปแบบเลื่อน →","— (ไม่ใช้)")</f>
        <v>— (ไม่ใช้)</v>
      </c>
      <c r="B13" s="261" t="s">
        <v>2008</v>
      </c>
      <c r="C13" s="246" t="str">
        <f>IF(B7="ใช่","← เฉพาะเลื่อน","")</f>
        <v/>
      </c>
    </row>
    <row r="14" spans="1:8" x14ac:dyDescent="0.35">
      <c r="A14" s="245" t="str">
        <f>IF(B7="ใช่","มอเตอร์ →","— (ไม่ใช้)")</f>
        <v>— (ไม่ใช้)</v>
      </c>
      <c r="B14" s="261" t="s">
        <v>537</v>
      </c>
      <c r="C14" s="246" t="str">
        <f>IF(B7="ใช่","← เฉพาะเลื่อน","")</f>
        <v/>
      </c>
    </row>
    <row r="15" spans="1:8" x14ac:dyDescent="0.35">
      <c r="A15" s="30" t="str">
        <f>IF(B7="ใช่","จำนวนบาน (เลื่อน) →","— (ไม่ใช้)")</f>
        <v>— (ไม่ใช้)</v>
      </c>
      <c r="B15" s="262">
        <v>2</v>
      </c>
      <c r="C15" s="246" t="str">
        <f>IF(B7="ใช่","← เฉพาะเลื่อน","")</f>
        <v/>
      </c>
    </row>
    <row r="16" spans="1:8" x14ac:dyDescent="0.35">
      <c r="A16" s="242" t="s">
        <v>2009</v>
      </c>
    </row>
    <row r="17" spans="1:4" x14ac:dyDescent="0.35">
      <c r="A17" s="247" t="s">
        <v>2010</v>
      </c>
      <c r="D17" s="248">
        <f>IF(B3="หลังคาเพิง",'คิดทุน หลังคา'!D20,'คิดทุน หลังคาจั่ว'!D21)+IF(B7="ใช่",'คิดทุน หลังคาเลื่อน'!D11+'คิดทุน หลังคาเลื่อน'!D12+'คิดทุน หลังคาเลื่อน'!D13+'คิดทุน หลังคาเลื่อน'!D18,0)</f>
        <v>38286</v>
      </c>
    </row>
    <row r="18" spans="1:4" x14ac:dyDescent="0.35">
      <c r="A18" s="247" t="s">
        <v>2011</v>
      </c>
      <c r="D18" s="248">
        <f>D17+IF(B7="ใช่",'คิดทุน หลังคาเลื่อน'!D14+'คิดทุน หลังคาเลื่อน'!D15,IF(B3="หลังคาเพิง",'คิดทุน หลังคา'!D18+'คิดทุน หลังคา'!D19,'คิดทุน หลังคาจั่ว'!D19+'คิดทุน หลังคาจั่ว'!D20))</f>
        <v>39588.400000000001</v>
      </c>
    </row>
    <row r="19" spans="1:4" x14ac:dyDescent="0.35">
      <c r="A19" s="247" t="s">
        <v>1648</v>
      </c>
      <c r="D19" s="248">
        <f>IFERROR(D18/(B9*B10/10000),"")</f>
        <v>4948.55</v>
      </c>
    </row>
    <row r="20" spans="1:4" x14ac:dyDescent="0.35">
      <c r="A20" s="249" t="s">
        <v>2012</v>
      </c>
      <c r="D20" s="250">
        <f>ROUNDUP(D18*2/100,0)*100</f>
        <v>79200</v>
      </c>
    </row>
    <row r="22" spans="1:4" x14ac:dyDescent="0.35">
      <c r="A22" s="233"/>
      <c r="B22" s="255"/>
      <c r="C22" s="255"/>
      <c r="D22" s="233"/>
    </row>
    <row r="23" spans="1:4" x14ac:dyDescent="0.35">
      <c r="A23" s="263" t="s">
        <v>2013</v>
      </c>
      <c r="B23" s="264" t="s">
        <v>1255</v>
      </c>
      <c r="C23" s="264"/>
      <c r="D23" s="265" t="s">
        <v>1377</v>
      </c>
    </row>
    <row r="24" spans="1:4" x14ac:dyDescent="0.35">
      <c r="A24" s="256" t="str">
        <f>IF(B3="หลังคาเพิง","ปลายหลังคา/รางน้ำ","ปลายหลังคา/รางน้ำ (2 ชายคา)")</f>
        <v>ปลายหลังคา/รางน้ำ</v>
      </c>
      <c r="B24" s="279" t="str">
        <f>IF(B6="ยื่นปลาย","—",IF(B6="รางน้ำอลู",ROUNDUP(B9/600,0)&amp;" เส้น",ROUND(B9/100,1)&amp;" ม."))</f>
        <v>—</v>
      </c>
      <c r="C24" s="256"/>
      <c r="D24" s="257">
        <f>IF(B3="หลังคาเพิง",'คิดทุน หลังคา'!D9,'คิดทุน หลังคาจั่ว'!D8)</f>
        <v>0</v>
      </c>
    </row>
    <row r="25" spans="1:4" x14ac:dyDescent="0.35">
      <c r="A25" s="258" t="str">
        <f>IF(B3="หลังคาเพิง","จันทัน 1.6x4 นิ้ว","จันทัน 1.6x4 นิ้ว (x2 ด้าน)")</f>
        <v>จันทัน 1.6x4 นิ้ว</v>
      </c>
      <c r="B25" s="273">
        <f>IF(B3="หลังคาเพิง",'คิดทุน หลังคา'!B10,'คิดทุน หลังคาจั่ว'!B10)</f>
        <v>3</v>
      </c>
      <c r="C25" s="258"/>
      <c r="D25" s="260">
        <f>IF(B3="หลังคาเพิง",'คิดทุน หลังคา'!D10,'คิดทุน หลังคาจั่ว'!D10)</f>
        <v>3660</v>
      </c>
    </row>
    <row r="26" spans="1:4" x14ac:dyDescent="0.35">
      <c r="A26" s="256" t="str">
        <f>IF(B3="หลังคาเพิง","แป กล่อง","แป กล่อง (x2 ด้าน)")</f>
        <v>แป กล่อง</v>
      </c>
      <c r="B26" s="279">
        <f>IF(B3="หลังคาเพิง",'คิดทุน หลังคา'!B11,'คิดทุน หลังคาจั่ว'!B11)</f>
        <v>4</v>
      </c>
      <c r="C26" s="256"/>
      <c r="D26" s="257">
        <f>IF(B3="หลังคาเพิง",'คิดทุน หลังคา'!D11,'คิดทุน หลังคาจั่ว'!D11)</f>
        <v>3080</v>
      </c>
    </row>
    <row r="27" spans="1:4" x14ac:dyDescent="0.35">
      <c r="A27" s="258" t="str">
        <f>IF(B3="หลังคาเพิง","ฉาก 6 หุน","ฉาก 6 หุน (2 ชายคา)")</f>
        <v>ฉาก 6 หุน</v>
      </c>
      <c r="B27" s="273">
        <f>IF(B3="หลังคาเพิง",'คิดทุน หลังคา'!B12,'คิดทุน หลังคาจั่ว'!B12)</f>
        <v>1</v>
      </c>
      <c r="C27" s="258"/>
      <c r="D27" s="260">
        <f>IF(B3="หลังคาเพิง",'คิดทุน หลังคา'!D12,'คิดทุน หลังคาจั่ว'!D12)</f>
        <v>140</v>
      </c>
    </row>
    <row r="28" spans="1:4" x14ac:dyDescent="0.35">
      <c r="A28" s="256" t="str">
        <f>IF(B3="หลังคาเพิง","แซด 4 นิ้ว","แซด 4 นิ้ว (2 ชายคา)")</f>
        <v>แซด 4 นิ้ว</v>
      </c>
      <c r="B28" s="279">
        <f>IF(B3="หลังคาเพิง",'คิดทุน หลังคา'!B13,'คิดทุน หลังคาจั่ว'!B13)</f>
        <v>1</v>
      </c>
      <c r="C28" s="256"/>
      <c r="D28" s="257">
        <f>IF(B3="หลังคาเพิง",'คิดทุน หลังคา'!D13,'คิดทุน หลังคาจั่ว'!D13)</f>
        <v>140</v>
      </c>
    </row>
    <row r="29" spans="1:4" x14ac:dyDescent="0.35">
      <c r="A29" s="258" t="str">
        <f>IF(B3="หลังคาเพิง","กล่องเหล็ก 1x1 นิ้ว","กล่องเหล็ก 1x1 นิ้ว")</f>
        <v>กล่องเหล็ก 1x1 นิ้ว</v>
      </c>
      <c r="B29" s="273">
        <f>IF(B3="หลังคาเพิง",'คิดทุน หลังคา'!B14,'คิดทุน หลังคาจั่ว'!B14)</f>
        <v>5</v>
      </c>
      <c r="C29" s="258"/>
      <c r="D29" s="260">
        <f>IF(B3="หลังคาเพิง",'คิดทุน หลังคา'!D14,'คิดทุน หลังคาจั่ว'!D14)</f>
        <v>550</v>
      </c>
    </row>
    <row r="30" spans="1:4" x14ac:dyDescent="0.35">
      <c r="A30" s="256" t="str">
        <f>IF(B3="หลังคาเพิง","เพลทเหล็ก","เพลทเหล็ก")</f>
        <v>เพลทเหล็ก</v>
      </c>
      <c r="B30" s="279">
        <f>IF(B3="หลังคาเพิง",'คิดทุน หลังคา'!B15,'คิดทุน หลังคาจั่ว'!B15)</f>
        <v>10</v>
      </c>
      <c r="C30" s="256"/>
      <c r="D30" s="257">
        <f>IF(B3="หลังคาเพิง",'คิดทุน หลังคา'!D15,'คิดทุน หลังคาจั่ว'!D15)</f>
        <v>150</v>
      </c>
    </row>
    <row r="31" spans="1:4" x14ac:dyDescent="0.35">
      <c r="A31" s="258" t="str">
        <f>IF(B3="หลังคาเพิง","คาน 4x4 นิ้ว T","คาน 4x4 นิ้ว T")</f>
        <v>คาน 4x4 นิ้ว T</v>
      </c>
      <c r="B31" s="273" t="str">
        <f>IF(B3="หลังคาจั่ว",'คิดทุน หลังคาจั่ว'!B16,"")</f>
        <v/>
      </c>
      <c r="C31" s="258"/>
      <c r="D31" s="260">
        <f>IF(B3="หลังคาเพิง",0,'คิดทุน หลังคาจั่ว'!D16)</f>
        <v>0</v>
      </c>
    </row>
    <row r="32" spans="1:4" x14ac:dyDescent="0.35">
      <c r="A32" s="256" t="str">
        <f>IF(B3="หลังคาเพิง","แผ่นหลังคา","แผ่นหลังคา (x2 ด้าน)")</f>
        <v>แผ่นหลังคา</v>
      </c>
      <c r="B32" s="279" t="str">
        <f>IF(B4="ไวนิล",CEILING(B9/25,1)&amp;" แผ่น",IF(B4="ดีไลท์",CEILING(B9/100,1)&amp;" แผ่น",IF(B4="โพลีตัน",CEILING(B9/122,1)&amp;"×"&amp;ROUNDUP(B10/100,0)&amp;" แผ่น",IF(OR(B4="ชินโคร์ HC",B4="ชินโคร์ Sup",B4="กระจก 4+4",B4="กระจก 5+5"),ROUND(B9*B10/10000,1)&amp;" ตร.ม.",CEILING(B9/34,1)&amp;" แผ่น"))))</f>
        <v>16 แผ่น</v>
      </c>
      <c r="C32" s="256"/>
      <c r="D32" s="257">
        <f>IF(B3="หลังคาเพิง",'คิดทุน หลังคา'!D16,'คิดทุน หลังคาจั่ว'!D17)</f>
        <v>24640</v>
      </c>
    </row>
    <row r="33" spans="1:4" x14ac:dyDescent="0.35">
      <c r="A33" s="258" t="str">
        <f>IF(B3="หลังคาเพิง","ฝาครอบ","ฝาครอบ (x2 ด้าน)")</f>
        <v>ฝาครอบ</v>
      </c>
      <c r="B33" s="273" t="str">
        <f>IF(B4="ไวนิล",CEILING(B9/25,1)&amp;" เส้น",IF(B4="โพลีตัน",IF(B3="หลังคาเพิง",'คิดทุน หลังคา'!E2&amp;" เส้น",'คิดทุน หลังคาจั่ว'!E3&amp;" เส้น"),"—"))</f>
        <v>16 เส้น</v>
      </c>
      <c r="C33" s="258"/>
      <c r="D33" s="260">
        <f>IF(B3="หลังคาเพิง",'คิดทุน หลังคา'!D17,'คิดทุน หลังคาจั่ว'!D18)</f>
        <v>3920</v>
      </c>
    </row>
    <row r="34" spans="1:4" x14ac:dyDescent="0.35">
      <c r="A34" s="258"/>
      <c r="B34" s="273"/>
      <c r="C34" s="259"/>
      <c r="D34" s="260"/>
    </row>
    <row r="35" spans="1:4" x14ac:dyDescent="0.35">
      <c r="A35" s="266" t="str">
        <f>IF(B7="ใช่","ส่วนเลื่อน","")</f>
        <v/>
      </c>
      <c r="B35" s="267" t="str">
        <f>IF(B7="ใช่","จำนวน","")</f>
        <v/>
      </c>
      <c r="C35" s="267"/>
      <c r="D35" s="266" t="str">
        <f>IF(B7="ใช่","ทุน (บาท)","")</f>
        <v/>
      </c>
    </row>
    <row r="36" spans="1:4" x14ac:dyDescent="0.35">
      <c r="A36" s="271" t="str">
        <f>IF(B7="ใช่","จันทัน 1.6x4 นิ้ว (เลื่อน)","")</f>
        <v/>
      </c>
      <c r="B36" s="271" t="str">
        <f>IF(B7="ใช่",'คิดทุน หลังคาเลื่อน'!K2*B15,"")</f>
        <v/>
      </c>
      <c r="C36" s="268"/>
      <c r="D36" s="272" t="str">
        <f>IF(B7="ใช่",'คิดทุน หลังคาเลื่อน'!L2*B15,"")</f>
        <v/>
      </c>
    </row>
    <row r="37" spans="1:4" x14ac:dyDescent="0.35">
      <c r="A37" s="273" t="str">
        <f>IF(B7="ใช่","แป กล่อง (เลื่อน)","")</f>
        <v/>
      </c>
      <c r="B37" s="273" t="str">
        <f>IF(B7="ใช่",'คิดทุน หลังคาเลื่อน'!K3*B15,"")</f>
        <v/>
      </c>
      <c r="C37" s="258"/>
      <c r="D37" s="274" t="str">
        <f>IF(B7="ใช่",'คิดทุน หลังคาเลื่อน'!L3*B15,"")</f>
        <v/>
      </c>
    </row>
    <row r="38" spans="1:4" x14ac:dyDescent="0.35">
      <c r="A38" s="271" t="str">
        <f>IF(B7="ใช่","ฉาก 6 หุน (เลื่อน)","")</f>
        <v/>
      </c>
      <c r="B38" s="271" t="str">
        <f>IF(B7="ใช่",'คิดทุน หลังคาเลื่อน'!K4*B15,"")</f>
        <v/>
      </c>
      <c r="C38" s="268"/>
      <c r="D38" s="272" t="str">
        <f>IF(B7="ใช่",'คิดทุน หลังคาเลื่อน'!L4*B15,"")</f>
        <v/>
      </c>
    </row>
    <row r="39" spans="1:4" x14ac:dyDescent="0.35">
      <c r="A39" s="30" t="str">
        <f>IF(B7="ใช่","แซด 4 นิ้ว (เลื่อน)","")</f>
        <v/>
      </c>
      <c r="B39" s="30" t="str">
        <f>IF(B7="ใช่",'คิดทุน หลังคาเลื่อน'!K5*B15,"")</f>
        <v/>
      </c>
      <c r="D39" s="30" t="str">
        <f>IF(B7="ใช่",'คิดทุน หลังคาเลื่อน'!L5*B15,"")</f>
        <v/>
      </c>
    </row>
    <row r="40" spans="1:4" x14ac:dyDescent="0.35">
      <c r="A40" s="275" t="str">
        <f>IF(B7="ใช่","กล่องเหล็ก 1x1 นิ้ว (เลื่อน)","")</f>
        <v/>
      </c>
      <c r="B40" s="275" t="str">
        <f>IF(B7="ใช่",'คิดทุน หลังคาเลื่อน'!K6*B15,"")</f>
        <v/>
      </c>
      <c r="C40" s="269"/>
      <c r="D40" s="275" t="str">
        <f>IF(B7="ใช่",'คิดทุน หลังคาเลื่อน'!L6*B15,"")</f>
        <v/>
      </c>
    </row>
    <row r="41" spans="1:4" x14ac:dyDescent="0.35">
      <c r="A41" s="276" t="str">
        <f>IF(B7="ใช่","เพลทเหล็ก (เลื่อน)","")</f>
        <v/>
      </c>
      <c r="B41" s="276" t="str">
        <f>IF(B7="ใช่",'คิดทุน หลังคาเลื่อน'!K7*B15,"")</f>
        <v/>
      </c>
      <c r="C41" s="270"/>
      <c r="D41" s="277" t="str">
        <f>IF(B7="ใช่",'คิดทุน หลังคาเลื่อน'!L7*B15,"")</f>
        <v/>
      </c>
    </row>
    <row r="42" spans="1:4" x14ac:dyDescent="0.35">
      <c r="A42" s="273" t="str">
        <f>IF(B7="ใช่","แผ่นหลังคา (เลื่อน)","")</f>
        <v/>
      </c>
      <c r="B42" s="273" t="str">
        <f>IF(B7="ใช่",'คิดทุน หลังคาเลื่อน'!K8&amp;" (×"&amp;B15&amp;" บาน)","")</f>
        <v/>
      </c>
      <c r="C42" s="258"/>
      <c r="D42" s="274" t="str">
        <f>IF(B7="ใช่",'คิดทุน หลังคาเลื่อน'!L8*B15,"")</f>
        <v/>
      </c>
    </row>
    <row r="43" spans="1:4" x14ac:dyDescent="0.35">
      <c r="A43" s="30" t="str">
        <f>IF(B7="ใช่","ฝาครอบ (เลื่อน)","")</f>
        <v/>
      </c>
      <c r="B43" s="30" t="str">
        <f>IF(B7="ใช่","—","")</f>
        <v/>
      </c>
      <c r="D43" s="30" t="str">
        <f>IF(B7="ใช่",'คิดทุน หลังคาเลื่อน'!L9*B15,"")</f>
        <v/>
      </c>
    </row>
    <row r="44" spans="1:4" x14ac:dyDescent="0.35">
      <c r="A44" s="30" t="str">
        <f>IF(B7="ใช่","ราง (2 ฝั่ง)","")</f>
        <v/>
      </c>
      <c r="B44" s="30" t="str">
        <f>IF(B7="ใช่","—","")</f>
        <v/>
      </c>
      <c r="D44" s="30" t="str">
        <f>IF(B7="ใช่",'คิดทุน หลังคาเลื่อน'!D12,"")</f>
        <v/>
      </c>
    </row>
    <row r="45" spans="1:4" x14ac:dyDescent="0.35">
      <c r="A45" s="30" t="str">
        <f>IF(B7="ใช่","มอเตอร์","")</f>
        <v/>
      </c>
      <c r="B45" s="30" t="str">
        <f>IF(B7="ใช่","—","")</f>
        <v/>
      </c>
      <c r="D45" s="30" t="str">
        <f>IF(B7="ใช่",'คิดทุน หลังคาเลื่อน'!D13,"")</f>
        <v/>
      </c>
    </row>
    <row r="47" spans="1:4" x14ac:dyDescent="0.35">
      <c r="A47" s="278" t="s">
        <v>2014</v>
      </c>
      <c r="D47" s="278" t="s">
        <v>1377</v>
      </c>
    </row>
    <row r="48" spans="1:4" x14ac:dyDescent="0.35">
      <c r="A48" s="30" t="s">
        <v>711</v>
      </c>
      <c r="D48" s="30">
        <f>IF(B7="ใช่",'คิดทุน หลังคาเลื่อน'!D14,IF(B3="หลังคาเพิง",'คิดทุน หลังคา'!D18,'คิดทุน หลังคาจั่ว'!D19))</f>
        <v>651.20000000000005</v>
      </c>
    </row>
    <row r="49" spans="1:4" x14ac:dyDescent="0.35">
      <c r="A49" s="30" t="s">
        <v>654</v>
      </c>
      <c r="D49" s="30">
        <f>IF(B7="ใช่",'คิดทุน หลังคาเลื่อน'!D15,IF(B3="หลังคาเพิง",'คิดทุน หลังคา'!D19,'คิดทุน หลังคาจั่ว'!D20))</f>
        <v>651.20000000000005</v>
      </c>
    </row>
  </sheetData>
  <mergeCells count="2">
    <mergeCell ref="A1:D1"/>
    <mergeCell ref="A2:D2"/>
  </mergeCells>
  <dataValidations count="7">
    <dataValidation type="list" allowBlank="1" sqref="B4" xr:uid="{00000000-0002-0000-2100-000000000000}">
      <formula1>"ไวนิล,โพลีตัน,ดีไลท์,ชินโคร์ HC,ชินโคร์ Sup,เมทัลชีท,กระจก 4+4,กระจก 5+5"</formula1>
    </dataValidation>
    <dataValidation type="list" allowBlank="1" sqref="B5" xr:uid="{00000000-0002-0000-2100-000001000000}">
      <formula1>"แปเดี่ยว,แปคู่"</formula1>
    </dataValidation>
    <dataValidation type="list" allowBlank="1" sqref="B6" xr:uid="{00000000-0002-0000-2100-000002000000}">
      <formula1>"ยื่นปลาย,ปิดปลาย,รางน้ำอลู,รางน้ำสแตน M,รางน้ำสแตน L"</formula1>
    </dataValidation>
    <dataValidation type="list" sqref="B3" xr:uid="{00000000-0002-0000-2100-000003000000}">
      <formula1>"หลังคาเพิง,หลังคาจั่ว"</formula1>
    </dataValidation>
    <dataValidation type="list" sqref="B7" xr:uid="{00000000-0002-0000-2100-000004000000}">
      <formula1>"ใช่,ไม่"</formula1>
    </dataValidation>
    <dataValidation type="list" allowBlank="1" sqref="B13" xr:uid="{00000000-0002-0000-2100-000005000000}">
      <formula1>"เลื่อนยื่น,เลื่อนข้าง,เลื่อนเปิดกลาง"</formula1>
    </dataValidation>
    <dataValidation type="list" allowBlank="1" showErrorMessage="1" errorTitle="ข้อมูลไม่ถูกต้อง" error="เลือกเฉพาะรุ่นที่ระบุ" sqref="B14" xr:uid="{00000000-0002-0000-2100-000006000000}">
      <formula1>"ยก 80 กก.,ยก 300 กก.,ยก 1500 กก."</formula1>
    </dataValidation>
  </dataValidations>
  <hyperlinks>
    <hyperlink ref="G1" location="'สารบัญ'!A1" display="🏠 สารบัญ" xr:uid="{00000000-0004-0000-2100-000000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AD47"/>
  </sheetPr>
  <dimension ref="A1:H32"/>
  <sheetViews>
    <sheetView workbookViewId="0"/>
  </sheetViews>
  <sheetFormatPr defaultRowHeight="14.5" x14ac:dyDescent="0.35"/>
  <cols>
    <col min="1" max="2" width="46" customWidth="1"/>
    <col min="3" max="3" width="11" customWidth="1"/>
    <col min="4" max="4" width="9.453125" customWidth="1"/>
    <col min="5" max="5" width="46" customWidth="1"/>
    <col min="6" max="6" width="17.453125" customWidth="1"/>
    <col min="7" max="7" width="46" customWidth="1"/>
  </cols>
  <sheetData>
    <row r="1" spans="1:8" ht="16" x14ac:dyDescent="0.35">
      <c r="A1" s="449" t="s">
        <v>2015</v>
      </c>
      <c r="B1" s="411"/>
      <c r="C1" s="411"/>
      <c r="D1" s="411"/>
      <c r="E1" s="411"/>
      <c r="F1" s="411"/>
      <c r="G1" s="388" t="s">
        <v>78</v>
      </c>
      <c r="H1" s="394"/>
    </row>
    <row r="3" spans="1:8" x14ac:dyDescent="0.35">
      <c r="A3" s="448" t="s">
        <v>2016</v>
      </c>
      <c r="B3" s="411"/>
      <c r="C3" s="411"/>
      <c r="D3" s="411"/>
      <c r="E3" s="411"/>
      <c r="F3" s="411"/>
      <c r="G3" s="411"/>
    </row>
    <row r="4" spans="1:8" x14ac:dyDescent="0.35">
      <c r="B4" s="195" t="s">
        <v>2017</v>
      </c>
      <c r="C4" s="196">
        <v>5</v>
      </c>
      <c r="D4" s="197" t="s">
        <v>2018</v>
      </c>
      <c r="E4" s="198" t="s">
        <v>2019</v>
      </c>
    </row>
    <row r="5" spans="1:8" x14ac:dyDescent="0.35">
      <c r="B5" s="195" t="s">
        <v>2020</v>
      </c>
      <c r="C5" s="196">
        <v>6</v>
      </c>
      <c r="D5" s="197" t="s">
        <v>2018</v>
      </c>
      <c r="E5" s="198" t="s">
        <v>2019</v>
      </c>
    </row>
    <row r="6" spans="1:8" x14ac:dyDescent="0.35">
      <c r="B6" s="195" t="s">
        <v>2021</v>
      </c>
      <c r="C6" s="199">
        <f>C4*C5</f>
        <v>30</v>
      </c>
      <c r="D6" s="197" t="s">
        <v>621</v>
      </c>
      <c r="E6" s="198" t="s">
        <v>2022</v>
      </c>
    </row>
    <row r="7" spans="1:8" x14ac:dyDescent="0.35">
      <c r="B7" s="195" t="s">
        <v>2023</v>
      </c>
      <c r="C7" s="199">
        <f>2*(C4+C5)</f>
        <v>22</v>
      </c>
      <c r="D7" s="197" t="s">
        <v>2018</v>
      </c>
      <c r="E7" s="198" t="s">
        <v>2024</v>
      </c>
    </row>
    <row r="8" spans="1:8" x14ac:dyDescent="0.35">
      <c r="B8" s="195" t="s">
        <v>2025</v>
      </c>
      <c r="C8" s="196" t="s">
        <v>2026</v>
      </c>
      <c r="E8" s="198" t="s">
        <v>2027</v>
      </c>
    </row>
    <row r="10" spans="1:8" x14ac:dyDescent="0.35">
      <c r="A10" s="448" t="s">
        <v>2028</v>
      </c>
      <c r="B10" s="411"/>
      <c r="C10" s="411"/>
      <c r="D10" s="411"/>
      <c r="E10" s="411"/>
      <c r="F10" s="411"/>
      <c r="G10" s="411"/>
    </row>
    <row r="11" spans="1:8" x14ac:dyDescent="0.35">
      <c r="B11" s="200" t="s">
        <v>1633</v>
      </c>
      <c r="C11" s="200" t="s">
        <v>1255</v>
      </c>
      <c r="D11" s="200" t="s">
        <v>483</v>
      </c>
      <c r="E11" s="200" t="s">
        <v>1256</v>
      </c>
      <c r="F11" s="200" t="s">
        <v>2029</v>
      </c>
      <c r="G11" s="200" t="s">
        <v>587</v>
      </c>
    </row>
    <row r="12" spans="1:8" x14ac:dyDescent="0.35">
      <c r="B12" s="201" t="s">
        <v>2030</v>
      </c>
      <c r="C12" s="202">
        <f>CEILING($C$6*1.1/2.88,1)</f>
        <v>12</v>
      </c>
      <c r="D12" s="203" t="s">
        <v>487</v>
      </c>
      <c r="E12" s="204">
        <f>ราคางานเสริม!$D$5</f>
        <v>284</v>
      </c>
      <c r="F12" s="205">
        <f t="shared" ref="F12:F22" si="0">C12*E12</f>
        <v>3408</v>
      </c>
      <c r="G12" s="198" t="s">
        <v>2031</v>
      </c>
    </row>
    <row r="13" spans="1:8" x14ac:dyDescent="0.35">
      <c r="B13" s="201" t="s">
        <v>2032</v>
      </c>
      <c r="C13" s="202">
        <f>CEILING($C$6*2.5/4,1)</f>
        <v>19</v>
      </c>
      <c r="D13" s="203" t="s">
        <v>489</v>
      </c>
      <c r="E13" s="204">
        <f>ราคางานเสริม!$D$6</f>
        <v>50</v>
      </c>
      <c r="F13" s="205">
        <f t="shared" si="0"/>
        <v>950</v>
      </c>
      <c r="G13" s="198" t="s">
        <v>2033</v>
      </c>
    </row>
    <row r="14" spans="1:8" x14ac:dyDescent="0.35">
      <c r="B14" s="201" t="s">
        <v>2034</v>
      </c>
      <c r="C14" s="202">
        <f>CEILING($C$6*1/4,1)</f>
        <v>8</v>
      </c>
      <c r="D14" s="203" t="s">
        <v>489</v>
      </c>
      <c r="E14" s="204">
        <f>ราคางานเสริม!$D$7</f>
        <v>50</v>
      </c>
      <c r="F14" s="205">
        <f t="shared" si="0"/>
        <v>400</v>
      </c>
      <c r="G14" s="198" t="s">
        <v>2035</v>
      </c>
    </row>
    <row r="15" spans="1:8" x14ac:dyDescent="0.35">
      <c r="B15" s="201" t="s">
        <v>2036</v>
      </c>
      <c r="C15" s="202">
        <f>CEILING($C$6*1*0.3/4,1)</f>
        <v>3</v>
      </c>
      <c r="D15" s="203" t="s">
        <v>489</v>
      </c>
      <c r="E15" s="204">
        <f>ราคางานเสริม!$D$8</f>
        <v>50</v>
      </c>
      <c r="F15" s="205">
        <f t="shared" si="0"/>
        <v>150</v>
      </c>
      <c r="G15" s="198" t="s">
        <v>2037</v>
      </c>
    </row>
    <row r="16" spans="1:8" x14ac:dyDescent="0.35">
      <c r="B16" s="201" t="s">
        <v>2038</v>
      </c>
      <c r="C16" s="202">
        <f>CEILING($C$6*15,1)</f>
        <v>450</v>
      </c>
      <c r="D16" s="203" t="s">
        <v>493</v>
      </c>
      <c r="E16" s="206">
        <f>ราคางานเสริม!$D$9</f>
        <v>0.5</v>
      </c>
      <c r="F16" s="205">
        <f t="shared" si="0"/>
        <v>225</v>
      </c>
      <c r="G16" s="198" t="s">
        <v>2039</v>
      </c>
    </row>
    <row r="17" spans="1:7" x14ac:dyDescent="0.35">
      <c r="B17" s="201" t="s">
        <v>2040</v>
      </c>
      <c r="C17" s="202">
        <f>CEILING($C$6*5,1)</f>
        <v>150</v>
      </c>
      <c r="D17" s="203" t="s">
        <v>493</v>
      </c>
      <c r="E17" s="206">
        <f>ราคางานเสริม!$D$10</f>
        <v>0.5</v>
      </c>
      <c r="F17" s="205">
        <f t="shared" si="0"/>
        <v>75</v>
      </c>
      <c r="G17" s="198" t="s">
        <v>2041</v>
      </c>
    </row>
    <row r="18" spans="1:7" x14ac:dyDescent="0.35">
      <c r="B18" s="201" t="s">
        <v>2042</v>
      </c>
      <c r="C18" s="202">
        <f>CEILING($C$6*0.5/50,1)</f>
        <v>1</v>
      </c>
      <c r="D18" s="203" t="s">
        <v>496</v>
      </c>
      <c r="E18" s="204">
        <f>ราคางานเสริม!$D$11</f>
        <v>240</v>
      </c>
      <c r="F18" s="205">
        <f t="shared" si="0"/>
        <v>240</v>
      </c>
      <c r="G18" s="198" t="s">
        <v>2043</v>
      </c>
    </row>
    <row r="19" spans="1:7" x14ac:dyDescent="0.35">
      <c r="B19" s="201" t="s">
        <v>2044</v>
      </c>
      <c r="C19" s="202">
        <f>CEILING($C$6/60,1)</f>
        <v>1</v>
      </c>
      <c r="D19" s="203" t="s">
        <v>498</v>
      </c>
      <c r="E19" s="204">
        <f>ราคางานเสริม!$D$12</f>
        <v>70</v>
      </c>
      <c r="F19" s="205">
        <f t="shared" si="0"/>
        <v>70</v>
      </c>
      <c r="G19" s="198" t="s">
        <v>2045</v>
      </c>
    </row>
    <row r="20" spans="1:7" x14ac:dyDescent="0.35">
      <c r="B20" s="201" t="s">
        <v>2046</v>
      </c>
      <c r="C20" s="202">
        <f>CEILING($C$7/6,1)</f>
        <v>4</v>
      </c>
      <c r="D20" s="203" t="s">
        <v>489</v>
      </c>
      <c r="E20" s="204">
        <f>ราคางานเสริม!$D$13</f>
        <v>70</v>
      </c>
      <c r="F20" s="205">
        <f t="shared" si="0"/>
        <v>280</v>
      </c>
      <c r="G20" s="198" t="s">
        <v>2047</v>
      </c>
    </row>
    <row r="21" spans="1:7" x14ac:dyDescent="0.35">
      <c r="B21" s="201" t="s">
        <v>2048</v>
      </c>
      <c r="C21" s="202">
        <f>IF($C$8="ใส่",CEILING($C$6/0.72,1),0)</f>
        <v>0</v>
      </c>
      <c r="D21" s="203" t="s">
        <v>487</v>
      </c>
      <c r="E21" s="204">
        <f>ราคางานเสริม!$D$14</f>
        <v>130</v>
      </c>
      <c r="F21" s="205">
        <f t="shared" si="0"/>
        <v>0</v>
      </c>
      <c r="G21" s="198" t="s">
        <v>2049</v>
      </c>
    </row>
    <row r="22" spans="1:7" x14ac:dyDescent="0.35">
      <c r="B22" s="201" t="s">
        <v>2050</v>
      </c>
      <c r="C22" s="202">
        <f>$C$6</f>
        <v>30</v>
      </c>
      <c r="D22" s="203" t="s">
        <v>621</v>
      </c>
      <c r="E22" s="204">
        <f>ค่าแรง!$C$32</f>
        <v>280</v>
      </c>
      <c r="F22" s="205">
        <f t="shared" si="0"/>
        <v>8400</v>
      </c>
      <c r="G22" s="198" t="s">
        <v>2051</v>
      </c>
    </row>
    <row r="23" spans="1:7" ht="15" x14ac:dyDescent="0.35">
      <c r="B23" s="207" t="s">
        <v>2052</v>
      </c>
      <c r="F23" s="208">
        <f>SUM(F12:F22)</f>
        <v>14198</v>
      </c>
    </row>
    <row r="25" spans="1:7" x14ac:dyDescent="0.35">
      <c r="A25" s="448" t="s">
        <v>2053</v>
      </c>
      <c r="B25" s="411"/>
      <c r="C25" s="411"/>
      <c r="D25" s="411"/>
      <c r="E25" s="411"/>
      <c r="F25" s="411"/>
      <c r="G25" s="411"/>
    </row>
    <row r="26" spans="1:7" x14ac:dyDescent="0.35">
      <c r="B26" s="209" t="s">
        <v>2054</v>
      </c>
      <c r="F26" s="210">
        <f>IF($C$6=0,0,F23/$C$6)</f>
        <v>473.26666666666665</v>
      </c>
      <c r="G26" s="198" t="s">
        <v>2055</v>
      </c>
    </row>
    <row r="27" spans="1:7" ht="15" x14ac:dyDescent="0.35">
      <c r="B27" s="209" t="s">
        <v>2056</v>
      </c>
      <c r="F27" s="211">
        <f>F23*2</f>
        <v>28396</v>
      </c>
      <c r="G27" s="198" t="s">
        <v>2057</v>
      </c>
    </row>
    <row r="28" spans="1:7" x14ac:dyDescent="0.35">
      <c r="B28" s="209" t="s">
        <v>2058</v>
      </c>
      <c r="F28" s="212">
        <f>F27-F23</f>
        <v>14198</v>
      </c>
      <c r="G28" s="198" t="s">
        <v>2059</v>
      </c>
    </row>
    <row r="29" spans="1:7" x14ac:dyDescent="0.35">
      <c r="B29" s="209" t="s">
        <v>2060</v>
      </c>
      <c r="F29" s="210">
        <f>MAX(12000,$C$6*IF($C$6&gt;20,1150,1200))+IF($C$8="ใส่",600*$C$6,0)</f>
        <v>34500</v>
      </c>
      <c r="G29" s="198" t="s">
        <v>2061</v>
      </c>
    </row>
    <row r="30" spans="1:7" x14ac:dyDescent="0.35">
      <c r="B30" s="209" t="s">
        <v>2062</v>
      </c>
      <c r="F30" s="213">
        <f>IF(F23=0,0,(F29-F23)/F23)</f>
        <v>1.4299197070009861</v>
      </c>
      <c r="G30" s="198" t="s">
        <v>2063</v>
      </c>
    </row>
    <row r="32" spans="1:7" x14ac:dyDescent="0.35">
      <c r="A32" s="447" t="s">
        <v>2064</v>
      </c>
      <c r="B32" s="411"/>
      <c r="C32" s="411"/>
      <c r="D32" s="411"/>
      <c r="E32" s="411"/>
      <c r="F32" s="411"/>
      <c r="G32" s="411"/>
    </row>
  </sheetData>
  <mergeCells count="5">
    <mergeCell ref="A32:G32"/>
    <mergeCell ref="A3:G3"/>
    <mergeCell ref="A1:F1"/>
    <mergeCell ref="A25:G25"/>
    <mergeCell ref="A10:G10"/>
  </mergeCells>
  <dataValidations count="1">
    <dataValidation type="list" sqref="C8" xr:uid="{00000000-0002-0000-2200-000000000000}">
      <formula1>"ใส่,ไม่ใส่"</formula1>
    </dataValidation>
  </dataValidations>
  <hyperlinks>
    <hyperlink ref="G1" location="'สารบัญ'!A1" display="🏠 สารบัญ" xr:uid="{00000000-0004-0000-2200-000000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AD47"/>
  </sheetPr>
  <dimension ref="A1:H28"/>
  <sheetViews>
    <sheetView workbookViewId="0"/>
  </sheetViews>
  <sheetFormatPr defaultRowHeight="14.5" x14ac:dyDescent="0.35"/>
  <cols>
    <col min="1" max="2" width="46" customWidth="1"/>
    <col min="3" max="3" width="11" customWidth="1"/>
    <col min="4" max="4" width="9.453125" customWidth="1"/>
    <col min="5" max="5" width="39.453125" customWidth="1"/>
    <col min="6" max="6" width="17.453125" customWidth="1"/>
    <col min="7" max="7" width="46" customWidth="1"/>
  </cols>
  <sheetData>
    <row r="1" spans="1:8" ht="16" x14ac:dyDescent="0.35">
      <c r="A1" s="449" t="s">
        <v>2065</v>
      </c>
      <c r="B1" s="411"/>
      <c r="C1" s="411"/>
      <c r="D1" s="411"/>
      <c r="E1" s="411"/>
      <c r="F1" s="411"/>
      <c r="G1" s="388" t="s">
        <v>78</v>
      </c>
      <c r="H1" s="394"/>
    </row>
    <row r="3" spans="1:8" x14ac:dyDescent="0.35">
      <c r="A3" s="448" t="s">
        <v>2016</v>
      </c>
      <c r="B3" s="411"/>
      <c r="C3" s="411"/>
      <c r="D3" s="411"/>
      <c r="E3" s="411"/>
      <c r="F3" s="411"/>
      <c r="G3" s="411"/>
    </row>
    <row r="4" spans="1:8" x14ac:dyDescent="0.35">
      <c r="B4" s="195" t="s">
        <v>502</v>
      </c>
      <c r="C4" s="196">
        <v>10</v>
      </c>
      <c r="D4" s="197" t="s">
        <v>505</v>
      </c>
      <c r="E4" s="198" t="s">
        <v>2066</v>
      </c>
    </row>
    <row r="5" spans="1:8" x14ac:dyDescent="0.35">
      <c r="B5" s="195" t="s">
        <v>2067</v>
      </c>
      <c r="C5" s="196">
        <v>6</v>
      </c>
      <c r="D5" s="197" t="s">
        <v>505</v>
      </c>
      <c r="E5" s="198" t="s">
        <v>2066</v>
      </c>
    </row>
    <row r="6" spans="1:8" x14ac:dyDescent="0.35">
      <c r="B6" s="195" t="s">
        <v>2068</v>
      </c>
      <c r="C6" s="196">
        <v>4</v>
      </c>
      <c r="D6" s="197" t="s">
        <v>505</v>
      </c>
      <c r="E6" s="198" t="s">
        <v>2066</v>
      </c>
    </row>
    <row r="7" spans="1:8" x14ac:dyDescent="0.35">
      <c r="B7" s="195" t="s">
        <v>2069</v>
      </c>
      <c r="C7" s="196">
        <v>80</v>
      </c>
      <c r="D7" s="197" t="s">
        <v>510</v>
      </c>
      <c r="E7" s="198" t="s">
        <v>2070</v>
      </c>
    </row>
    <row r="8" spans="1:8" x14ac:dyDescent="0.35">
      <c r="B8" s="195" t="s">
        <v>2071</v>
      </c>
      <c r="C8" s="196">
        <v>100</v>
      </c>
      <c r="D8" s="197" t="s">
        <v>2072</v>
      </c>
      <c r="E8" s="198" t="s">
        <v>2073</v>
      </c>
    </row>
    <row r="10" spans="1:8" x14ac:dyDescent="0.35">
      <c r="A10" s="448" t="s">
        <v>2074</v>
      </c>
      <c r="B10" s="411"/>
      <c r="C10" s="411"/>
      <c r="D10" s="411"/>
      <c r="E10" s="411"/>
      <c r="F10" s="411"/>
      <c r="G10" s="411"/>
    </row>
    <row r="11" spans="1:8" x14ac:dyDescent="0.35">
      <c r="B11" s="200" t="s">
        <v>1633</v>
      </c>
      <c r="C11" s="200" t="s">
        <v>1255</v>
      </c>
      <c r="D11" s="200" t="s">
        <v>483</v>
      </c>
      <c r="E11" s="200" t="s">
        <v>1256</v>
      </c>
      <c r="F11" s="200" t="s">
        <v>2029</v>
      </c>
      <c r="G11" s="200" t="s">
        <v>587</v>
      </c>
    </row>
    <row r="12" spans="1:8" x14ac:dyDescent="0.35">
      <c r="B12" s="201" t="s">
        <v>502</v>
      </c>
      <c r="C12" s="202">
        <f>$C$4</f>
        <v>10</v>
      </c>
      <c r="D12" s="203" t="s">
        <v>503</v>
      </c>
      <c r="E12" s="204">
        <f>ราคางานเสริม!$D$17</f>
        <v>117</v>
      </c>
      <c r="F12" s="205">
        <f t="shared" ref="F12:F20" si="0">C12*E12</f>
        <v>1170</v>
      </c>
      <c r="G12" s="198" t="s">
        <v>2075</v>
      </c>
    </row>
    <row r="13" spans="1:8" x14ac:dyDescent="0.35">
      <c r="B13" s="201" t="s">
        <v>2076</v>
      </c>
      <c r="C13" s="202">
        <f>$C$5</f>
        <v>6</v>
      </c>
      <c r="D13" s="203" t="s">
        <v>505</v>
      </c>
      <c r="E13" s="204">
        <f>ราคางานเสริม!$D$18</f>
        <v>105</v>
      </c>
      <c r="F13" s="205">
        <f t="shared" si="0"/>
        <v>630</v>
      </c>
      <c r="G13" s="198" t="s">
        <v>2077</v>
      </c>
    </row>
    <row r="14" spans="1:8" x14ac:dyDescent="0.35">
      <c r="B14" s="201" t="s">
        <v>2078</v>
      </c>
      <c r="C14" s="202">
        <f>$C$6</f>
        <v>4</v>
      </c>
      <c r="D14" s="203" t="s">
        <v>505</v>
      </c>
      <c r="E14" s="204">
        <f>ราคางานเสริม!$D$19</f>
        <v>45</v>
      </c>
      <c r="F14" s="205">
        <f t="shared" si="0"/>
        <v>180</v>
      </c>
      <c r="G14" s="198" t="s">
        <v>2079</v>
      </c>
    </row>
    <row r="15" spans="1:8" x14ac:dyDescent="0.35">
      <c r="B15" s="201" t="s">
        <v>2080</v>
      </c>
      <c r="C15" s="202">
        <f>$C$5+$C$6</f>
        <v>10</v>
      </c>
      <c r="D15" s="203" t="s">
        <v>508</v>
      </c>
      <c r="E15" s="204">
        <f>ราคางานเสริม!$D$20</f>
        <v>35</v>
      </c>
      <c r="F15" s="205">
        <f t="shared" si="0"/>
        <v>350</v>
      </c>
      <c r="G15" s="198" t="s">
        <v>2081</v>
      </c>
    </row>
    <row r="16" spans="1:8" x14ac:dyDescent="0.35">
      <c r="B16" s="201" t="s">
        <v>509</v>
      </c>
      <c r="C16" s="202">
        <f>$C$7</f>
        <v>80</v>
      </c>
      <c r="D16" s="203" t="s">
        <v>510</v>
      </c>
      <c r="E16" s="204">
        <f>ราคางานเสริม!$D$21</f>
        <v>25</v>
      </c>
      <c r="F16" s="205">
        <f t="shared" si="0"/>
        <v>2000</v>
      </c>
      <c r="G16" s="198" t="s">
        <v>2082</v>
      </c>
    </row>
    <row r="17" spans="1:7" x14ac:dyDescent="0.35">
      <c r="B17" s="201" t="s">
        <v>2083</v>
      </c>
      <c r="C17" s="202">
        <f>$C$7</f>
        <v>80</v>
      </c>
      <c r="D17" s="203" t="s">
        <v>510</v>
      </c>
      <c r="E17" s="206">
        <f>ราคางานเสริม!$D$22</f>
        <v>6.666666666666667</v>
      </c>
      <c r="F17" s="205">
        <f t="shared" si="0"/>
        <v>533.33333333333337</v>
      </c>
      <c r="G17" s="198" t="s">
        <v>2084</v>
      </c>
    </row>
    <row r="18" spans="1:7" x14ac:dyDescent="0.35">
      <c r="B18" s="201" t="s">
        <v>2085</v>
      </c>
      <c r="C18" s="202">
        <f>1</f>
        <v>1</v>
      </c>
      <c r="D18" s="203" t="s">
        <v>481</v>
      </c>
      <c r="E18" s="204">
        <f>ราคางานเสริม!$D$23</f>
        <v>400</v>
      </c>
      <c r="F18" s="205">
        <f t="shared" si="0"/>
        <v>400</v>
      </c>
      <c r="G18" s="198" t="s">
        <v>2086</v>
      </c>
    </row>
    <row r="19" spans="1:7" x14ac:dyDescent="0.35">
      <c r="B19" s="214" t="s">
        <v>2087</v>
      </c>
      <c r="C19" s="202">
        <f>$C$7</f>
        <v>80</v>
      </c>
      <c r="D19" s="203" t="s">
        <v>510</v>
      </c>
      <c r="E19" s="204">
        <f>ค่าแรง!$B$36</f>
        <v>90</v>
      </c>
      <c r="F19" s="205">
        <f t="shared" si="0"/>
        <v>7200</v>
      </c>
      <c r="G19" s="198" t="s">
        <v>2088</v>
      </c>
    </row>
    <row r="20" spans="1:7" x14ac:dyDescent="0.35">
      <c r="B20" s="214" t="s">
        <v>2089</v>
      </c>
      <c r="C20" s="202">
        <f>$C$4</f>
        <v>10</v>
      </c>
      <c r="D20" s="203" t="s">
        <v>503</v>
      </c>
      <c r="E20" s="204">
        <f>ค่าแรง!$B$37</f>
        <v>90</v>
      </c>
      <c r="F20" s="205">
        <f t="shared" si="0"/>
        <v>900</v>
      </c>
      <c r="G20" s="198" t="s">
        <v>2090</v>
      </c>
    </row>
    <row r="21" spans="1:7" ht="15" x14ac:dyDescent="0.35">
      <c r="B21" s="207" t="s">
        <v>2052</v>
      </c>
      <c r="F21" s="208">
        <f>SUM(F12:F20)</f>
        <v>13363.333333333332</v>
      </c>
    </row>
    <row r="23" spans="1:7" x14ac:dyDescent="0.35">
      <c r="A23" s="448" t="s">
        <v>2091</v>
      </c>
      <c r="B23" s="411"/>
      <c r="C23" s="411"/>
      <c r="D23" s="411"/>
      <c r="E23" s="411"/>
      <c r="F23" s="411"/>
      <c r="G23" s="411"/>
    </row>
    <row r="24" spans="1:7" x14ac:dyDescent="0.35">
      <c r="B24" s="209" t="s">
        <v>2092</v>
      </c>
      <c r="F24" s="210">
        <f>F19+F20</f>
        <v>8100</v>
      </c>
      <c r="G24" s="198" t="s">
        <v>2093</v>
      </c>
    </row>
    <row r="25" spans="1:7" ht="15" x14ac:dyDescent="0.35">
      <c r="B25" s="209" t="s">
        <v>2094</v>
      </c>
      <c r="F25" s="211">
        <f>F21*(1+$C$8/100)</f>
        <v>26726.666666666664</v>
      </c>
      <c r="G25" s="198" t="s">
        <v>2095</v>
      </c>
    </row>
    <row r="26" spans="1:7" x14ac:dyDescent="0.35">
      <c r="B26" s="209" t="s">
        <v>2058</v>
      </c>
      <c r="F26" s="212">
        <f>F25-F21</f>
        <v>13363.333333333332</v>
      </c>
    </row>
    <row r="28" spans="1:7" x14ac:dyDescent="0.35">
      <c r="A28" s="447" t="s">
        <v>2096</v>
      </c>
      <c r="B28" s="411"/>
      <c r="C28" s="411"/>
      <c r="D28" s="411"/>
      <c r="E28" s="411"/>
      <c r="F28" s="411"/>
      <c r="G28" s="411"/>
    </row>
  </sheetData>
  <mergeCells count="5">
    <mergeCell ref="A3:G3"/>
    <mergeCell ref="A1:F1"/>
    <mergeCell ref="A10:G10"/>
    <mergeCell ref="A28:G28"/>
    <mergeCell ref="A23:G23"/>
  </mergeCells>
  <hyperlinks>
    <hyperlink ref="G1" location="'สารบัญ'!A1" display="🏠 สารบัญ" xr:uid="{00000000-0004-0000-2300-000000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H32"/>
  <sheetViews>
    <sheetView workbookViewId="0"/>
  </sheetViews>
  <sheetFormatPr defaultRowHeight="14.5" x14ac:dyDescent="0.35"/>
  <cols>
    <col min="1" max="2" width="46" customWidth="1"/>
    <col min="3" max="3" width="11" customWidth="1"/>
    <col min="4" max="4" width="9.453125" customWidth="1"/>
    <col min="5" max="5" width="46" customWidth="1"/>
    <col min="6" max="6" width="17.453125" customWidth="1"/>
    <col min="7" max="7" width="46" customWidth="1"/>
  </cols>
  <sheetData>
    <row r="1" spans="1:8" ht="16" x14ac:dyDescent="0.35">
      <c r="A1" s="449" t="s">
        <v>2097</v>
      </c>
      <c r="B1" s="411"/>
      <c r="C1" s="411"/>
      <c r="D1" s="411"/>
      <c r="E1" s="411"/>
      <c r="F1" s="411"/>
      <c r="G1" s="388" t="s">
        <v>78</v>
      </c>
      <c r="H1" s="394"/>
    </row>
    <row r="3" spans="1:8" x14ac:dyDescent="0.35">
      <c r="A3" s="448" t="s">
        <v>2016</v>
      </c>
      <c r="B3" s="411"/>
      <c r="C3" s="411"/>
      <c r="D3" s="411"/>
      <c r="E3" s="411"/>
      <c r="F3" s="411"/>
      <c r="G3" s="411"/>
    </row>
    <row r="4" spans="1:8" x14ac:dyDescent="0.35">
      <c r="B4" s="195" t="s">
        <v>2098</v>
      </c>
      <c r="C4" s="196">
        <v>3</v>
      </c>
      <c r="D4" s="197" t="s">
        <v>2018</v>
      </c>
      <c r="E4" s="198" t="s">
        <v>2019</v>
      </c>
    </row>
    <row r="5" spans="1:8" x14ac:dyDescent="0.35">
      <c r="B5" s="195" t="s">
        <v>2099</v>
      </c>
      <c r="C5" s="196">
        <v>2.7</v>
      </c>
      <c r="D5" s="197" t="s">
        <v>2018</v>
      </c>
      <c r="E5" s="198" t="s">
        <v>2019</v>
      </c>
    </row>
    <row r="6" spans="1:8" x14ac:dyDescent="0.35">
      <c r="B6" s="195" t="s">
        <v>2100</v>
      </c>
      <c r="C6" s="199">
        <f>C4*C5</f>
        <v>8.1000000000000014</v>
      </c>
      <c r="D6" s="197" t="s">
        <v>621</v>
      </c>
      <c r="E6" s="198" t="s">
        <v>2101</v>
      </c>
    </row>
    <row r="7" spans="1:8" x14ac:dyDescent="0.35">
      <c r="B7" s="195" t="s">
        <v>2102</v>
      </c>
      <c r="C7" s="196" t="s">
        <v>1629</v>
      </c>
      <c r="E7" s="198" t="s">
        <v>2103</v>
      </c>
    </row>
    <row r="9" spans="1:8" x14ac:dyDescent="0.35">
      <c r="A9" s="448" t="s">
        <v>2104</v>
      </c>
      <c r="B9" s="411"/>
      <c r="C9" s="411"/>
      <c r="D9" s="411"/>
      <c r="E9" s="411"/>
      <c r="F9" s="411"/>
      <c r="G9" s="411"/>
    </row>
    <row r="10" spans="1:8" x14ac:dyDescent="0.35">
      <c r="B10" s="200" t="s">
        <v>1633</v>
      </c>
      <c r="C10" s="200" t="s">
        <v>1255</v>
      </c>
      <c r="D10" s="200" t="s">
        <v>483</v>
      </c>
      <c r="E10" s="200" t="s">
        <v>1256</v>
      </c>
      <c r="F10" s="200" t="s">
        <v>2029</v>
      </c>
      <c r="G10" s="200" t="s">
        <v>587</v>
      </c>
    </row>
    <row r="11" spans="1:8" x14ac:dyDescent="0.35">
      <c r="B11" s="201" t="s">
        <v>2105</v>
      </c>
      <c r="C11" s="202">
        <f>CEILING($C$6*2*1.1/2.88,1)</f>
        <v>7</v>
      </c>
      <c r="D11" s="203" t="s">
        <v>487</v>
      </c>
      <c r="E11" s="204">
        <f>ราคางานเสริม!$D$26</f>
        <v>500</v>
      </c>
      <c r="F11" s="205">
        <f t="shared" ref="F11:F21" si="0">C11*E11</f>
        <v>3500</v>
      </c>
      <c r="G11" s="198" t="s">
        <v>2106</v>
      </c>
    </row>
    <row r="12" spans="1:8" x14ac:dyDescent="0.35">
      <c r="B12" s="201" t="s">
        <v>2107</v>
      </c>
      <c r="C12" s="202">
        <f>CEILING(2*($C$4+$C$5)/6,1)</f>
        <v>2</v>
      </c>
      <c r="D12" s="203" t="s">
        <v>489</v>
      </c>
      <c r="E12" s="204">
        <f>ราคางานเสริม!$D$27</f>
        <v>440</v>
      </c>
      <c r="F12" s="205">
        <f t="shared" si="0"/>
        <v>880</v>
      </c>
      <c r="G12" s="198" t="s">
        <v>2108</v>
      </c>
    </row>
    <row r="13" spans="1:8" x14ac:dyDescent="0.35">
      <c r="B13" s="201" t="s">
        <v>2109</v>
      </c>
      <c r="C13" s="202">
        <f>CEILING((CEILING($C$4/0.6,1)-1)*$C$5/3,1)</f>
        <v>4</v>
      </c>
      <c r="D13" s="203" t="s">
        <v>489</v>
      </c>
      <c r="E13" s="204">
        <f>ราคางานเสริม!$D$28</f>
        <v>62</v>
      </c>
      <c r="F13" s="205">
        <f t="shared" si="0"/>
        <v>248</v>
      </c>
      <c r="G13" s="198" t="s">
        <v>2110</v>
      </c>
    </row>
    <row r="14" spans="1:8" x14ac:dyDescent="0.35">
      <c r="B14" s="201" t="s">
        <v>2111</v>
      </c>
      <c r="C14" s="202">
        <f>CEILING((CEILING($C$5/0.4,1)-1)*$C$4/3,1)</f>
        <v>6</v>
      </c>
      <c r="D14" s="203" t="s">
        <v>489</v>
      </c>
      <c r="E14" s="204">
        <f>ราคางานเสริม!$D$29</f>
        <v>62</v>
      </c>
      <c r="F14" s="205">
        <f t="shared" si="0"/>
        <v>372</v>
      </c>
      <c r="G14" s="198" t="s">
        <v>2112</v>
      </c>
    </row>
    <row r="15" spans="1:8" x14ac:dyDescent="0.35">
      <c r="B15" s="201" t="s">
        <v>2113</v>
      </c>
      <c r="C15" s="202">
        <f>IF($C$7="ใส่",CEILING($C$6/0.72,1),0)</f>
        <v>12</v>
      </c>
      <c r="D15" s="203" t="s">
        <v>487</v>
      </c>
      <c r="E15" s="204">
        <f>ราคางานเสริม!$D$30</f>
        <v>130</v>
      </c>
      <c r="F15" s="205">
        <f t="shared" si="0"/>
        <v>1560</v>
      </c>
      <c r="G15" s="198" t="s">
        <v>2114</v>
      </c>
    </row>
    <row r="16" spans="1:8" x14ac:dyDescent="0.35">
      <c r="B16" s="201" t="s">
        <v>2115</v>
      </c>
      <c r="C16" s="202">
        <f>CEILING($C$6*30,1)</f>
        <v>243</v>
      </c>
      <c r="D16" s="203" t="s">
        <v>493</v>
      </c>
      <c r="E16" s="206">
        <f>ราคางานเสริม!$D$31</f>
        <v>0.5</v>
      </c>
      <c r="F16" s="205">
        <f t="shared" si="0"/>
        <v>121.5</v>
      </c>
      <c r="G16" s="198" t="s">
        <v>2116</v>
      </c>
    </row>
    <row r="17" spans="1:7" x14ac:dyDescent="0.35">
      <c r="B17" s="201" t="s">
        <v>2040</v>
      </c>
      <c r="C17" s="202">
        <f>CEILING($C$6*10,1)</f>
        <v>81</v>
      </c>
      <c r="D17" s="203" t="s">
        <v>493</v>
      </c>
      <c r="E17" s="206">
        <f>ราคางานเสริม!$D$32</f>
        <v>0.5</v>
      </c>
      <c r="F17" s="205">
        <f t="shared" si="0"/>
        <v>40.5</v>
      </c>
      <c r="G17" s="198" t="s">
        <v>2117</v>
      </c>
    </row>
    <row r="18" spans="1:7" x14ac:dyDescent="0.35">
      <c r="B18" s="201" t="s">
        <v>2118</v>
      </c>
      <c r="C18" s="202">
        <f>CEILING($C$6*1/50,1)</f>
        <v>1</v>
      </c>
      <c r="D18" s="203" t="s">
        <v>496</v>
      </c>
      <c r="E18" s="204">
        <f>ราคางานเสริม!$D$33</f>
        <v>240</v>
      </c>
      <c r="F18" s="205">
        <f t="shared" si="0"/>
        <v>240</v>
      </c>
      <c r="G18" s="198" t="s">
        <v>2119</v>
      </c>
    </row>
    <row r="19" spans="1:7" x14ac:dyDescent="0.35">
      <c r="B19" s="201" t="s">
        <v>2120</v>
      </c>
      <c r="C19" s="202">
        <f>CEILING($C$6/30,1)</f>
        <v>1</v>
      </c>
      <c r="D19" s="203" t="s">
        <v>498</v>
      </c>
      <c r="E19" s="204">
        <f>ราคางานเสริม!$D$34</f>
        <v>70</v>
      </c>
      <c r="F19" s="205">
        <f t="shared" si="0"/>
        <v>70</v>
      </c>
      <c r="G19" s="198" t="s">
        <v>2121</v>
      </c>
    </row>
    <row r="20" spans="1:7" x14ac:dyDescent="0.35">
      <c r="B20" s="214" t="s">
        <v>711</v>
      </c>
      <c r="C20" s="202">
        <f>$C$6</f>
        <v>8.1000000000000014</v>
      </c>
      <c r="D20" s="203" t="s">
        <v>621</v>
      </c>
      <c r="E20" s="204">
        <f>ค่าแรง!$B$34</f>
        <v>700</v>
      </c>
      <c r="F20" s="205">
        <f t="shared" si="0"/>
        <v>5670.0000000000009</v>
      </c>
      <c r="G20" s="198" t="s">
        <v>2122</v>
      </c>
    </row>
    <row r="21" spans="1:7" x14ac:dyDescent="0.35">
      <c r="B21" s="214" t="s">
        <v>654</v>
      </c>
      <c r="C21" s="202">
        <f>$C$6</f>
        <v>8.1000000000000014</v>
      </c>
      <c r="D21" s="203" t="s">
        <v>621</v>
      </c>
      <c r="E21" s="204">
        <f>ค่าแรง!$C$34</f>
        <v>400</v>
      </c>
      <c r="F21" s="205">
        <f t="shared" si="0"/>
        <v>3240.0000000000005</v>
      </c>
      <c r="G21" s="198" t="s">
        <v>2123</v>
      </c>
    </row>
    <row r="22" spans="1:7" ht="15" x14ac:dyDescent="0.35">
      <c r="B22" s="207" t="s">
        <v>2052</v>
      </c>
      <c r="F22" s="208">
        <f>SUM(F11:F21)</f>
        <v>15942</v>
      </c>
    </row>
    <row r="24" spans="1:7" x14ac:dyDescent="0.35">
      <c r="A24" s="448" t="s">
        <v>2124</v>
      </c>
      <c r="B24" s="411"/>
      <c r="C24" s="411"/>
      <c r="D24" s="411"/>
      <c r="E24" s="411"/>
      <c r="F24" s="411"/>
      <c r="G24" s="411"/>
    </row>
    <row r="25" spans="1:7" x14ac:dyDescent="0.35">
      <c r="B25" s="209" t="s">
        <v>2125</v>
      </c>
      <c r="F25" s="210">
        <f>F20+F21</f>
        <v>8910.0000000000018</v>
      </c>
      <c r="G25" s="198" t="s">
        <v>2126</v>
      </c>
    </row>
    <row r="26" spans="1:7" x14ac:dyDescent="0.35">
      <c r="B26" s="209" t="s">
        <v>2054</v>
      </c>
      <c r="F26" s="210">
        <f>IF($C$6=0,0,F22/$C$6)</f>
        <v>1968.1481481481478</v>
      </c>
      <c r="G26" s="198" t="s">
        <v>2055</v>
      </c>
    </row>
    <row r="27" spans="1:7" ht="15" x14ac:dyDescent="0.35">
      <c r="B27" s="209" t="s">
        <v>2056</v>
      </c>
      <c r="F27" s="211">
        <f>F22*2</f>
        <v>31884</v>
      </c>
      <c r="G27" s="198" t="s">
        <v>2057</v>
      </c>
    </row>
    <row r="28" spans="1:7" x14ac:dyDescent="0.35">
      <c r="B28" s="209" t="s">
        <v>2058</v>
      </c>
      <c r="F28" s="212">
        <f>F27-F22</f>
        <v>15942</v>
      </c>
      <c r="G28" s="198" t="s">
        <v>2059</v>
      </c>
    </row>
    <row r="29" spans="1:7" x14ac:dyDescent="0.35">
      <c r="B29" s="209" t="s">
        <v>2060</v>
      </c>
      <c r="F29" s="210">
        <f>MAX(13500,$C$6*IF($C$6&lt;=4.5,4500,IF($C$6&lt;=6,4200,IF($C$6&lt;=7.5,3900,3600))))</f>
        <v>29160.000000000004</v>
      </c>
      <c r="G29" s="198" t="s">
        <v>2127</v>
      </c>
    </row>
    <row r="30" spans="1:7" x14ac:dyDescent="0.35">
      <c r="B30" s="209" t="s">
        <v>2062</v>
      </c>
      <c r="F30" s="213">
        <f>IF(F22=0,0,(F29-F22)/F22)</f>
        <v>0.82913059841927006</v>
      </c>
      <c r="G30" s="198" t="s">
        <v>2063</v>
      </c>
    </row>
    <row r="32" spans="1:7" x14ac:dyDescent="0.35">
      <c r="A32" s="447" t="s">
        <v>2128</v>
      </c>
      <c r="B32" s="411"/>
      <c r="C32" s="411"/>
      <c r="D32" s="411"/>
      <c r="E32" s="411"/>
      <c r="F32" s="411"/>
      <c r="G32" s="411"/>
    </row>
  </sheetData>
  <mergeCells count="5">
    <mergeCell ref="A32:G32"/>
    <mergeCell ref="A9:G9"/>
    <mergeCell ref="A3:G3"/>
    <mergeCell ref="A1:F1"/>
    <mergeCell ref="A24:G24"/>
  </mergeCells>
  <dataValidations count="1">
    <dataValidation type="list" sqref="C7" xr:uid="{00000000-0002-0000-2400-000000000000}">
      <formula1>"ใส่,ไม่ใส่"</formula1>
    </dataValidation>
  </dataValidations>
  <hyperlinks>
    <hyperlink ref="G1" location="'สารบัญ'!A1" display="🏠 สารบัญ" xr:uid="{00000000-0004-0000-24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AD47"/>
  </sheetPr>
  <dimension ref="A1:H30"/>
  <sheetViews>
    <sheetView workbookViewId="0"/>
  </sheetViews>
  <sheetFormatPr defaultRowHeight="14.5" x14ac:dyDescent="0.35"/>
  <cols>
    <col min="1" max="2" width="46" customWidth="1"/>
    <col min="3" max="3" width="11" customWidth="1"/>
    <col min="4" max="4" width="13.7265625" customWidth="1"/>
    <col min="5" max="5" width="41.7265625" customWidth="1"/>
    <col min="6" max="6" width="18.453125" customWidth="1"/>
    <col min="7" max="7" width="46" customWidth="1"/>
  </cols>
  <sheetData>
    <row r="1" spans="1:8" ht="16" x14ac:dyDescent="0.35">
      <c r="A1" s="449" t="s">
        <v>2129</v>
      </c>
      <c r="B1" s="411"/>
      <c r="C1" s="411"/>
      <c r="D1" s="411"/>
      <c r="E1" s="411"/>
      <c r="F1" s="411"/>
      <c r="G1" s="388" t="s">
        <v>78</v>
      </c>
      <c r="H1" s="394"/>
    </row>
    <row r="3" spans="1:8" x14ac:dyDescent="0.35">
      <c r="A3" s="448" t="s">
        <v>2130</v>
      </c>
      <c r="B3" s="411"/>
      <c r="C3" s="411"/>
      <c r="D3" s="411"/>
      <c r="E3" s="411"/>
      <c r="F3" s="411"/>
      <c r="G3" s="411"/>
    </row>
    <row r="4" spans="1:8" x14ac:dyDescent="0.35">
      <c r="B4" s="195" t="s">
        <v>2098</v>
      </c>
      <c r="C4" s="196">
        <v>3</v>
      </c>
      <c r="D4" s="197" t="s">
        <v>2018</v>
      </c>
      <c r="E4" s="198" t="s">
        <v>2019</v>
      </c>
    </row>
    <row r="5" spans="1:8" x14ac:dyDescent="0.35">
      <c r="B5" s="195" t="s">
        <v>2099</v>
      </c>
      <c r="C5" s="196">
        <v>2.7</v>
      </c>
      <c r="D5" s="197" t="s">
        <v>2018</v>
      </c>
      <c r="E5" s="198" t="s">
        <v>2131</v>
      </c>
    </row>
    <row r="6" spans="1:8" x14ac:dyDescent="0.35">
      <c r="B6" s="195" t="s">
        <v>2100</v>
      </c>
      <c r="C6" s="199">
        <f>C4*C5</f>
        <v>8.1000000000000014</v>
      </c>
      <c r="D6" s="197" t="s">
        <v>621</v>
      </c>
      <c r="E6" s="198" t="s">
        <v>2132</v>
      </c>
    </row>
    <row r="7" spans="1:8" x14ac:dyDescent="0.35">
      <c r="B7" s="195" t="s">
        <v>2133</v>
      </c>
      <c r="C7" s="199">
        <f>2*(C4+C5)</f>
        <v>11.4</v>
      </c>
      <c r="D7" s="197" t="s">
        <v>2018</v>
      </c>
      <c r="E7" s="198" t="s">
        <v>2134</v>
      </c>
    </row>
    <row r="8" spans="1:8" x14ac:dyDescent="0.35">
      <c r="B8" s="195" t="s">
        <v>2135</v>
      </c>
      <c r="C8" s="215">
        <f>ราคางานเสริม!$D$37</f>
        <v>2016</v>
      </c>
      <c r="D8" s="197" t="s">
        <v>2136</v>
      </c>
      <c r="E8" s="198" t="s">
        <v>2137</v>
      </c>
    </row>
    <row r="9" spans="1:8" x14ac:dyDescent="0.35">
      <c r="B9" s="195" t="s">
        <v>2138</v>
      </c>
      <c r="C9" s="215">
        <f>ราคางานเสริม!$D$38</f>
        <v>2520</v>
      </c>
      <c r="D9" s="197" t="s">
        <v>2136</v>
      </c>
      <c r="E9" s="198" t="s">
        <v>2139</v>
      </c>
    </row>
    <row r="11" spans="1:8" x14ac:dyDescent="0.35">
      <c r="A11" s="448" t="s">
        <v>2104</v>
      </c>
      <c r="B11" s="411"/>
      <c r="C11" s="411"/>
      <c r="D11" s="411"/>
      <c r="E11" s="411"/>
      <c r="F11" s="411"/>
      <c r="G11" s="411"/>
    </row>
    <row r="12" spans="1:8" x14ac:dyDescent="0.35">
      <c r="B12" s="200" t="s">
        <v>1633</v>
      </c>
      <c r="C12" s="200" t="s">
        <v>1255</v>
      </c>
      <c r="D12" s="200" t="s">
        <v>483</v>
      </c>
      <c r="E12" s="200" t="s">
        <v>1256</v>
      </c>
      <c r="F12" s="200" t="s">
        <v>2029</v>
      </c>
      <c r="G12" s="200" t="s">
        <v>587</v>
      </c>
    </row>
    <row r="13" spans="1:8" x14ac:dyDescent="0.35">
      <c r="B13" s="201" t="s">
        <v>2140</v>
      </c>
      <c r="C13" s="202">
        <f>CEILING($C$4/1.2,1)*CEILING($C$5/IF($C$5&lt;=2.4,2.4,3),1)</f>
        <v>3</v>
      </c>
      <c r="D13" s="203" t="s">
        <v>487</v>
      </c>
      <c r="E13" s="216">
        <f>IF($C$5&lt;=2.4,$C$8,$C$9)</f>
        <v>2520</v>
      </c>
      <c r="F13" s="205">
        <f t="shared" ref="F13:F19" si="0">C13*E13</f>
        <v>7560</v>
      </c>
      <c r="G13" s="198" t="s">
        <v>2141</v>
      </c>
    </row>
    <row r="14" spans="1:8" x14ac:dyDescent="0.35">
      <c r="B14" s="201" t="s">
        <v>2142</v>
      </c>
      <c r="C14" s="202">
        <f>CEILING($C$7/6,1)</f>
        <v>2</v>
      </c>
      <c r="D14" s="203" t="s">
        <v>489</v>
      </c>
      <c r="E14" s="204">
        <f>ราคางานเสริม!$D$39</f>
        <v>1220</v>
      </c>
      <c r="F14" s="205">
        <f t="shared" si="0"/>
        <v>2440</v>
      </c>
      <c r="G14" s="198" t="s">
        <v>2143</v>
      </c>
    </row>
    <row r="15" spans="1:8" x14ac:dyDescent="0.35">
      <c r="B15" s="201" t="s">
        <v>2144</v>
      </c>
      <c r="C15" s="202">
        <f>CEILING(2*$C$7/6,1)</f>
        <v>4</v>
      </c>
      <c r="D15" s="203" t="s">
        <v>489</v>
      </c>
      <c r="E15" s="204">
        <f>ราคางานเสริม!$D$40</f>
        <v>70</v>
      </c>
      <c r="F15" s="205">
        <f t="shared" si="0"/>
        <v>280</v>
      </c>
      <c r="G15" s="198" t="s">
        <v>2145</v>
      </c>
    </row>
    <row r="16" spans="1:8" x14ac:dyDescent="0.35">
      <c r="B16" s="201" t="s">
        <v>2146</v>
      </c>
      <c r="C16" s="202">
        <f>1</f>
        <v>1</v>
      </c>
      <c r="D16" s="203" t="s">
        <v>481</v>
      </c>
      <c r="E16" s="204">
        <f>ราคางานเสริม!$D$41</f>
        <v>50</v>
      </c>
      <c r="F16" s="205">
        <f t="shared" si="0"/>
        <v>50</v>
      </c>
      <c r="G16" s="198" t="s">
        <v>2086</v>
      </c>
    </row>
    <row r="17" spans="1:7" x14ac:dyDescent="0.35">
      <c r="B17" s="201" t="s">
        <v>525</v>
      </c>
      <c r="C17" s="202">
        <f>CEILING((2*$C$7+2*(CEILING($C$4/1.2,1)-1)*$C$5)/10,1)</f>
        <v>4</v>
      </c>
      <c r="D17" s="203" t="s">
        <v>526</v>
      </c>
      <c r="E17" s="204">
        <f>ราคางานเสริม!$D$42</f>
        <v>90</v>
      </c>
      <c r="F17" s="205">
        <f t="shared" si="0"/>
        <v>360</v>
      </c>
      <c r="G17" s="198" t="s">
        <v>2147</v>
      </c>
    </row>
    <row r="18" spans="1:7" x14ac:dyDescent="0.35">
      <c r="B18" s="214" t="s">
        <v>711</v>
      </c>
      <c r="C18" s="202">
        <f>$C$6</f>
        <v>8.1000000000000014</v>
      </c>
      <c r="D18" s="203" t="s">
        <v>621</v>
      </c>
      <c r="E18" s="204">
        <f>ค่าแรง!$B$35</f>
        <v>700</v>
      </c>
      <c r="F18" s="205">
        <f t="shared" si="0"/>
        <v>5670.0000000000009</v>
      </c>
      <c r="G18" s="198" t="s">
        <v>2148</v>
      </c>
    </row>
    <row r="19" spans="1:7" x14ac:dyDescent="0.35">
      <c r="B19" s="214" t="s">
        <v>654</v>
      </c>
      <c r="C19" s="202">
        <f>$C$6</f>
        <v>8.1000000000000014</v>
      </c>
      <c r="D19" s="203" t="s">
        <v>621</v>
      </c>
      <c r="E19" s="204">
        <f>ค่าแรง!$C$35</f>
        <v>440</v>
      </c>
      <c r="F19" s="205">
        <f t="shared" si="0"/>
        <v>3564.0000000000005</v>
      </c>
      <c r="G19" s="198" t="s">
        <v>2123</v>
      </c>
    </row>
    <row r="20" spans="1:7" ht="15" x14ac:dyDescent="0.35">
      <c r="B20" s="207" t="s">
        <v>2052</v>
      </c>
      <c r="F20" s="208">
        <f>SUM(F13:F19)</f>
        <v>19924</v>
      </c>
    </row>
    <row r="22" spans="1:7" x14ac:dyDescent="0.35">
      <c r="A22" s="448" t="s">
        <v>2149</v>
      </c>
      <c r="B22" s="411"/>
      <c r="C22" s="411"/>
      <c r="D22" s="411"/>
      <c r="E22" s="411"/>
      <c r="F22" s="411"/>
      <c r="G22" s="411"/>
    </row>
    <row r="23" spans="1:7" x14ac:dyDescent="0.35">
      <c r="B23" s="209" t="s">
        <v>2125</v>
      </c>
      <c r="F23" s="210">
        <f>F18+F19</f>
        <v>9234.0000000000018</v>
      </c>
      <c r="G23" s="198" t="s">
        <v>2150</v>
      </c>
    </row>
    <row r="24" spans="1:7" x14ac:dyDescent="0.35">
      <c r="B24" s="209" t="s">
        <v>2054</v>
      </c>
      <c r="F24" s="210">
        <f>IF($C$6=0,0,F20/$C$6)</f>
        <v>2459.7530864197524</v>
      </c>
      <c r="G24" s="198" t="s">
        <v>2055</v>
      </c>
    </row>
    <row r="25" spans="1:7" ht="15" x14ac:dyDescent="0.35">
      <c r="B25" s="209" t="s">
        <v>2056</v>
      </c>
      <c r="F25" s="211">
        <f>F20*2</f>
        <v>39848</v>
      </c>
      <c r="G25" s="198" t="s">
        <v>2057</v>
      </c>
    </row>
    <row r="26" spans="1:7" x14ac:dyDescent="0.35">
      <c r="B26" s="209" t="s">
        <v>2058</v>
      </c>
      <c r="F26" s="212">
        <f>F25-F20</f>
        <v>19924</v>
      </c>
      <c r="G26" s="198" t="s">
        <v>2059</v>
      </c>
    </row>
    <row r="27" spans="1:7" x14ac:dyDescent="0.35">
      <c r="B27" s="209" t="s">
        <v>2060</v>
      </c>
      <c r="F27" s="210">
        <f>MAX(7000,$C$6*IF($C$6&lt;=1.5,7000,IF($C$6&lt;=2,6500,IF($C$6&lt;=2.5,6000,IF($C$6&lt;=3,5500,IF($C$6&lt;=3.5,5000,4500))))))</f>
        <v>36450.000000000007</v>
      </c>
      <c r="G27" s="198" t="s">
        <v>2151</v>
      </c>
    </row>
    <row r="28" spans="1:7" x14ac:dyDescent="0.35">
      <c r="B28" s="209" t="s">
        <v>2062</v>
      </c>
      <c r="F28" s="213">
        <f>IF(F20=0,0,(F27-F20)/F20)</f>
        <v>0.82945191728568601</v>
      </c>
      <c r="G28" s="198" t="s">
        <v>2063</v>
      </c>
    </row>
    <row r="30" spans="1:7" x14ac:dyDescent="0.35">
      <c r="A30" s="447" t="s">
        <v>2152</v>
      </c>
      <c r="B30" s="411"/>
      <c r="C30" s="411"/>
      <c r="D30" s="411"/>
      <c r="E30" s="411"/>
      <c r="F30" s="411"/>
      <c r="G30" s="411"/>
    </row>
  </sheetData>
  <mergeCells count="5">
    <mergeCell ref="A3:G3"/>
    <mergeCell ref="A1:F1"/>
    <mergeCell ref="A22:G22"/>
    <mergeCell ref="A30:G30"/>
    <mergeCell ref="A11:G11"/>
  </mergeCells>
  <hyperlinks>
    <hyperlink ref="G1" location="'สารบัญ'!A1" display="🏠 สารบัญ" xr:uid="{00000000-0004-0000-2500-000000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AD47"/>
  </sheetPr>
  <dimension ref="A1:J22"/>
  <sheetViews>
    <sheetView workbookViewId="0"/>
  </sheetViews>
  <sheetFormatPr defaultRowHeight="14.5" x14ac:dyDescent="0.35"/>
  <cols>
    <col min="1" max="2" width="46" customWidth="1"/>
    <col min="3" max="3" width="15" customWidth="1"/>
    <col min="4" max="4" width="9.453125" customWidth="1"/>
    <col min="5" max="5" width="20.7265625" customWidth="1"/>
    <col min="6" max="6" width="13" customWidth="1"/>
    <col min="7" max="7" width="46" customWidth="1"/>
    <col min="8" max="8" width="2" customWidth="1"/>
    <col min="9" max="9" width="24.90625" customWidth="1"/>
    <col min="10" max="10" width="26" customWidth="1"/>
  </cols>
  <sheetData>
    <row r="1" spans="1:10" ht="16" x14ac:dyDescent="0.35">
      <c r="A1" s="449" t="s">
        <v>2153</v>
      </c>
      <c r="B1" s="411"/>
      <c r="C1" s="411"/>
      <c r="D1" s="411"/>
      <c r="E1" s="411"/>
      <c r="F1" s="411"/>
      <c r="G1" s="388" t="s">
        <v>78</v>
      </c>
      <c r="H1" s="394"/>
      <c r="I1" s="222" t="str">
        <f>$C$4&amp;"|"&amp;$C$5</f>
        <v>ไม้ทิพย์|สีพื้น</v>
      </c>
    </row>
    <row r="2" spans="1:10" x14ac:dyDescent="0.35">
      <c r="I2" s="222" t="s">
        <v>2154</v>
      </c>
    </row>
    <row r="3" spans="1:10" x14ac:dyDescent="0.35">
      <c r="A3" s="448" t="s">
        <v>2155</v>
      </c>
      <c r="B3" s="411"/>
      <c r="C3" s="411"/>
      <c r="D3" s="411"/>
      <c r="E3" s="411"/>
      <c r="F3" s="411"/>
      <c r="G3" s="411"/>
      <c r="I3" s="223">
        <f>IFERROR(VLOOKUP($I$1,LUT_ฝ้าไม้เทียม!$A:$K,4,0),0)</f>
        <v>8.5000000000000006E-2</v>
      </c>
      <c r="J3" s="222" t="s">
        <v>2156</v>
      </c>
    </row>
    <row r="4" spans="1:10" x14ac:dyDescent="0.35">
      <c r="B4" s="195" t="s">
        <v>871</v>
      </c>
      <c r="C4" s="450" t="s">
        <v>881</v>
      </c>
      <c r="D4" s="451"/>
      <c r="E4" s="452"/>
      <c r="I4" s="223">
        <f>IFERROR(VLOOKUP($I$1,LUT_ฝ้าไม้เทียม!$A:$K,5,0),0)</f>
        <v>6</v>
      </c>
      <c r="J4" s="222" t="s">
        <v>2157</v>
      </c>
    </row>
    <row r="5" spans="1:10" x14ac:dyDescent="0.35">
      <c r="B5" s="195" t="s">
        <v>2158</v>
      </c>
      <c r="C5" s="450" t="s">
        <v>882</v>
      </c>
      <c r="D5" s="451"/>
      <c r="E5" s="452"/>
      <c r="I5" s="223">
        <f>IFERROR(VLOOKUP($I$1,LUT_ฝ้าไม้เทียม!$A:$K,6,0),0)</f>
        <v>420</v>
      </c>
      <c r="J5" s="222" t="s">
        <v>875</v>
      </c>
    </row>
    <row r="6" spans="1:10" x14ac:dyDescent="0.35">
      <c r="B6" s="195" t="s">
        <v>2159</v>
      </c>
      <c r="C6" s="450" t="s">
        <v>2160</v>
      </c>
      <c r="D6" s="451"/>
      <c r="E6" s="452"/>
      <c r="I6" s="223" t="str">
        <f>IFERROR(VLOOKUP($I$1,LUT_ฝ้าไม้เทียม!$A:$K,7,0),0)</f>
        <v>เส้น</v>
      </c>
      <c r="J6" s="222" t="s">
        <v>2161</v>
      </c>
    </row>
    <row r="7" spans="1:10" x14ac:dyDescent="0.35">
      <c r="B7" s="224" t="s">
        <v>2017</v>
      </c>
      <c r="C7" s="196">
        <v>3</v>
      </c>
      <c r="D7" s="221" t="s">
        <v>2018</v>
      </c>
      <c r="I7" s="223">
        <f>IFERROR(VLOOKUP($I$1,LUT_ฝ้าไม้เทียม!$A:$K,8,0),0)</f>
        <v>70</v>
      </c>
      <c r="J7" s="222" t="s">
        <v>876</v>
      </c>
    </row>
    <row r="8" spans="1:10" x14ac:dyDescent="0.35">
      <c r="B8" s="224" t="s">
        <v>2020</v>
      </c>
      <c r="C8" s="196">
        <v>4</v>
      </c>
      <c r="D8" s="221" t="s">
        <v>2018</v>
      </c>
      <c r="I8" s="223">
        <f>IFERROR(VLOOKUP($I$1,LUT_ฝ้าไม้เทียม!$A:$K,9,0),0)</f>
        <v>6</v>
      </c>
      <c r="J8" s="222" t="s">
        <v>877</v>
      </c>
    </row>
    <row r="9" spans="1:10" x14ac:dyDescent="0.35">
      <c r="B9" s="195" t="s">
        <v>2162</v>
      </c>
      <c r="C9" s="199">
        <f>C7*C8</f>
        <v>12</v>
      </c>
      <c r="D9" s="197" t="s">
        <v>621</v>
      </c>
      <c r="E9" s="198" t="s">
        <v>2022</v>
      </c>
      <c r="I9" s="223">
        <f>IFERROR(VLOOKUP($I$1,LUT_ฝ้าไม้เทียม!$A:$K,10,0),0)</f>
        <v>1</v>
      </c>
      <c r="J9" s="222" t="s">
        <v>878</v>
      </c>
    </row>
    <row r="10" spans="1:10" x14ac:dyDescent="0.35">
      <c r="B10" s="195" t="s">
        <v>2133</v>
      </c>
      <c r="C10" s="199">
        <f>2*(C7+C8)</f>
        <v>14</v>
      </c>
      <c r="D10" s="197" t="s">
        <v>2018</v>
      </c>
      <c r="E10" s="198" t="s">
        <v>2163</v>
      </c>
      <c r="I10" s="223">
        <f>IFERROR(VLOOKUP($I$1,LUT_ฝ้าไม้เทียม!$A:$K,11,0),0)</f>
        <v>0</v>
      </c>
      <c r="J10" s="222" t="s">
        <v>879</v>
      </c>
    </row>
    <row r="12" spans="1:10" x14ac:dyDescent="0.35">
      <c r="A12" s="448" t="s">
        <v>2164</v>
      </c>
      <c r="B12" s="411"/>
      <c r="C12" s="411"/>
      <c r="D12" s="411"/>
      <c r="E12" s="411"/>
      <c r="F12" s="411"/>
      <c r="G12" s="411"/>
    </row>
    <row r="13" spans="1:10" x14ac:dyDescent="0.35">
      <c r="B13" s="200" t="s">
        <v>1633</v>
      </c>
      <c r="C13" s="200" t="s">
        <v>1255</v>
      </c>
      <c r="D13" s="200" t="s">
        <v>483</v>
      </c>
      <c r="E13" s="200" t="s">
        <v>1256</v>
      </c>
      <c r="F13" s="200" t="s">
        <v>2029</v>
      </c>
      <c r="G13" s="200" t="s">
        <v>587</v>
      </c>
    </row>
    <row r="14" spans="1:10" x14ac:dyDescent="0.35">
      <c r="B14" s="201" t="s">
        <v>2165</v>
      </c>
      <c r="C14" s="202">
        <f>IF($I$10=1,$C$9,CEILING($C$9/($I$3*$I$4),1))</f>
        <v>24</v>
      </c>
      <c r="D14" s="225" t="str">
        <f>IF($I$10=1,"ตร.ม.",IFERROR(VLOOKUP($I$1,LUT_ฝ้าไม้เทียม!$A:$K,7,0),""))</f>
        <v>เส้น</v>
      </c>
      <c r="E14" s="216">
        <f>$I$5</f>
        <v>420</v>
      </c>
      <c r="F14" s="205">
        <f>C14*E14</f>
        <v>10080</v>
      </c>
      <c r="G14" s="198" t="s">
        <v>2166</v>
      </c>
    </row>
    <row r="15" spans="1:10" x14ac:dyDescent="0.35">
      <c r="B15" s="201" t="s">
        <v>2167</v>
      </c>
      <c r="C15" s="202">
        <f>IF($I$9=1,CEILING($C$9,1),0)</f>
        <v>12</v>
      </c>
      <c r="D15" s="225" t="s">
        <v>489</v>
      </c>
      <c r="E15" s="216">
        <f>ราคางานเสริม!$D$45</f>
        <v>190</v>
      </c>
      <c r="F15" s="205">
        <f>C15*E15</f>
        <v>2280</v>
      </c>
      <c r="G15" s="198" t="s">
        <v>2168</v>
      </c>
    </row>
    <row r="16" spans="1:10" x14ac:dyDescent="0.35">
      <c r="B16" s="201" t="s">
        <v>2169</v>
      </c>
      <c r="C16" s="202">
        <f>IF($I$7=0,0,CEILING($C$10/$I$8,1))</f>
        <v>3</v>
      </c>
      <c r="D16" s="225" t="s">
        <v>489</v>
      </c>
      <c r="E16" s="216">
        <f>$I$7</f>
        <v>70</v>
      </c>
      <c r="F16" s="205">
        <f>C16*E16</f>
        <v>210</v>
      </c>
      <c r="G16" s="198" t="s">
        <v>2170</v>
      </c>
    </row>
    <row r="17" spans="2:10" x14ac:dyDescent="0.35">
      <c r="B17" s="201" t="s">
        <v>2171</v>
      </c>
      <c r="C17" s="202">
        <f>CEILING(($C$9/1.2+CEILING($C$9/1.44,1)*0.3)/4,1)</f>
        <v>4</v>
      </c>
      <c r="D17" s="225" t="s">
        <v>489</v>
      </c>
      <c r="E17" s="216">
        <f>ราคางานเสริม!$D$46</f>
        <v>50</v>
      </c>
      <c r="F17" s="205">
        <f>C17*E17</f>
        <v>200</v>
      </c>
      <c r="G17" s="198" t="s">
        <v>2172</v>
      </c>
    </row>
    <row r="18" spans="2:10" x14ac:dyDescent="0.35">
      <c r="B18" s="214" t="s">
        <v>2014</v>
      </c>
      <c r="C18" s="202">
        <f>$C$9</f>
        <v>12</v>
      </c>
      <c r="D18" s="225" t="s">
        <v>621</v>
      </c>
      <c r="E18" s="216">
        <f>ค่าแรง!$C$33</f>
        <v>352</v>
      </c>
      <c r="F18" s="205">
        <f>C18*E18</f>
        <v>4224</v>
      </c>
      <c r="G18" s="198" t="s">
        <v>2173</v>
      </c>
    </row>
    <row r="19" spans="2:10" ht="15" x14ac:dyDescent="0.35">
      <c r="B19" s="207" t="s">
        <v>2052</v>
      </c>
      <c r="F19" s="208">
        <f>SUM(F14:F18)</f>
        <v>16994</v>
      </c>
    </row>
    <row r="20" spans="2:10" ht="15" x14ac:dyDescent="0.35">
      <c r="B20" s="209" t="s">
        <v>2056</v>
      </c>
      <c r="F20" s="211">
        <f>F19*2</f>
        <v>33988</v>
      </c>
    </row>
    <row r="21" spans="2:10" x14ac:dyDescent="0.35">
      <c r="B21" s="359" t="s">
        <v>1125</v>
      </c>
      <c r="F21" s="359">
        <f>ROUND(F19/C9,0)</f>
        <v>1416</v>
      </c>
    </row>
    <row r="22" spans="2:10" x14ac:dyDescent="0.35">
      <c r="B22" s="453" t="s">
        <v>2174</v>
      </c>
      <c r="C22" s="411"/>
      <c r="D22" s="411"/>
      <c r="E22" s="411"/>
      <c r="F22" s="411"/>
      <c r="G22" s="411"/>
      <c r="H22" s="411"/>
      <c r="I22" s="411"/>
      <c r="J22" s="411"/>
    </row>
  </sheetData>
  <mergeCells count="7">
    <mergeCell ref="C5:E5"/>
    <mergeCell ref="A3:G3"/>
    <mergeCell ref="A1:F1"/>
    <mergeCell ref="B22:J22"/>
    <mergeCell ref="A12:G12"/>
    <mergeCell ref="C4:E4"/>
    <mergeCell ref="C6:E6"/>
  </mergeCells>
  <hyperlinks>
    <hyperlink ref="G1" location="'สารบัญ'!A1" display="🏠 สารบัญ" xr:uid="{00000000-0004-0000-2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2600-000000000000}">
          <x14:formula1>
            <xm:f>LUT_ฝ้าไม้เทียม!$N$2:$N$5</xm:f>
          </x14:formula1>
          <xm:sqref>C4</xm:sqref>
        </x14:dataValidation>
        <x14:dataValidation type="list" allowBlank="1" xr:uid="{00000000-0002-0000-2600-000001000000}">
          <x14:formula1>
            <xm:f>OFFSET(LUT_ฝ้าไม้เทียม!$C$2,MATCH($C$4,LUT_ฝ้าไม้เทียม!$B$2:$B$25,0)-1,0,COUNTIF(LUT_ฝ้าไม้เทียม!$B$2:$B$25,$C$4),1)</xm:f>
          </x14:formula1>
          <xm:sqref>C5</xm:sqref>
        </x14:dataValidation>
        <x14:dataValidation type="list" allowBlank="1" xr:uid="{00000000-0002-0000-2600-000002000000}">
          <x14:formula1>
            <xm:f>OFFSET(สีฝ้าไม้เทียม!$B$2,MATCH($I$1,สีฝ้าไม้เทียม!$A$2:$A$118,0)-1,0,COUNTIF(สีฝ้าไม้เทียม!$A$2:$A$118,$I$1),1)</xm:f>
          </x14:formula1>
          <xm:sqref>C6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H2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6" customWidth="1"/>
    <col min="2" max="2" width="14.26953125" customWidth="1"/>
    <col min="3" max="3" width="28.7265625" customWidth="1"/>
    <col min="4" max="4" width="24.90625" customWidth="1"/>
    <col min="5" max="5" width="18.453125" customWidth="1"/>
    <col min="7" max="7" width="13" customWidth="1"/>
  </cols>
  <sheetData>
    <row r="1" spans="1:8" ht="24" customHeight="1" x14ac:dyDescent="0.35">
      <c r="A1" s="437" t="s">
        <v>2175</v>
      </c>
      <c r="B1" s="411"/>
      <c r="C1" s="411"/>
      <c r="D1" s="411"/>
      <c r="E1" s="411"/>
      <c r="F1" s="319"/>
      <c r="G1" s="388" t="s">
        <v>78</v>
      </c>
      <c r="H1" s="389"/>
    </row>
    <row r="3" spans="1:8" x14ac:dyDescent="0.35">
      <c r="A3" s="17" t="s">
        <v>635</v>
      </c>
      <c r="B3" s="17" t="s">
        <v>1982</v>
      </c>
      <c r="C3" s="17" t="s">
        <v>1567</v>
      </c>
      <c r="D3" s="17" t="s">
        <v>1568</v>
      </c>
      <c r="E3" s="17" t="s">
        <v>2176</v>
      </c>
    </row>
    <row r="4" spans="1:8" x14ac:dyDescent="0.35">
      <c r="A4" s="18" t="s">
        <v>2177</v>
      </c>
      <c r="B4" s="19"/>
      <c r="C4" s="19"/>
      <c r="D4" s="19"/>
      <c r="E4" s="19"/>
    </row>
    <row r="5" spans="1:8" x14ac:dyDescent="0.35">
      <c r="A5" s="20" t="s">
        <v>456</v>
      </c>
      <c r="B5" s="21">
        <f>'คิดทุน SMS'!D28</f>
        <v>16733.400000000001</v>
      </c>
      <c r="C5" s="22">
        <f>'คิดทุน SMS'!D46</f>
        <v>34800</v>
      </c>
      <c r="D5" s="23">
        <f>'คิดทุน SMS'!D47</f>
        <v>36100</v>
      </c>
      <c r="E5" s="24">
        <f>'คิดทุน SMS'!D48</f>
        <v>1.0064696139352369</v>
      </c>
    </row>
    <row r="6" spans="1:8" x14ac:dyDescent="0.35">
      <c r="A6" s="20" t="s">
        <v>459</v>
      </c>
      <c r="B6" s="21">
        <f>'คิดทุน ยูโร'!D36</f>
        <v>28434.400000000001</v>
      </c>
      <c r="C6" s="22">
        <f>'คิดทุน ยูโร'!D46</f>
        <v>58500</v>
      </c>
      <c r="D6" s="23">
        <f>'คิดทุน ยูโร'!D47</f>
        <v>60000</v>
      </c>
      <c r="E6" s="24">
        <f>'คิดทุน ยูโร'!D48</f>
        <v>1.0028841531805799</v>
      </c>
    </row>
    <row r="7" spans="1:8" x14ac:dyDescent="0.35">
      <c r="A7" s="20" t="s">
        <v>88</v>
      </c>
      <c r="B7" s="21">
        <f>'คิดทุน SlimLux'!D32</f>
        <v>13635</v>
      </c>
      <c r="C7" s="22">
        <f>'คิดทุน SlimLux'!D43</f>
        <v>28900</v>
      </c>
      <c r="D7" s="23">
        <f>'คิดทุน SlimLux'!D44</f>
        <v>30500</v>
      </c>
      <c r="E7" s="24">
        <f>'คิดทุน SlimLux'!D45</f>
        <v>1.011050889477918</v>
      </c>
    </row>
    <row r="8" spans="1:8" x14ac:dyDescent="0.35">
      <c r="A8" s="20" t="s">
        <v>1026</v>
      </c>
      <c r="B8" s="21">
        <f>'คิดทุน E-series'!D29</f>
        <v>19026.400000000001</v>
      </c>
      <c r="C8" s="22">
        <f>'คิดทุน E-series'!D39</f>
        <v>39400</v>
      </c>
      <c r="D8" s="23">
        <f>'คิดทุน E-series'!D40</f>
        <v>40700</v>
      </c>
      <c r="E8" s="24">
        <f>'คิดทุน E-series'!D41</f>
        <v>1.0064284587474361</v>
      </c>
    </row>
    <row r="9" spans="1:8" x14ac:dyDescent="0.35">
      <c r="A9" s="18" t="s">
        <v>2178</v>
      </c>
      <c r="B9" s="19"/>
      <c r="C9" s="19"/>
      <c r="D9" s="19"/>
      <c r="E9" s="19"/>
    </row>
    <row r="10" spans="1:8" x14ac:dyDescent="0.35">
      <c r="A10" s="20" t="s">
        <v>2179</v>
      </c>
      <c r="B10" s="21">
        <f>'คิดทุน บานเปิด'!D27</f>
        <v>10472</v>
      </c>
      <c r="C10" s="22">
        <f>'คิดทุน บานเปิด'!D39</f>
        <v>22100</v>
      </c>
      <c r="D10" s="23">
        <f>'คิดทุน บานเปิด'!D40</f>
        <v>23100</v>
      </c>
      <c r="E10" s="24">
        <f>'คิดทุน บานเปิด'!D41</f>
        <v>1.0030522701259059</v>
      </c>
    </row>
    <row r="11" spans="1:8" x14ac:dyDescent="0.35">
      <c r="A11" s="20" t="s">
        <v>466</v>
      </c>
      <c r="B11" s="21">
        <f>'คิดทุน กระทุ้ง'!D33</f>
        <v>5619.84</v>
      </c>
      <c r="C11" s="22">
        <f>'คิดทุน กระทุ้ง'!D45</f>
        <v>12400</v>
      </c>
      <c r="D11" s="23">
        <f>'คิดทุน กระทุ้ง'!D46</f>
        <v>13000</v>
      </c>
      <c r="E11" s="24">
        <f>'คิดทุน กระทุ้ง'!D47</f>
        <v>1.0259420318764836</v>
      </c>
    </row>
    <row r="12" spans="1:8" x14ac:dyDescent="0.35">
      <c r="A12" s="20" t="s">
        <v>467</v>
      </c>
      <c r="B12" s="21">
        <f>'คิดทุน บานยก'!D31</f>
        <v>7962</v>
      </c>
      <c r="C12" s="22">
        <f>'คิดทุน บานยก'!D43</f>
        <v>16700</v>
      </c>
      <c r="D12" s="23">
        <f>'คิดทุน บานยก'!D44</f>
        <v>17500</v>
      </c>
      <c r="E12" s="24">
        <f>'คิดทุน บานยก'!D45</f>
        <v>1.015803902596355</v>
      </c>
    </row>
    <row r="13" spans="1:8" x14ac:dyDescent="0.35">
      <c r="A13" s="20" t="s">
        <v>464</v>
      </c>
      <c r="B13" s="21">
        <f>'คิดทุน PC Door'!D35</f>
        <v>11403</v>
      </c>
      <c r="C13" s="22">
        <f>'คิดทุน PC Door'!D53</f>
        <v>24400</v>
      </c>
      <c r="D13" s="23">
        <f>'คิดทุน PC Door'!D54</f>
        <v>25600</v>
      </c>
      <c r="E13" s="24">
        <f>'คิดทุน PC Door'!D55</f>
        <v>1.0114084573439979</v>
      </c>
    </row>
    <row r="14" spans="1:8" x14ac:dyDescent="0.35">
      <c r="A14" s="20" t="s">
        <v>89</v>
      </c>
      <c r="B14" s="21">
        <f>'คิดทุน Velora'!D24</f>
        <v>7111.5999999999995</v>
      </c>
      <c r="C14" s="22">
        <f>'คิดทุน Velora'!D35</f>
        <v>16300</v>
      </c>
      <c r="D14" s="23">
        <f>'คิดทุน Velora'!D36</f>
        <v>17400</v>
      </c>
      <c r="E14" s="24">
        <f>'คิดทุน Velora'!D37</f>
        <v>1.0103707400937252</v>
      </c>
    </row>
    <row r="15" spans="1:8" x14ac:dyDescent="0.35">
      <c r="A15" s="18" t="s">
        <v>2180</v>
      </c>
      <c r="B15" s="19"/>
      <c r="C15" s="19"/>
      <c r="D15" s="19"/>
      <c r="E15" s="19"/>
    </row>
    <row r="16" spans="1:8" x14ac:dyDescent="0.35">
      <c r="A16" s="20" t="s">
        <v>2181</v>
      </c>
      <c r="B16" s="21">
        <f>'คิดทุน เฟี้ยม'!D26</f>
        <v>18101.36</v>
      </c>
      <c r="C16" s="22">
        <f>'คิดทุน เฟี้ยม'!D67</f>
        <v>38000</v>
      </c>
      <c r="D16" s="23">
        <f>'คิดทุน เฟี้ยม'!D68</f>
        <v>38800</v>
      </c>
      <c r="E16" s="24">
        <f>'คิดทุน เฟี้ยม'!D69</f>
        <v>1.0068937835947811</v>
      </c>
    </row>
    <row r="17" spans="1:5" x14ac:dyDescent="0.35">
      <c r="A17" s="20" t="s">
        <v>470</v>
      </c>
      <c r="B17" s="21">
        <f>'คิดทุน เฟี้ยมยูโร'!E39</f>
        <v>17413.458000000002</v>
      </c>
      <c r="C17" s="22">
        <f>'คิดทุน เฟี้ยมยูโร'!E49</f>
        <v>36300</v>
      </c>
      <c r="D17" s="23">
        <f>'คิดทุน เฟี้ยมยูโร'!E50</f>
        <v>37100</v>
      </c>
      <c r="E17" s="24">
        <f>'คิดทุน เฟี้ยมยูโร'!E51</f>
        <v>1.0087216419669702</v>
      </c>
    </row>
    <row r="18" spans="1:5" x14ac:dyDescent="0.35">
      <c r="A18" s="18" t="s">
        <v>2182</v>
      </c>
      <c r="B18" s="19"/>
      <c r="C18" s="19"/>
      <c r="D18" s="19"/>
      <c r="E18" s="19"/>
    </row>
    <row r="19" spans="1:5" x14ac:dyDescent="0.35">
      <c r="A19" s="20" t="s">
        <v>385</v>
      </c>
      <c r="B19" s="21">
        <f>'คิดทุน ติดตาย'!D20</f>
        <v>4302</v>
      </c>
      <c r="C19" s="22">
        <f>'คิดทุน ติดตาย'!D28</f>
        <v>9100</v>
      </c>
      <c r="D19" s="23">
        <f>'คิดทุน ติดตาย'!D29</f>
        <v>9400</v>
      </c>
      <c r="E19" s="24">
        <f>'คิดทุน ติดตาย'!D30</f>
        <v>1.0114942528735633</v>
      </c>
    </row>
    <row r="20" spans="1:5" x14ac:dyDescent="0.35">
      <c r="A20" s="20" t="s">
        <v>472</v>
      </c>
      <c r="B20" s="21">
        <f>'คิดทุน ตายดัดโค้ง'!D15</f>
        <v>4200</v>
      </c>
      <c r="C20" s="22">
        <f>'คิดทุน ตายดัดโค้ง'!D23</f>
        <v>9700</v>
      </c>
      <c r="D20" s="23">
        <f>'คิดทุน ตายดัดโค้ง'!D24</f>
        <v>10300</v>
      </c>
      <c r="E20" s="24">
        <f>'คิดทุน ตายดัดโค้ง'!D25</f>
        <v>1.0107794361525704</v>
      </c>
    </row>
    <row r="21" spans="1:5" x14ac:dyDescent="0.35">
      <c r="A21" s="20" t="s">
        <v>473</v>
      </c>
      <c r="B21" s="21">
        <f>'คิดทุน เปิดดัดโค้ง'!D20</f>
        <v>18036</v>
      </c>
      <c r="C21" s="22">
        <f>'คิดทุน เปิดดัดโค้ง'!D25</f>
        <v>22500</v>
      </c>
      <c r="D21" s="23">
        <f>'คิดทุน เปิดดัดโค้ง'!D26</f>
        <v>23600</v>
      </c>
      <c r="E21" s="24">
        <f>'คิดทุน เปิดดัดโค้ง'!D27</f>
        <v>0.30480167014613779</v>
      </c>
    </row>
    <row r="22" spans="1:5" x14ac:dyDescent="0.35">
      <c r="A22" s="18" t="s">
        <v>2183</v>
      </c>
      <c r="B22" s="19"/>
      <c r="C22" s="19"/>
      <c r="D22" s="19"/>
      <c r="E22" s="19"/>
    </row>
    <row r="23" spans="1:5" x14ac:dyDescent="0.35">
      <c r="A23" s="20" t="s">
        <v>1896</v>
      </c>
      <c r="B23" s="21">
        <f>'คิดทุน ระแนง'!D20</f>
        <v>15300</v>
      </c>
      <c r="C23" s="22">
        <f>'คิดทุน ระแนง'!D23</f>
        <v>25920</v>
      </c>
      <c r="D23" s="23">
        <f>'คิดทุน ระแนง'!D23</f>
        <v>25920</v>
      </c>
      <c r="E23" s="24">
        <f>'คิดทุน ระแนง'!D24</f>
        <v>0.69411764705882351</v>
      </c>
    </row>
    <row r="24" spans="1:5" x14ac:dyDescent="0.35">
      <c r="A24" s="20" t="s">
        <v>2184</v>
      </c>
      <c r="B24" s="21">
        <f>'คิดทุน ระแนงสลับ'!D31</f>
        <v>11685</v>
      </c>
      <c r="C24" s="22">
        <f>'คิดทุน ระแนงสลับ'!D34</f>
        <v>28170</v>
      </c>
      <c r="D24" s="23">
        <f>'คิดทุน ระแนงสลับ'!D35</f>
        <v>37770</v>
      </c>
      <c r="E24" s="24">
        <f>'คิดทุน ระแนงสลับ'!D36</f>
        <v>1</v>
      </c>
    </row>
    <row r="25" spans="1:5" x14ac:dyDescent="0.35">
      <c r="A25" s="20" t="s">
        <v>2185</v>
      </c>
      <c r="B25" s="21">
        <f>('คิดทุน ประตูรั้ว'!D36-'คิดทุน ประตูรั้ว'!D34-'คิดทุน ประตูรั้ว'!D35)</f>
        <v>49448</v>
      </c>
      <c r="C25" s="22">
        <f>ROUNDUP(('คิดทุน ประตูรั้ว'!D36-'คิดทุน ประตูรั้ว'!D35)*2/100,0)*100</f>
        <v>106000</v>
      </c>
      <c r="D25" s="23">
        <f>ROUNDUP('คิดทุน ประตูรั้ว'!D36*2/100,0)*100</f>
        <v>120100</v>
      </c>
      <c r="E25" s="24">
        <f>(C25-('คิดทุน ประตูรั้ว'!D36-'คิดทุน ประตูรั้ว'!D35))/('คิดทุน ประตูรั้ว'!D36-'คิดทุน ประตูรั้ว'!D35)</f>
        <v>1.0009060706735124</v>
      </c>
    </row>
    <row r="26" spans="1:5" x14ac:dyDescent="0.35">
      <c r="A26" s="30" t="s">
        <v>548</v>
      </c>
      <c r="B26" s="66">
        <f>'คิดทุน บานเกล็ด'!D30</f>
        <v>9842.7999999999993</v>
      </c>
      <c r="C26" s="66">
        <f>'คิดทุน บานเกล็ด'!D34</f>
        <v>21500</v>
      </c>
      <c r="D26" s="66">
        <f>'คิดทุน บานเกล็ด'!D35</f>
        <v>23300</v>
      </c>
      <c r="E26" s="124">
        <f>'คิดทุน บานเกล็ด'!D36</f>
        <v>1.0046993883335822</v>
      </c>
    </row>
    <row r="27" spans="1:5" x14ac:dyDescent="0.35">
      <c r="A27" s="30" t="s">
        <v>551</v>
      </c>
      <c r="B27" s="30">
        <f>'คิดทุน ระแนงหมุน'!D23</f>
        <v>41340</v>
      </c>
      <c r="C27" s="30">
        <f>'คิดทุน ระแนงหมุน'!D25</f>
        <v>82700</v>
      </c>
      <c r="D27" s="30">
        <f>'คิดทุน ระแนงหมุน'!D25</f>
        <v>82700</v>
      </c>
    </row>
    <row r="28" spans="1:5" x14ac:dyDescent="0.35">
      <c r="A28" s="25" t="s">
        <v>50</v>
      </c>
    </row>
    <row r="29" spans="1:5" x14ac:dyDescent="0.35">
      <c r="A29" s="30" t="s">
        <v>2186</v>
      </c>
      <c r="B29" s="30">
        <f>'คิดทุน หลังคา (รวม)'!D17</f>
        <v>38286</v>
      </c>
      <c r="C29" s="30">
        <f>'คิดทุน หลังคา (รวม)'!D20</f>
        <v>79200</v>
      </c>
      <c r="D29" s="30">
        <f>'คิดทุน หลังคา (รวม)'!D20</f>
        <v>79200</v>
      </c>
      <c r="E29" s="280">
        <f>IFERROR(('คิดทุน หลังคา (รวม)'!D20-'คิดทุน หลังคา (รวม)'!D18)/'คิดทุน หลังคา (รวม)'!D18,"")</f>
        <v>1.0005860302512857</v>
      </c>
    </row>
  </sheetData>
  <mergeCells count="1">
    <mergeCell ref="A1:E1"/>
  </mergeCells>
  <hyperlinks>
    <hyperlink ref="G1" location="'สารบัญ'!A1" display="🏠 สารบัญ" xr:uid="{00000000-0004-0000-2700-000000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30A0"/>
  </sheetPr>
  <dimension ref="A1:H2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46" customWidth="1"/>
    <col min="2" max="2" width="17.453125" customWidth="1"/>
    <col min="3" max="3" width="22.26953125" customWidth="1"/>
    <col min="4" max="4" width="15.90625" customWidth="1"/>
    <col min="7" max="7" width="13" customWidth="1"/>
  </cols>
  <sheetData>
    <row r="1" spans="1:8" ht="15.5" x14ac:dyDescent="0.35">
      <c r="A1" s="454" t="s">
        <v>2187</v>
      </c>
      <c r="B1" s="411"/>
      <c r="C1" s="411"/>
      <c r="D1" s="411"/>
      <c r="E1" s="319"/>
      <c r="G1" s="388" t="s">
        <v>78</v>
      </c>
      <c r="H1" s="389"/>
    </row>
    <row r="2" spans="1:8" x14ac:dyDescent="0.35">
      <c r="A2" s="125" t="s">
        <v>635</v>
      </c>
      <c r="B2" s="125" t="s">
        <v>711</v>
      </c>
      <c r="C2" s="125" t="s">
        <v>654</v>
      </c>
      <c r="D2" s="125" t="s">
        <v>2188</v>
      </c>
    </row>
    <row r="3" spans="1:8" x14ac:dyDescent="0.35">
      <c r="A3" s="126" t="s">
        <v>456</v>
      </c>
      <c r="B3" s="131">
        <f>'คิดทุน SMS'!D43</f>
        <v>629.20000000000005</v>
      </c>
      <c r="C3" s="131">
        <f>'คิดทุน SMS'!D44</f>
        <v>629.20000000000005</v>
      </c>
      <c r="D3" s="131">
        <f t="shared" ref="D3:D20" si="0">B3+IF(ISNUMBER(C3),C3,0)</f>
        <v>1258.4000000000001</v>
      </c>
    </row>
    <row r="4" spans="1:8" x14ac:dyDescent="0.35">
      <c r="A4" s="126" t="s">
        <v>459</v>
      </c>
      <c r="B4" s="131">
        <f>'คิดทุน ยูโร'!D43</f>
        <v>805.2</v>
      </c>
      <c r="C4" s="131">
        <f>'คิดทุน ยูโร'!D44</f>
        <v>717.2</v>
      </c>
      <c r="D4" s="131">
        <f t="shared" si="0"/>
        <v>1522.4</v>
      </c>
    </row>
    <row r="5" spans="1:8" x14ac:dyDescent="0.35">
      <c r="A5" s="126" t="s">
        <v>88</v>
      </c>
      <c r="B5" s="131">
        <f>'คิดทุน SlimLux'!D40</f>
        <v>765.6</v>
      </c>
      <c r="C5" s="131">
        <f>'คิดทุน SlimLux'!D41</f>
        <v>765.6</v>
      </c>
      <c r="D5" s="131">
        <f t="shared" si="0"/>
        <v>1531.2</v>
      </c>
    </row>
    <row r="6" spans="1:8" x14ac:dyDescent="0.35">
      <c r="A6" s="126" t="s">
        <v>1026</v>
      </c>
      <c r="B6" s="131">
        <f>'คิดทุน E-series'!D36</f>
        <v>629.20000000000005</v>
      </c>
      <c r="C6" s="131">
        <f>'คิดทุน E-series'!D37</f>
        <v>629.20000000000005</v>
      </c>
      <c r="D6" s="131">
        <f t="shared" si="0"/>
        <v>1258.4000000000001</v>
      </c>
    </row>
    <row r="7" spans="1:8" x14ac:dyDescent="0.35">
      <c r="A7" s="126" t="s">
        <v>2179</v>
      </c>
      <c r="B7" s="131">
        <f>'คิดทุน บานเปิด'!D36</f>
        <v>574.20000000000005</v>
      </c>
      <c r="C7" s="131">
        <f>'คิดทุน บานเปิด'!D37</f>
        <v>486.2</v>
      </c>
      <c r="D7" s="131">
        <f t="shared" si="0"/>
        <v>1060.4000000000001</v>
      </c>
    </row>
    <row r="8" spans="1:8" x14ac:dyDescent="0.35">
      <c r="A8" s="126" t="s">
        <v>466</v>
      </c>
      <c r="B8" s="131">
        <f>'คิดทุน กระทุ้ง'!D42</f>
        <v>530.46400000000006</v>
      </c>
      <c r="C8" s="131">
        <f>'คิดทุน กระทุ้ง'!D43</f>
        <v>266.464</v>
      </c>
      <c r="D8" s="131">
        <f t="shared" si="0"/>
        <v>796.92800000000011</v>
      </c>
    </row>
    <row r="9" spans="1:8" x14ac:dyDescent="0.35">
      <c r="A9" s="126" t="s">
        <v>467</v>
      </c>
      <c r="B9" s="131">
        <f>'คิดทุน บานยก'!D40</f>
        <v>359.7</v>
      </c>
      <c r="C9" s="131">
        <f>'คิดทุน บานยก'!D41</f>
        <v>359.7</v>
      </c>
      <c r="D9" s="131">
        <f t="shared" si="0"/>
        <v>719.4</v>
      </c>
    </row>
    <row r="10" spans="1:8" x14ac:dyDescent="0.35">
      <c r="A10" s="126" t="s">
        <v>464</v>
      </c>
      <c r="B10" s="131">
        <f>'คิดทุน PC Door'!D50</f>
        <v>750.2</v>
      </c>
      <c r="C10" s="131">
        <f>'คิดทุน PC Door'!D51</f>
        <v>574.20000000000005</v>
      </c>
      <c r="D10" s="131">
        <f t="shared" si="0"/>
        <v>1324.4</v>
      </c>
    </row>
    <row r="11" spans="1:8" x14ac:dyDescent="0.35">
      <c r="A11" s="126" t="s">
        <v>89</v>
      </c>
      <c r="B11" s="131">
        <f>'คิดทุน Velora'!D32</f>
        <v>1035.76</v>
      </c>
      <c r="C11" s="131">
        <f>'คิดทุน Velora'!D33</f>
        <v>507.76</v>
      </c>
      <c r="D11" s="131">
        <f t="shared" si="0"/>
        <v>1543.52</v>
      </c>
    </row>
    <row r="12" spans="1:8" x14ac:dyDescent="0.35">
      <c r="A12" s="126" t="s">
        <v>2181</v>
      </c>
      <c r="B12" s="131">
        <f>'คิดทุน เฟี้ยม'!D64</f>
        <v>880</v>
      </c>
      <c r="C12" s="131">
        <f>'คิดทุน เฟี้ยม'!D65</f>
        <v>352</v>
      </c>
      <c r="D12" s="131">
        <f t="shared" si="0"/>
        <v>1232</v>
      </c>
    </row>
    <row r="13" spans="1:8" x14ac:dyDescent="0.35">
      <c r="A13" s="126" t="s">
        <v>470</v>
      </c>
      <c r="B13" s="131">
        <f>'คิดทุน เฟี้ยมยูโร'!E46</f>
        <v>704</v>
      </c>
      <c r="C13" s="131">
        <f>'คิดทุน เฟี้ยมยูโร'!E47</f>
        <v>352</v>
      </c>
      <c r="D13" s="131">
        <f t="shared" si="0"/>
        <v>1056</v>
      </c>
    </row>
    <row r="14" spans="1:8" x14ac:dyDescent="0.35">
      <c r="A14" s="126" t="s">
        <v>385</v>
      </c>
      <c r="B14" s="131">
        <f>'คิดทุน ติดตาย'!D26</f>
        <v>222</v>
      </c>
      <c r="C14" s="131">
        <f>'คิดทุน ติดตาย'!D27</f>
        <v>134</v>
      </c>
      <c r="D14" s="131">
        <f t="shared" si="0"/>
        <v>356</v>
      </c>
    </row>
    <row r="15" spans="1:8" x14ac:dyDescent="0.35">
      <c r="A15" s="126" t="s">
        <v>472</v>
      </c>
      <c r="B15" s="131">
        <f>'คิดทุน ตายดัดโค้ง'!D21</f>
        <v>624</v>
      </c>
      <c r="C15" s="131">
        <f>'คิดทุน ตายดัดโค้ง'!D22</f>
        <v>272</v>
      </c>
      <c r="D15" s="131">
        <f t="shared" si="0"/>
        <v>896</v>
      </c>
    </row>
    <row r="16" spans="1:8" x14ac:dyDescent="0.35">
      <c r="A16" s="126" t="s">
        <v>473</v>
      </c>
      <c r="B16" s="131">
        <f>'คิดทุน เปิดดัดโค้ง'!D17</f>
        <v>194</v>
      </c>
      <c r="C16" s="131">
        <f>'คิดทุน เปิดดัดโค้ง'!D18</f>
        <v>792</v>
      </c>
      <c r="D16" s="131">
        <f t="shared" si="0"/>
        <v>986</v>
      </c>
    </row>
    <row r="17" spans="1:4" x14ac:dyDescent="0.35">
      <c r="A17" s="126" t="s">
        <v>2189</v>
      </c>
      <c r="B17" s="131">
        <f>'คิดทุน ระแนง'!B10*'คิดทุน ระแนง'!E2</f>
        <v>1440</v>
      </c>
      <c r="C17" s="131">
        <f>'คิดทุน ระแนง'!B12*'คิดทุน ระแนง'!E2</f>
        <v>2880</v>
      </c>
      <c r="D17" s="131">
        <f t="shared" si="0"/>
        <v>4320</v>
      </c>
    </row>
    <row r="18" spans="1:4" x14ac:dyDescent="0.35">
      <c r="A18" s="126" t="s">
        <v>2184</v>
      </c>
      <c r="B18" s="131">
        <f>'คิดทุน ระแนงสลับ'!D32</f>
        <v>2400</v>
      </c>
      <c r="C18" s="131">
        <f>'คิดทุน ระแนงสลับ'!D33</f>
        <v>4800</v>
      </c>
      <c r="D18" s="131">
        <f t="shared" si="0"/>
        <v>7200</v>
      </c>
    </row>
    <row r="19" spans="1:4" x14ac:dyDescent="0.35">
      <c r="A19" s="126" t="s">
        <v>2185</v>
      </c>
      <c r="B19" s="131">
        <f>'คิดทุน ประตูรั้ว'!D48</f>
        <v>0</v>
      </c>
      <c r="C19" s="131">
        <f>'คิดทุน ประตูรั้ว'!D49</f>
        <v>0</v>
      </c>
      <c r="D19" s="131">
        <f t="shared" si="0"/>
        <v>0</v>
      </c>
    </row>
    <row r="20" spans="1:4" x14ac:dyDescent="0.35">
      <c r="A20" s="145" t="s">
        <v>548</v>
      </c>
      <c r="B20" s="146">
        <f>'คิดทุน บานเกล็ด'!D32</f>
        <v>882</v>
      </c>
      <c r="C20" s="146">
        <f>'คิดทุน บานเกล็ด'!D33</f>
        <v>882</v>
      </c>
      <c r="D20" s="146">
        <f t="shared" si="0"/>
        <v>1764</v>
      </c>
    </row>
    <row r="21" spans="1:4" x14ac:dyDescent="0.35">
      <c r="A21" s="25" t="s">
        <v>2186</v>
      </c>
      <c r="B21" s="123">
        <f>'คิดทุน หลังคา (รวม)'!D48</f>
        <v>651.20000000000005</v>
      </c>
      <c r="C21" s="123">
        <f>'คิดทุน หลังคา (รวม)'!D49</f>
        <v>651.20000000000005</v>
      </c>
      <c r="D21" s="123">
        <f>SUM(D3:D20)</f>
        <v>28825.047999999999</v>
      </c>
    </row>
    <row r="22" spans="1:4" x14ac:dyDescent="0.35">
      <c r="A22" s="25" t="s">
        <v>2190</v>
      </c>
      <c r="B22" s="25">
        <f>SUM(B3:B21)</f>
        <v>14076.724</v>
      </c>
      <c r="C22" s="25">
        <f>SUM(C3:C21)</f>
        <v>16050.724</v>
      </c>
    </row>
  </sheetData>
  <mergeCells count="1">
    <mergeCell ref="A1:D1"/>
  </mergeCells>
  <hyperlinks>
    <hyperlink ref="G1" location="'สารบัญ'!A1" display="🏠 สารบัญ" xr:uid="{00000000-0004-0000-2800-000000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H9"/>
  <sheetViews>
    <sheetView workbookViewId="0"/>
  </sheetViews>
  <sheetFormatPr defaultRowHeight="14.5" x14ac:dyDescent="0.35"/>
  <cols>
    <col min="1" max="2" width="46" customWidth="1"/>
    <col min="3" max="3" width="17.453125" customWidth="1"/>
    <col min="4" max="4" width="26.08984375" customWidth="1"/>
    <col min="5" max="5" width="17.453125" customWidth="1"/>
    <col min="6" max="6" width="19.7265625" customWidth="1"/>
    <col min="7" max="7" width="13" customWidth="1"/>
  </cols>
  <sheetData>
    <row r="1" spans="1:8" ht="17.5" x14ac:dyDescent="0.35">
      <c r="A1" s="416" t="s">
        <v>2191</v>
      </c>
      <c r="B1" s="411"/>
      <c r="C1" s="411"/>
      <c r="D1" s="411"/>
      <c r="E1" s="411"/>
      <c r="F1" s="411"/>
      <c r="G1" s="388" t="s">
        <v>78</v>
      </c>
      <c r="H1" s="389"/>
    </row>
    <row r="3" spans="1:8" x14ac:dyDescent="0.35">
      <c r="B3" s="200" t="s">
        <v>481</v>
      </c>
      <c r="C3" s="200" t="s">
        <v>1268</v>
      </c>
      <c r="D3" s="200" t="s">
        <v>2192</v>
      </c>
      <c r="E3" s="200" t="s">
        <v>2193</v>
      </c>
      <c r="F3" s="200" t="s">
        <v>2194</v>
      </c>
    </row>
    <row r="4" spans="1:8" x14ac:dyDescent="0.35">
      <c r="B4" s="227" t="s">
        <v>485</v>
      </c>
      <c r="C4" s="216">
        <f>ฝ้ายิปซัม!F23</f>
        <v>14198</v>
      </c>
      <c r="D4" s="212">
        <f>ฝ้ายิปซัม!F27</f>
        <v>28396</v>
      </c>
      <c r="E4" s="228">
        <f>ฝ้ายิปซัม!F27-ฝ้ายิปซัม!F23</f>
        <v>14198</v>
      </c>
      <c r="F4" s="229">
        <f>ฝ้ายิปซัม!F29</f>
        <v>34500</v>
      </c>
    </row>
    <row r="5" spans="1:8" x14ac:dyDescent="0.35">
      <c r="B5" s="227" t="s">
        <v>501</v>
      </c>
      <c r="C5" s="216">
        <f>งานไฟ!F21</f>
        <v>13363.333333333332</v>
      </c>
      <c r="D5" s="212">
        <f>งานไฟ!F25</f>
        <v>26726.666666666664</v>
      </c>
      <c r="E5" s="228">
        <f>งานไฟ!F25-งานไฟ!F21</f>
        <v>13363.333333333332</v>
      </c>
      <c r="F5" s="229" t="s">
        <v>2195</v>
      </c>
    </row>
    <row r="6" spans="1:8" x14ac:dyDescent="0.35">
      <c r="B6" s="227" t="s">
        <v>513</v>
      </c>
      <c r="C6" s="216">
        <f>สมาร์ทบอร์ด!F22</f>
        <v>15942</v>
      </c>
      <c r="D6" s="212">
        <f>สมาร์ทบอร์ด!F27</f>
        <v>31884</v>
      </c>
      <c r="E6" s="228">
        <f>สมาร์ทบอร์ด!F27-สมาร์ทบอร์ด!F22</f>
        <v>15942</v>
      </c>
      <c r="F6" s="229">
        <f>สมาร์ทบอร์ด!F29</f>
        <v>29160.000000000004</v>
      </c>
    </row>
    <row r="7" spans="1:8" x14ac:dyDescent="0.35">
      <c r="B7" s="227" t="s">
        <v>519</v>
      </c>
      <c r="C7" s="216">
        <f>ไอโซวอล!F20</f>
        <v>19924</v>
      </c>
      <c r="D7" s="212">
        <f>ไอโซวอล!F25</f>
        <v>39848</v>
      </c>
      <c r="E7" s="228">
        <f>ไอโซวอล!F25-ไอโซวอล!F20</f>
        <v>19924</v>
      </c>
      <c r="F7" s="229">
        <f>ไอโซวอล!F27</f>
        <v>36450.000000000007</v>
      </c>
    </row>
    <row r="8" spans="1:8" x14ac:dyDescent="0.35">
      <c r="B8" s="227" t="s">
        <v>527</v>
      </c>
      <c r="C8" s="216">
        <f>คิดทุนฝ้าไม้เทียม!F19</f>
        <v>16994</v>
      </c>
      <c r="D8" s="212">
        <f>คิดทุนฝ้าไม้เทียม!F20</f>
        <v>33988</v>
      </c>
      <c r="E8" s="228">
        <f>คิดทุนฝ้าไม้เทียม!F19</f>
        <v>16994</v>
      </c>
      <c r="F8" s="230" t="s">
        <v>2196</v>
      </c>
    </row>
    <row r="9" spans="1:8" x14ac:dyDescent="0.35">
      <c r="B9" s="453" t="s">
        <v>2197</v>
      </c>
      <c r="C9" s="411"/>
      <c r="D9" s="411"/>
      <c r="E9" s="411"/>
      <c r="F9" s="411"/>
    </row>
  </sheetData>
  <mergeCells count="2">
    <mergeCell ref="A1:F1"/>
    <mergeCell ref="B9:F9"/>
  </mergeCells>
  <hyperlinks>
    <hyperlink ref="G1" location="'สารบัญ'!A1" display="🏠 สารบัญ" xr:uid="{00000000-0004-0000-2900-000000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A6A6A6"/>
  </sheetPr>
  <dimension ref="A1:W14"/>
  <sheetViews>
    <sheetView showGridLines="0" zoomScaleNormal="100" workbookViewId="0"/>
  </sheetViews>
  <sheetFormatPr defaultColWidth="8.6328125" defaultRowHeight="14.5" x14ac:dyDescent="0.35"/>
  <cols>
    <col min="1" max="1" width="46" customWidth="1"/>
    <col min="2" max="2" width="13.7265625" customWidth="1"/>
    <col min="3" max="3" width="27.7265625" customWidth="1"/>
    <col min="4" max="4" width="6" customWidth="1"/>
    <col min="5" max="5" width="46" customWidth="1"/>
    <col min="6" max="6" width="17.453125" customWidth="1"/>
    <col min="7" max="7" width="36.7265625" customWidth="1"/>
    <col min="8" max="8" width="16.90625" customWidth="1"/>
    <col min="9" max="9" width="17.453125" customWidth="1"/>
    <col min="10" max="10" width="27.08984375" customWidth="1"/>
    <col min="13" max="23" width="13" customWidth="1"/>
  </cols>
  <sheetData>
    <row r="1" spans="1:23" ht="24" customHeight="1" x14ac:dyDescent="0.35">
      <c r="A1" s="437" t="s">
        <v>2198</v>
      </c>
      <c r="B1" s="411"/>
      <c r="C1" s="411"/>
      <c r="D1" s="411"/>
      <c r="E1" s="411"/>
      <c r="F1" s="411"/>
      <c r="G1" s="388" t="s">
        <v>78</v>
      </c>
      <c r="H1" s="389"/>
      <c r="K1" s="319"/>
    </row>
    <row r="2" spans="1:23" ht="15" customHeight="1" x14ac:dyDescent="0.35">
      <c r="A2" s="31" t="s">
        <v>1248</v>
      </c>
      <c r="B2" s="43" t="s">
        <v>1249</v>
      </c>
      <c r="C2" s="31" t="s">
        <v>2199</v>
      </c>
      <c r="D2" s="44">
        <v>1</v>
      </c>
      <c r="E2" s="425" t="s">
        <v>2200</v>
      </c>
      <c r="F2" s="426"/>
      <c r="G2" s="426"/>
      <c r="H2" s="426"/>
      <c r="I2" s="426"/>
      <c r="J2" s="427"/>
      <c r="M2" s="3">
        <f>ราคาวัสดุกลาง!$E$13</f>
        <v>1234.9998000000001</v>
      </c>
      <c r="N2" s="3">
        <f>ราคาวัสดุกลาง!$E$14</f>
        <v>1045.0008</v>
      </c>
      <c r="O2" s="3">
        <f>IF($B$2="ภายใน",ราคาวัสดุกลาง!$E$16,ราคาวัสดุกลาง!$E$15)</f>
        <v>2070</v>
      </c>
      <c r="P2" s="3">
        <f>ราคาวัสดุกลาง!$E$17</f>
        <v>885.00059999999996</v>
      </c>
      <c r="Q2" s="3">
        <f>ราคาวัสดุกลาง!$E$18</f>
        <v>745.00019999999995</v>
      </c>
      <c r="R2" s="3">
        <f>ราคาวัสดุกลาง!$E$19</f>
        <v>1234.9998000000001</v>
      </c>
      <c r="S2" s="3">
        <f>ราคาวัสดุกลาง!$E$20</f>
        <v>1060.0001999999999</v>
      </c>
      <c r="T2" s="3">
        <f>ราคาวัสดุกลาง!$E$21</f>
        <v>174.99959999999999</v>
      </c>
      <c r="U2" s="3">
        <f>ราคาวัสดุกลาง!$E$22</f>
        <v>145.0008</v>
      </c>
      <c r="V2" s="3">
        <f>ราคาวัสดุกลาง!$E$23</f>
        <v>149.99940000000001</v>
      </c>
    </row>
    <row r="3" spans="1:23" ht="23.25" customHeight="1" x14ac:dyDescent="0.35">
      <c r="A3" s="35" t="s">
        <v>2201</v>
      </c>
      <c r="B3" s="35" t="s">
        <v>2202</v>
      </c>
      <c r="C3" s="35" t="s">
        <v>2203</v>
      </c>
      <c r="D3" s="35" t="s">
        <v>415</v>
      </c>
      <c r="E3" s="35" t="s">
        <v>2204</v>
      </c>
      <c r="F3" s="35" t="s">
        <v>1125</v>
      </c>
      <c r="G3" s="35" t="s">
        <v>2205</v>
      </c>
      <c r="H3" s="35" t="s">
        <v>2206</v>
      </c>
      <c r="I3" s="35" t="s">
        <v>1273</v>
      </c>
      <c r="J3" s="35" t="s">
        <v>2207</v>
      </c>
    </row>
    <row r="4" spans="1:23" ht="15" customHeight="1" x14ac:dyDescent="0.35">
      <c r="A4" s="37" t="s">
        <v>2208</v>
      </c>
      <c r="B4" s="45">
        <v>140</v>
      </c>
      <c r="C4" s="45">
        <v>150</v>
      </c>
      <c r="D4" s="45">
        <v>2</v>
      </c>
      <c r="E4" s="46">
        <f t="shared" ref="E4:E11" si="0">(B4/100)*(C4/100)</f>
        <v>2.0999999999999996</v>
      </c>
      <c r="F4" s="47">
        <f>(W4+((B4/100)+(D4-1)*0.1)*(C4/100)*ราคาวัสดุกลาง!$B$26+ราคาวัสดุกลาง!$B$33)/E4</f>
        <v>4599.5240952380964</v>
      </c>
      <c r="G4" s="48">
        <f t="shared" ref="G4:G11" si="1">ROUNDUP(F4*(1+$D$2)/100,0)*100</f>
        <v>9200</v>
      </c>
      <c r="H4" s="47">
        <f t="shared" ref="H4:H11" si="2">E4*G4</f>
        <v>19319.999999999996</v>
      </c>
      <c r="I4" s="49">
        <f t="shared" ref="I4:I11" si="3">(G4-F4)/F4</f>
        <v>1.0002069365230182</v>
      </c>
      <c r="J4" s="50">
        <v>6500</v>
      </c>
      <c r="M4" s="4">
        <f>IF(FLOOR(ราคาวัสดุกลาง!$B$4/($B4/100),1)&lt;1,ROUNDUP(($B4/100)/ราคาวัสดุกลาง!$B$4,0)*(1),ROUNDUP((1)/FLOOR(ราคาวัสดุกลาง!$B$4/($B4/100),1),0))</f>
        <v>1</v>
      </c>
      <c r="N4" s="4">
        <f>IF(FLOOR(ราคาวัสดุกลาง!$B$4/($C4/100),1)&lt;1,ROUNDUP(($C4/100)/ราคาวัสดุกลาง!$B$4,0)*(2),ROUNDUP((2)/FLOOR(ราคาวัสดุกลาง!$B$4/($C4/100),1),0))</f>
        <v>1</v>
      </c>
      <c r="O4" s="4">
        <f>IF(FLOOR(ราคาวัสดุกลาง!$B$4/($B4/100),1)&lt;1,ROUNDUP(($B4/100)/ราคาวัสดุกลาง!$B$4,0)*(1),ROUNDUP((1)/FLOOR(ราคาวัสดุกลาง!$B$4/($B4/100),1),0))</f>
        <v>1</v>
      </c>
      <c r="P4" s="4">
        <f>IF(FLOOR(ราคาวัสดุกลาง!$B$4/($C4/100),1)&lt;1,ROUNDUP(($C4/100)/ราคาวัสดุกลาง!$B$4,0)*(2),ROUNDUP((2)/FLOOR(ราคาวัสดุกลาง!$B$4/($C4/100),1),0))</f>
        <v>1</v>
      </c>
      <c r="Q4" s="4">
        <f>IF(FLOOR(ราคาวัสดุกลาง!$B$4/($C4/100),1)&lt;1,ROUNDUP(($C4/100)/ราคาวัสดุกลาง!$B$4,0)*(IF($C4/100&gt;2.4,$D4-1,2*($D4-1))),ROUNDUP((IF($C4/100&gt;2.4,$D4-1,2*($D4-1)))/FLOOR(ราคาวัสดุกลาง!$B$4/($C4/100),1),0))</f>
        <v>1</v>
      </c>
      <c r="R4" s="4">
        <f>IF(FLOOR(ราคาวัสดุกลาง!$B$4/($C4/100),1)&lt;1,ROUNDUP(($C4/100)/ราคาวัสดุกลาง!$B$4,0)*(IF($C4/100&gt;2.4,$D4-1,0)),ROUNDUP((IF($C4/100&gt;2.4,$D4-1,0))/FLOOR(ราคาวัสดุกลาง!$B$4/($C4/100),1),0))</f>
        <v>0</v>
      </c>
      <c r="S4" s="4">
        <f>IF(FLOOR(ราคาวัสดุกลาง!$B$4/(($B4/100)/$D4),1)&lt;1,ROUNDUP((($B4/100)/$D4)/ราคาวัสดุกลาง!$B$4,0)*(2*$D4),ROUNDUP((2*$D4)/FLOOR(ราคาวัสดุกลาง!$B$4/(($B4/100)/$D4),1),0))</f>
        <v>1</v>
      </c>
      <c r="T4" s="4">
        <f>IF(FLOOR(ราคาวัสดุกลาง!$B$4/($C4/100),1)&lt;1,ROUNDUP(($C4/100)/ราคาวัสดุกลาง!$B$4,0)*(4),ROUNDUP((4)/FLOOR(ราคาวัสดุกลาง!$B$4/($C4/100),1),0))</f>
        <v>1</v>
      </c>
      <c r="U4" s="4">
        <f>IF(FLOOR(ราคาวัสดุกลาง!$B$4/($B4/100),1)&lt;1,ROUNDUP(($B4/100)/ราคาวัสดุกลาง!$B$4,0)*(IF($B$2="ภายใน",2,0)),ROUNDUP((IF($B$2="ภายใน",2,0))/FLOOR(ราคาวัสดุกลาง!$B$4/($B4/100),1),0))</f>
        <v>0</v>
      </c>
      <c r="V4" s="4">
        <f>IF(FLOOR(ราคาวัสดุกลาง!$B$4/($B4/100),1)&lt;1,ROUNDUP(($B4/100)/ราคาวัสดุกลาง!$B$4,0)*(IF($B$2="ภายใน",0,$D4)),ROUNDUP((IF($B$2="ภายใน",0,$D4))/FLOOR(ราคาวัสดุกลาง!$B$4/($B4/100),1),0))</f>
        <v>1</v>
      </c>
      <c r="W4" s="5">
        <f t="shared" ref="W4:W11" si="4">SUMPRODUCT(M4:V4,M$2:V$2)</f>
        <v>7365.0006000000012</v>
      </c>
    </row>
    <row r="5" spans="1:23" ht="15" customHeight="1" x14ac:dyDescent="0.35">
      <c r="A5" s="37" t="s">
        <v>2209</v>
      </c>
      <c r="B5" s="45">
        <v>150</v>
      </c>
      <c r="C5" s="45">
        <v>200</v>
      </c>
      <c r="D5" s="45">
        <v>2</v>
      </c>
      <c r="E5" s="46">
        <f t="shared" si="0"/>
        <v>3</v>
      </c>
      <c r="F5" s="47">
        <f>(W5+((B5/100)+(D5-1)*0.1)*(C5/100)*ราคาวัสดุกลาง!$B$26+ราคาวัสดุกลาง!$B$33)/E5</f>
        <v>3361.6000666666673</v>
      </c>
      <c r="G5" s="48">
        <f t="shared" si="1"/>
        <v>6800</v>
      </c>
      <c r="H5" s="47">
        <f t="shared" si="2"/>
        <v>20400</v>
      </c>
      <c r="I5" s="49">
        <f t="shared" si="3"/>
        <v>1.0228462235672251</v>
      </c>
      <c r="J5" s="50">
        <v>6000</v>
      </c>
      <c r="M5" s="4">
        <f>IF(FLOOR(ราคาวัสดุกลาง!$B$4/($B5/100),1)&lt;1,ROUNDUP(($B5/100)/ราคาวัสดุกลาง!$B$4,0)*(1),ROUNDUP((1)/FLOOR(ราคาวัสดุกลาง!$B$4/($B5/100),1),0))</f>
        <v>1</v>
      </c>
      <c r="N5" s="4">
        <f>IF(FLOOR(ราคาวัสดุกลาง!$B$4/($C5/100),1)&lt;1,ROUNDUP(($C5/100)/ราคาวัสดุกลาง!$B$4,0)*(2),ROUNDUP((2)/FLOOR(ราคาวัสดุกลาง!$B$4/($C5/100),1),0))</f>
        <v>1</v>
      </c>
      <c r="O5" s="4">
        <f>IF(FLOOR(ราคาวัสดุกลาง!$B$4/($B5/100),1)&lt;1,ROUNDUP(($B5/100)/ราคาวัสดุกลาง!$B$4,0)*(1),ROUNDUP((1)/FLOOR(ราคาวัสดุกลาง!$B$4/($B5/100),1),0))</f>
        <v>1</v>
      </c>
      <c r="P5" s="4">
        <f>IF(FLOOR(ราคาวัสดุกลาง!$B$4/($C5/100),1)&lt;1,ROUNDUP(($C5/100)/ราคาวัสดุกลาง!$B$4,0)*(2),ROUNDUP((2)/FLOOR(ราคาวัสดุกลาง!$B$4/($C5/100),1),0))</f>
        <v>1</v>
      </c>
      <c r="Q5" s="4">
        <f>IF(FLOOR(ราคาวัสดุกลาง!$B$4/($C5/100),1)&lt;1,ROUNDUP(($C5/100)/ราคาวัสดุกลาง!$B$4,0)*(IF($C5/100&gt;2.4,$D5-1,2*($D5-1))),ROUNDUP((IF($C5/100&gt;2.4,$D5-1,2*($D5-1)))/FLOOR(ราคาวัสดุกลาง!$B$4/($C5/100),1),0))</f>
        <v>1</v>
      </c>
      <c r="R5" s="4">
        <f>IF(FLOOR(ราคาวัสดุกลาง!$B$4/($C5/100),1)&lt;1,ROUNDUP(($C5/100)/ราคาวัสดุกลาง!$B$4,0)*(IF($C5/100&gt;2.4,$D5-1,0)),ROUNDUP((IF($C5/100&gt;2.4,$D5-1,0))/FLOOR(ราคาวัสดุกลาง!$B$4/($C5/100),1),0))</f>
        <v>0</v>
      </c>
      <c r="S5" s="4">
        <f>IF(FLOOR(ราคาวัสดุกลาง!$B$4/(($B5/100)/$D5),1)&lt;1,ROUNDUP((($B5/100)/$D5)/ราคาวัสดุกลาง!$B$4,0)*(2*$D5),ROUNDUP((2*$D5)/FLOOR(ราคาวัสดุกลาง!$B$4/(($B5/100)/$D5),1),0))</f>
        <v>1</v>
      </c>
      <c r="T5" s="4">
        <f>IF(FLOOR(ราคาวัสดุกลาง!$B$4/($C5/100),1)&lt;1,ROUNDUP(($C5/100)/ราคาวัสดุกลาง!$B$4,0)*(4),ROUNDUP((4)/FLOOR(ราคาวัสดุกลาง!$B$4/($C5/100),1),0))</f>
        <v>2</v>
      </c>
      <c r="U5" s="4">
        <f>IF(FLOOR(ราคาวัสดุกลาง!$B$4/($B5/100),1)&lt;1,ROUNDUP(($B5/100)/ราคาวัสดุกลาง!$B$4,0)*(IF($B$2="ภายใน",2,0)),ROUNDUP((IF($B$2="ภายใน",2,0))/FLOOR(ราคาวัสดุกลาง!$B$4/($B5/100),1),0))</f>
        <v>0</v>
      </c>
      <c r="V5" s="4">
        <f>IF(FLOOR(ราคาวัสดุกลาง!$B$4/($B5/100),1)&lt;1,ROUNDUP(($B5/100)/ราคาวัสดุกลาง!$B$4,0)*(IF($B$2="ภายใน",0,$D5)),ROUNDUP((IF($B$2="ภายใน",0,$D5))/FLOOR(ราคาวัสดุกลาง!$B$4/($B5/100),1),0))</f>
        <v>1</v>
      </c>
      <c r="W5" s="5">
        <f t="shared" si="4"/>
        <v>7540.0002000000013</v>
      </c>
    </row>
    <row r="6" spans="1:23" ht="15" customHeight="1" x14ac:dyDescent="0.35">
      <c r="A6" s="37" t="s">
        <v>2210</v>
      </c>
      <c r="B6" s="45">
        <v>200</v>
      </c>
      <c r="C6" s="45">
        <v>200</v>
      </c>
      <c r="D6" s="45">
        <v>2</v>
      </c>
      <c r="E6" s="46">
        <f t="shared" si="0"/>
        <v>4</v>
      </c>
      <c r="F6" s="47">
        <f>(W6+((B6/100)+(D6-1)*0.1)*(C6/100)*ราคาวัสดุกลาง!$B$26+ราคาวัสดุกลาง!$B$33)/E6</f>
        <v>2587.2000500000004</v>
      </c>
      <c r="G6" s="48">
        <f t="shared" si="1"/>
        <v>5200</v>
      </c>
      <c r="H6" s="47">
        <f t="shared" si="2"/>
        <v>20800</v>
      </c>
      <c r="I6" s="49">
        <f t="shared" si="3"/>
        <v>1.0098948281946729</v>
      </c>
      <c r="J6" s="50">
        <v>5700</v>
      </c>
      <c r="M6" s="4">
        <f>IF(FLOOR(ราคาวัสดุกลาง!$B$4/($B6/100),1)&lt;1,ROUNDUP(($B6/100)/ราคาวัสดุกลาง!$B$4,0)*(1),ROUNDUP((1)/FLOOR(ราคาวัสดุกลาง!$B$4/($B6/100),1),0))</f>
        <v>1</v>
      </c>
      <c r="N6" s="4">
        <f>IF(FLOOR(ราคาวัสดุกลาง!$B$4/($C6/100),1)&lt;1,ROUNDUP(($C6/100)/ราคาวัสดุกลาง!$B$4,0)*(2),ROUNDUP((2)/FLOOR(ราคาวัสดุกลาง!$B$4/($C6/100),1),0))</f>
        <v>1</v>
      </c>
      <c r="O6" s="4">
        <f>IF(FLOOR(ราคาวัสดุกลาง!$B$4/($B6/100),1)&lt;1,ROUNDUP(($B6/100)/ราคาวัสดุกลาง!$B$4,0)*(1),ROUNDUP((1)/FLOOR(ราคาวัสดุกลาง!$B$4/($B6/100),1),0))</f>
        <v>1</v>
      </c>
      <c r="P6" s="4">
        <f>IF(FLOOR(ราคาวัสดุกลาง!$B$4/($C6/100),1)&lt;1,ROUNDUP(($C6/100)/ราคาวัสดุกลาง!$B$4,0)*(2),ROUNDUP((2)/FLOOR(ราคาวัสดุกลาง!$B$4/($C6/100),1),0))</f>
        <v>1</v>
      </c>
      <c r="Q6" s="4">
        <f>IF(FLOOR(ราคาวัสดุกลาง!$B$4/($C6/100),1)&lt;1,ROUNDUP(($C6/100)/ราคาวัสดุกลาง!$B$4,0)*(IF($C6/100&gt;2.4,$D6-1,2*($D6-1))),ROUNDUP((IF($C6/100&gt;2.4,$D6-1,2*($D6-1)))/FLOOR(ราคาวัสดุกลาง!$B$4/($C6/100),1),0))</f>
        <v>1</v>
      </c>
      <c r="R6" s="4">
        <f>IF(FLOOR(ราคาวัสดุกลาง!$B$4/($C6/100),1)&lt;1,ROUNDUP(($C6/100)/ราคาวัสดุกลาง!$B$4,0)*(IF($C6/100&gt;2.4,$D6-1,0)),ROUNDUP((IF($C6/100&gt;2.4,$D6-1,0))/FLOOR(ราคาวัสดุกลาง!$B$4/($C6/100),1),0))</f>
        <v>0</v>
      </c>
      <c r="S6" s="4">
        <f>IF(FLOOR(ราคาวัสดุกลาง!$B$4/(($B6/100)/$D6),1)&lt;1,ROUNDUP((($B6/100)/$D6)/ราคาวัสดุกลาง!$B$4,0)*(2*$D6),ROUNDUP((2*$D6)/FLOOR(ราคาวัสดุกลาง!$B$4/(($B6/100)/$D6),1),0))</f>
        <v>1</v>
      </c>
      <c r="T6" s="4">
        <f>IF(FLOOR(ราคาวัสดุกลาง!$B$4/($C6/100),1)&lt;1,ROUNDUP(($C6/100)/ราคาวัสดุกลาง!$B$4,0)*(4),ROUNDUP((4)/FLOOR(ราคาวัสดุกลาง!$B$4/($C6/100),1),0))</f>
        <v>2</v>
      </c>
      <c r="U6" s="4">
        <f>IF(FLOOR(ราคาวัสดุกลาง!$B$4/($B6/100),1)&lt;1,ROUNDUP(($B6/100)/ราคาวัสดุกลาง!$B$4,0)*(IF($B$2="ภายใน",2,0)),ROUNDUP((IF($B$2="ภายใน",2,0))/FLOOR(ราคาวัสดุกลาง!$B$4/($B6/100),1),0))</f>
        <v>0</v>
      </c>
      <c r="V6" s="4">
        <f>IF(FLOOR(ราคาวัสดุกลาง!$B$4/($B6/100),1)&lt;1,ROUNDUP(($B6/100)/ราคาวัสดุกลาง!$B$4,0)*(IF($B$2="ภายใน",0,$D6)),ROUNDUP((IF($B$2="ภายใน",0,$D6))/FLOOR(ราคาวัสดุกลาง!$B$4/($B6/100),1),0))</f>
        <v>1</v>
      </c>
      <c r="W6" s="5">
        <f t="shared" si="4"/>
        <v>7540.0002000000013</v>
      </c>
    </row>
    <row r="7" spans="1:23" ht="15" customHeight="1" x14ac:dyDescent="0.35">
      <c r="A7" s="37" t="s">
        <v>2211</v>
      </c>
      <c r="B7" s="45">
        <v>240</v>
      </c>
      <c r="C7" s="45">
        <v>200</v>
      </c>
      <c r="D7" s="45">
        <v>2</v>
      </c>
      <c r="E7" s="46">
        <f t="shared" si="0"/>
        <v>4.8</v>
      </c>
      <c r="F7" s="47">
        <f>(W7+((B7/100)+(D7-1)*0.1)*(C7/100)*ราคาวัสดุกลาง!$B$26+ราคาวัสดุกลาง!$B$33)/E7</f>
        <v>2200.0000416666671</v>
      </c>
      <c r="G7" s="48">
        <f t="shared" si="1"/>
        <v>4500</v>
      </c>
      <c r="H7" s="47">
        <f t="shared" si="2"/>
        <v>21600</v>
      </c>
      <c r="I7" s="49">
        <f t="shared" si="3"/>
        <v>1.0454545067148764</v>
      </c>
      <c r="J7" s="50">
        <v>5000</v>
      </c>
      <c r="M7" s="4">
        <f>IF(FLOOR(ราคาวัสดุกลาง!$B$4/($B7/100),1)&lt;1,ROUNDUP(($B7/100)/ราคาวัสดุกลาง!$B$4,0)*(1),ROUNDUP((1)/FLOOR(ราคาวัสดุกลาง!$B$4/($B7/100),1),0))</f>
        <v>1</v>
      </c>
      <c r="N7" s="4">
        <f>IF(FLOOR(ราคาวัสดุกลาง!$B$4/($C7/100),1)&lt;1,ROUNDUP(($C7/100)/ราคาวัสดุกลาง!$B$4,0)*(2),ROUNDUP((2)/FLOOR(ราคาวัสดุกลาง!$B$4/($C7/100),1),0))</f>
        <v>1</v>
      </c>
      <c r="O7" s="4">
        <f>IF(FLOOR(ราคาวัสดุกลาง!$B$4/($B7/100),1)&lt;1,ROUNDUP(($B7/100)/ราคาวัสดุกลาง!$B$4,0)*(1),ROUNDUP((1)/FLOOR(ราคาวัสดุกลาง!$B$4/($B7/100),1),0))</f>
        <v>1</v>
      </c>
      <c r="P7" s="4">
        <f>IF(FLOOR(ราคาวัสดุกลาง!$B$4/($C7/100),1)&lt;1,ROUNDUP(($C7/100)/ราคาวัสดุกลาง!$B$4,0)*(2),ROUNDUP((2)/FLOOR(ราคาวัสดุกลาง!$B$4/($C7/100),1),0))</f>
        <v>1</v>
      </c>
      <c r="Q7" s="4">
        <f>IF(FLOOR(ราคาวัสดุกลาง!$B$4/($C7/100),1)&lt;1,ROUNDUP(($C7/100)/ราคาวัสดุกลาง!$B$4,0)*(IF($C7/100&gt;2.4,$D7-1,2*($D7-1))),ROUNDUP((IF($C7/100&gt;2.4,$D7-1,2*($D7-1)))/FLOOR(ราคาวัสดุกลาง!$B$4/($C7/100),1),0))</f>
        <v>1</v>
      </c>
      <c r="R7" s="4">
        <f>IF(FLOOR(ราคาวัสดุกลาง!$B$4/($C7/100),1)&lt;1,ROUNDUP(($C7/100)/ราคาวัสดุกลาง!$B$4,0)*(IF($C7/100&gt;2.4,$D7-1,0)),ROUNDUP((IF($C7/100&gt;2.4,$D7-1,0))/FLOOR(ราคาวัสดุกลาง!$B$4/($C7/100),1),0))</f>
        <v>0</v>
      </c>
      <c r="S7" s="4">
        <f>IF(FLOOR(ราคาวัสดุกลาง!$B$4/(($B7/100)/$D7),1)&lt;1,ROUNDUP((($B7/100)/$D7)/ราคาวัสดุกลาง!$B$4,0)*(2*$D7),ROUNDUP((2*$D7)/FLOOR(ราคาวัสดุกลาง!$B$4/(($B7/100)/$D7),1),0))</f>
        <v>1</v>
      </c>
      <c r="T7" s="4">
        <f>IF(FLOOR(ราคาวัสดุกลาง!$B$4/($C7/100),1)&lt;1,ROUNDUP(($C7/100)/ราคาวัสดุกลาง!$B$4,0)*(4),ROUNDUP((4)/FLOOR(ราคาวัสดุกลาง!$B$4/($C7/100),1),0))</f>
        <v>2</v>
      </c>
      <c r="U7" s="4">
        <f>IF(FLOOR(ราคาวัสดุกลาง!$B$4/($B7/100),1)&lt;1,ROUNDUP(($B7/100)/ราคาวัสดุกลาง!$B$4,0)*(IF($B$2="ภายใน",2,0)),ROUNDUP((IF($B$2="ภายใน",2,0))/FLOOR(ราคาวัสดุกลาง!$B$4/($B7/100),1),0))</f>
        <v>0</v>
      </c>
      <c r="V7" s="4">
        <f>IF(FLOOR(ราคาวัสดุกลาง!$B$4/($B7/100),1)&lt;1,ROUNDUP(($B7/100)/ราคาวัสดุกลาง!$B$4,0)*(IF($B$2="ภายใน",0,$D7)),ROUNDUP((IF($B$2="ภายใน",0,$D7))/FLOOR(ราคาวัสดุกลาง!$B$4/($B7/100),1),0))</f>
        <v>1</v>
      </c>
      <c r="W7" s="5">
        <f t="shared" si="4"/>
        <v>7540.0002000000013</v>
      </c>
    </row>
    <row r="8" spans="1:23" ht="15" customHeight="1" x14ac:dyDescent="0.35">
      <c r="A8" s="37" t="s">
        <v>2212</v>
      </c>
      <c r="B8" s="45">
        <v>200</v>
      </c>
      <c r="C8" s="45">
        <v>300</v>
      </c>
      <c r="D8" s="45">
        <v>3</v>
      </c>
      <c r="E8" s="46">
        <f t="shared" si="0"/>
        <v>6</v>
      </c>
      <c r="F8" s="47">
        <f>(W8+((B8/100)+(D8-1)*0.1)*(C8/100)*ราคาวัสดุกลาง!$B$26+ราคาวัสดุกลาง!$B$33)/E8</f>
        <v>2036.2333333333336</v>
      </c>
      <c r="G8" s="48">
        <f t="shared" si="1"/>
        <v>4100</v>
      </c>
      <c r="H8" s="47">
        <f t="shared" si="2"/>
        <v>24600</v>
      </c>
      <c r="I8" s="49">
        <f t="shared" si="3"/>
        <v>1.0135216985610684</v>
      </c>
      <c r="J8" s="50">
        <v>4700</v>
      </c>
      <c r="M8" s="4">
        <f>IF(FLOOR(ราคาวัสดุกลาง!$B$4/($B8/100),1)&lt;1,ROUNDUP(($B8/100)/ราคาวัสดุกลาง!$B$4,0)*(1),ROUNDUP((1)/FLOOR(ราคาวัสดุกลาง!$B$4/($B8/100),1),0))</f>
        <v>1</v>
      </c>
      <c r="N8" s="4">
        <f>IF(FLOOR(ราคาวัสดุกลาง!$B$4/($C8/100),1)&lt;1,ROUNDUP(($C8/100)/ราคาวัสดุกลาง!$B$4,0)*(2),ROUNDUP((2)/FLOOR(ราคาวัสดุกลาง!$B$4/($C8/100),1),0))</f>
        <v>1</v>
      </c>
      <c r="O8" s="4">
        <f>IF(FLOOR(ราคาวัสดุกลาง!$B$4/($B8/100),1)&lt;1,ROUNDUP(($B8/100)/ราคาวัสดุกลาง!$B$4,0)*(1),ROUNDUP((1)/FLOOR(ราคาวัสดุกลาง!$B$4/($B8/100),1),0))</f>
        <v>1</v>
      </c>
      <c r="P8" s="4">
        <f>IF(FLOOR(ราคาวัสดุกลาง!$B$4/($C8/100),1)&lt;1,ROUNDUP(($C8/100)/ราคาวัสดุกลาง!$B$4,0)*(2),ROUNDUP((2)/FLOOR(ราคาวัสดุกลาง!$B$4/($C8/100),1),0))</f>
        <v>1</v>
      </c>
      <c r="Q8" s="4">
        <f>IF(FLOOR(ราคาวัสดุกลาง!$B$4/($C8/100),1)&lt;1,ROUNDUP(($C8/100)/ราคาวัสดุกลาง!$B$4,0)*(IF($C8/100&gt;2.4,$D8-1,2*($D8-1))),ROUNDUP((IF($C8/100&gt;2.4,$D8-1,2*($D8-1)))/FLOOR(ราคาวัสดุกลาง!$B$4/($C8/100),1),0))</f>
        <v>1</v>
      </c>
      <c r="R8" s="4">
        <f>IF(FLOOR(ราคาวัสดุกลาง!$B$4/($C8/100),1)&lt;1,ROUNDUP(($C8/100)/ราคาวัสดุกลาง!$B$4,0)*(IF($C8/100&gt;2.4,$D8-1,0)),ROUNDUP((IF($C8/100&gt;2.4,$D8-1,0))/FLOOR(ราคาวัสดุกลาง!$B$4/($C8/100),1),0))</f>
        <v>1</v>
      </c>
      <c r="S8" s="4">
        <f>IF(FLOOR(ราคาวัสดุกลาง!$B$4/(($B8/100)/$D8),1)&lt;1,ROUNDUP((($B8/100)/$D8)/ราคาวัสดุกลาง!$B$4,0)*(2*$D8),ROUNDUP((2*$D8)/FLOOR(ราคาวัสดุกลาง!$B$4/(($B8/100)/$D8),1),0))</f>
        <v>1</v>
      </c>
      <c r="T8" s="4">
        <f>IF(FLOOR(ราคาวัสดุกลาง!$B$4/($C8/100),1)&lt;1,ROUNDUP(($C8/100)/ราคาวัสดุกลาง!$B$4,0)*(4),ROUNDUP((4)/FLOOR(ราคาวัสดุกลาง!$B$4/($C8/100),1),0))</f>
        <v>2</v>
      </c>
      <c r="U8" s="4">
        <f>IF(FLOOR(ราคาวัสดุกลาง!$B$4/($B8/100),1)&lt;1,ROUNDUP(($B8/100)/ราคาวัสดุกลาง!$B$4,0)*(IF($B$2="ภายใน",2,0)),ROUNDUP((IF($B$2="ภายใน",2,0))/FLOOR(ราคาวัสดุกลาง!$B$4/($B8/100),1),0))</f>
        <v>0</v>
      </c>
      <c r="V8" s="4">
        <f>IF(FLOOR(ราคาวัสดุกลาง!$B$4/($B8/100),1)&lt;1,ROUNDUP(($B8/100)/ราคาวัสดุกลาง!$B$4,0)*(IF($B$2="ภายใน",0,$D8)),ROUNDUP((IF($B$2="ภายใน",0,$D8))/FLOOR(ราคาวัสดุกลาง!$B$4/($B8/100),1),0))</f>
        <v>1</v>
      </c>
      <c r="W8" s="5">
        <f t="shared" si="4"/>
        <v>8775.0000000000018</v>
      </c>
    </row>
    <row r="9" spans="1:23" ht="15" customHeight="1" x14ac:dyDescent="0.35">
      <c r="A9" s="37" t="s">
        <v>2213</v>
      </c>
      <c r="B9" s="45">
        <v>270</v>
      </c>
      <c r="C9" s="45">
        <v>300</v>
      </c>
      <c r="D9" s="45">
        <v>3</v>
      </c>
      <c r="E9" s="46">
        <f t="shared" si="0"/>
        <v>8.1000000000000014</v>
      </c>
      <c r="F9" s="47">
        <f>(W9+((B9/100)+(D9-1)*0.1)*(C9/100)*ราคาวัสดุกลาง!$B$26+ราคาวัสดุกลาง!$B$33)/E9</f>
        <v>1595.2838765432095</v>
      </c>
      <c r="G9" s="48">
        <f t="shared" si="1"/>
        <v>3200</v>
      </c>
      <c r="H9" s="47">
        <f t="shared" si="2"/>
        <v>25920.000000000004</v>
      </c>
      <c r="I9" s="49">
        <f t="shared" si="3"/>
        <v>1.005912582112984</v>
      </c>
      <c r="J9" s="50">
        <v>4400</v>
      </c>
      <c r="M9" s="4">
        <f>IF(FLOOR(ราคาวัสดุกลาง!$B$4/($B9/100),1)&lt;1,ROUNDUP(($B9/100)/ราคาวัสดุกลาง!$B$4,0)*(1),ROUNDUP((1)/FLOOR(ราคาวัสดุกลาง!$B$4/($B9/100),1),0))</f>
        <v>1</v>
      </c>
      <c r="N9" s="4">
        <f>IF(FLOOR(ราคาวัสดุกลาง!$B$4/($C9/100),1)&lt;1,ROUNDUP(($C9/100)/ราคาวัสดุกลาง!$B$4,0)*(2),ROUNDUP((2)/FLOOR(ราคาวัสดุกลาง!$B$4/($C9/100),1),0))</f>
        <v>1</v>
      </c>
      <c r="O9" s="4">
        <f>IF(FLOOR(ราคาวัสดุกลาง!$B$4/($B9/100),1)&lt;1,ROUNDUP(($B9/100)/ราคาวัสดุกลาง!$B$4,0)*(1),ROUNDUP((1)/FLOOR(ราคาวัสดุกลาง!$B$4/($B9/100),1),0))</f>
        <v>1</v>
      </c>
      <c r="P9" s="4">
        <f>IF(FLOOR(ราคาวัสดุกลาง!$B$4/($C9/100),1)&lt;1,ROUNDUP(($C9/100)/ราคาวัสดุกลาง!$B$4,0)*(2),ROUNDUP((2)/FLOOR(ราคาวัสดุกลาง!$B$4/($C9/100),1),0))</f>
        <v>1</v>
      </c>
      <c r="Q9" s="4">
        <f>IF(FLOOR(ราคาวัสดุกลาง!$B$4/($C9/100),1)&lt;1,ROUNDUP(($C9/100)/ราคาวัสดุกลาง!$B$4,0)*(IF($C9/100&gt;2.4,$D9-1,2*($D9-1))),ROUNDUP((IF($C9/100&gt;2.4,$D9-1,2*($D9-1)))/FLOOR(ราคาวัสดุกลาง!$B$4/($C9/100),1),0))</f>
        <v>1</v>
      </c>
      <c r="R9" s="4">
        <f>IF(FLOOR(ราคาวัสดุกลาง!$B$4/($C9/100),1)&lt;1,ROUNDUP(($C9/100)/ราคาวัสดุกลาง!$B$4,0)*(IF($C9/100&gt;2.4,$D9-1,0)),ROUNDUP((IF($C9/100&gt;2.4,$D9-1,0))/FLOOR(ราคาวัสดุกลาง!$B$4/($C9/100),1),0))</f>
        <v>1</v>
      </c>
      <c r="S9" s="4">
        <f>IF(FLOOR(ราคาวัสดุกลาง!$B$4/(($B9/100)/$D9),1)&lt;1,ROUNDUP((($B9/100)/$D9)/ราคาวัสดุกลาง!$B$4,0)*(2*$D9),ROUNDUP((2*$D9)/FLOOR(ราคาวัสดุกลาง!$B$4/(($B9/100)/$D9),1),0))</f>
        <v>1</v>
      </c>
      <c r="T9" s="4">
        <f>IF(FLOOR(ราคาวัสดุกลาง!$B$4/($C9/100),1)&lt;1,ROUNDUP(($C9/100)/ราคาวัสดุกลาง!$B$4,0)*(4),ROUNDUP((4)/FLOOR(ราคาวัสดุกลาง!$B$4/($C9/100),1),0))</f>
        <v>2</v>
      </c>
      <c r="U9" s="4">
        <f>IF(FLOOR(ราคาวัสดุกลาง!$B$4/($B9/100),1)&lt;1,ROUNDUP(($B9/100)/ราคาวัสดุกลาง!$B$4,0)*(IF($B$2="ภายใน",2,0)),ROUNDUP((IF($B$2="ภายใน",2,0))/FLOOR(ราคาวัสดุกลาง!$B$4/($B9/100),1),0))</f>
        <v>0</v>
      </c>
      <c r="V9" s="4">
        <f>IF(FLOOR(ราคาวัสดุกลาง!$B$4/($B9/100),1)&lt;1,ROUNDUP(($B9/100)/ราคาวัสดุกลาง!$B$4,0)*(IF($B$2="ภายใน",0,$D9)),ROUNDUP((IF($B$2="ภายใน",0,$D9))/FLOOR(ราคาวัสดุกลาง!$B$4/($B9/100),1),0))</f>
        <v>2</v>
      </c>
      <c r="W9" s="5">
        <f t="shared" si="4"/>
        <v>8924.9994000000006</v>
      </c>
    </row>
    <row r="10" spans="1:23" ht="15" customHeight="1" x14ac:dyDescent="0.35">
      <c r="A10" s="37" t="s">
        <v>2214</v>
      </c>
      <c r="B10" s="45">
        <v>390</v>
      </c>
      <c r="C10" s="45">
        <v>300</v>
      </c>
      <c r="D10" s="45">
        <v>3</v>
      </c>
      <c r="E10" s="46">
        <f t="shared" si="0"/>
        <v>11.7</v>
      </c>
      <c r="F10" s="47">
        <f>(W10+((B10/100)+(D10-1)*0.1)*(C10/100)*ราคาวัสดุกลาง!$B$26+ราคาวัสดุกลาง!$B$33)/E10</f>
        <v>1289.0768376068377</v>
      </c>
      <c r="G10" s="48">
        <f t="shared" si="1"/>
        <v>2600</v>
      </c>
      <c r="H10" s="47">
        <f t="shared" si="2"/>
        <v>30419.999999999996</v>
      </c>
      <c r="I10" s="49">
        <f t="shared" si="3"/>
        <v>1.0169472634593932</v>
      </c>
      <c r="J10" s="50">
        <v>4200</v>
      </c>
      <c r="M10" s="4">
        <f>IF(FLOOR(ราคาวัสดุกลาง!$B$4/($B10/100),1)&lt;1,ROUNDUP(($B10/100)/ราคาวัสดุกลาง!$B$4,0)*(1),ROUNDUP((1)/FLOOR(ราคาวัสดุกลาง!$B$4/($B10/100),1),0))</f>
        <v>1</v>
      </c>
      <c r="N10" s="4">
        <f>IF(FLOOR(ราคาวัสดุกลาง!$B$4/($C10/100),1)&lt;1,ROUNDUP(($C10/100)/ราคาวัสดุกลาง!$B$4,0)*(2),ROUNDUP((2)/FLOOR(ราคาวัสดุกลาง!$B$4/($C10/100),1),0))</f>
        <v>1</v>
      </c>
      <c r="O10" s="4">
        <f>IF(FLOOR(ราคาวัสดุกลาง!$B$4/($B10/100),1)&lt;1,ROUNDUP(($B10/100)/ราคาวัสดุกลาง!$B$4,0)*(1),ROUNDUP((1)/FLOOR(ราคาวัสดุกลาง!$B$4/($B10/100),1),0))</f>
        <v>1</v>
      </c>
      <c r="P10" s="4">
        <f>IF(FLOOR(ราคาวัสดุกลาง!$B$4/($C10/100),1)&lt;1,ROUNDUP(($C10/100)/ราคาวัสดุกลาง!$B$4,0)*(2),ROUNDUP((2)/FLOOR(ราคาวัสดุกลาง!$B$4/($C10/100),1),0))</f>
        <v>1</v>
      </c>
      <c r="Q10" s="4">
        <f>IF(FLOOR(ราคาวัสดุกลาง!$B$4/($C10/100),1)&lt;1,ROUNDUP(($C10/100)/ราคาวัสดุกลาง!$B$4,0)*(IF($C10/100&gt;2.4,$D10-1,2*($D10-1))),ROUNDUP((IF($C10/100&gt;2.4,$D10-1,2*($D10-1)))/FLOOR(ราคาวัสดุกลาง!$B$4/($C10/100),1),0))</f>
        <v>1</v>
      </c>
      <c r="R10" s="4">
        <f>IF(FLOOR(ราคาวัสดุกลาง!$B$4/($C10/100),1)&lt;1,ROUNDUP(($C10/100)/ราคาวัสดุกลาง!$B$4,0)*(IF($C10/100&gt;2.4,$D10-1,0)),ROUNDUP((IF($C10/100&gt;2.4,$D10-1,0))/FLOOR(ราคาวัสดุกลาง!$B$4/($C10/100),1),0))</f>
        <v>1</v>
      </c>
      <c r="S10" s="4">
        <f>IF(FLOOR(ราคาวัสดุกลาง!$B$4/(($B10/100)/$D10),1)&lt;1,ROUNDUP((($B10/100)/$D10)/ราคาวัสดุกลาง!$B$4,0)*(2*$D10),ROUNDUP((2*$D10)/FLOOR(ราคาวัสดุกลาง!$B$4/(($B10/100)/$D10),1),0))</f>
        <v>2</v>
      </c>
      <c r="T10" s="4">
        <f>IF(FLOOR(ราคาวัสดุกลาง!$B$4/($C10/100),1)&lt;1,ROUNDUP(($C10/100)/ราคาวัสดุกลาง!$B$4,0)*(4),ROUNDUP((4)/FLOOR(ราคาวัสดุกลาง!$B$4/($C10/100),1),0))</f>
        <v>2</v>
      </c>
      <c r="U10" s="4">
        <f>IF(FLOOR(ราคาวัสดุกลาง!$B$4/($B10/100),1)&lt;1,ROUNDUP(($B10/100)/ราคาวัสดุกลาง!$B$4,0)*(IF($B$2="ภายใน",2,0)),ROUNDUP((IF($B$2="ภายใน",2,0))/FLOOR(ราคาวัสดุกลาง!$B$4/($B10/100),1),0))</f>
        <v>0</v>
      </c>
      <c r="V10" s="4">
        <f>IF(FLOOR(ราคาวัสดุกลาง!$B$4/($B10/100),1)&lt;1,ROUNDUP(($B10/100)/ราคาวัสดุกลาง!$B$4,0)*(IF($B$2="ภายใน",0,$D10)),ROUNDUP((IF($B$2="ภายใน",0,$D10))/FLOOR(ราคาวัสดุกลาง!$B$4/($B10/100),1),0))</f>
        <v>3</v>
      </c>
      <c r="W10" s="5">
        <f t="shared" si="4"/>
        <v>10134.999</v>
      </c>
    </row>
    <row r="11" spans="1:23" ht="15" customHeight="1" x14ac:dyDescent="0.35">
      <c r="A11" s="37" t="s">
        <v>2215</v>
      </c>
      <c r="B11" s="45">
        <v>600</v>
      </c>
      <c r="C11" s="45">
        <v>300</v>
      </c>
      <c r="D11" s="45">
        <v>3</v>
      </c>
      <c r="E11" s="46">
        <f t="shared" si="0"/>
        <v>18</v>
      </c>
      <c r="F11" s="47">
        <f>(W11+((B11/100)+(D11-1)*0.1)*(C11/100)*ราคาวัสดุกลาง!$B$26+ราคาวัสดุกลาง!$B$33)/E11</f>
        <v>930.29994444444446</v>
      </c>
      <c r="G11" s="48">
        <f t="shared" si="1"/>
        <v>1900</v>
      </c>
      <c r="H11" s="47">
        <f t="shared" si="2"/>
        <v>34200</v>
      </c>
      <c r="I11" s="49">
        <f t="shared" si="3"/>
        <v>1.0423520514500728</v>
      </c>
      <c r="J11" s="50">
        <v>4000</v>
      </c>
      <c r="M11" s="4">
        <f>IF(FLOOR(ราคาวัสดุกลาง!$B$4/($B11/100),1)&lt;1,ROUNDUP(($B11/100)/ราคาวัสดุกลาง!$B$4,0)*(1),ROUNDUP((1)/FLOOR(ราคาวัสดุกลาง!$B$4/($B11/100),1),0))</f>
        <v>1</v>
      </c>
      <c r="N11" s="4">
        <f>IF(FLOOR(ราคาวัสดุกลาง!$B$4/($C11/100),1)&lt;1,ROUNDUP(($C11/100)/ราคาวัสดุกลาง!$B$4,0)*(2),ROUNDUP((2)/FLOOR(ราคาวัสดุกลาง!$B$4/($C11/100),1),0))</f>
        <v>1</v>
      </c>
      <c r="O11" s="4">
        <f>IF(FLOOR(ราคาวัสดุกลาง!$B$4/($B11/100),1)&lt;1,ROUNDUP(($B11/100)/ราคาวัสดุกลาง!$B$4,0)*(1),ROUNDUP((1)/FLOOR(ราคาวัสดุกลาง!$B$4/($B11/100),1),0))</f>
        <v>1</v>
      </c>
      <c r="P11" s="4">
        <f>IF(FLOOR(ราคาวัสดุกลาง!$B$4/($C11/100),1)&lt;1,ROUNDUP(($C11/100)/ราคาวัสดุกลาง!$B$4,0)*(2),ROUNDUP((2)/FLOOR(ราคาวัสดุกลาง!$B$4/($C11/100),1),0))</f>
        <v>1</v>
      </c>
      <c r="Q11" s="4">
        <f>IF(FLOOR(ราคาวัสดุกลาง!$B$4/($C11/100),1)&lt;1,ROUNDUP(($C11/100)/ราคาวัสดุกลาง!$B$4,0)*(IF($C11/100&gt;2.4,$D11-1,2*($D11-1))),ROUNDUP((IF($C11/100&gt;2.4,$D11-1,2*($D11-1)))/FLOOR(ราคาวัสดุกลาง!$B$4/($C11/100),1),0))</f>
        <v>1</v>
      </c>
      <c r="R11" s="4">
        <f>IF(FLOOR(ราคาวัสดุกลาง!$B$4/($C11/100),1)&lt;1,ROUNDUP(($C11/100)/ราคาวัสดุกลาง!$B$4,0)*(IF($C11/100&gt;2.4,$D11-1,0)),ROUNDUP((IF($C11/100&gt;2.4,$D11-1,0))/FLOOR(ราคาวัสดุกลาง!$B$4/($C11/100),1),0))</f>
        <v>1</v>
      </c>
      <c r="S11" s="4">
        <f>IF(FLOOR(ราคาวัสดุกลาง!$B$4/(($B11/100)/$D11),1)&lt;1,ROUNDUP((($B11/100)/$D11)/ราคาวัสดุกลาง!$B$4,0)*(2*$D11),ROUNDUP((2*$D11)/FLOOR(ราคาวัสดุกลาง!$B$4/(($B11/100)/$D11),1),0))</f>
        <v>2</v>
      </c>
      <c r="T11" s="4">
        <f>IF(FLOOR(ราคาวัสดุกลาง!$B$4/($C11/100),1)&lt;1,ROUNDUP(($C11/100)/ราคาวัสดุกลาง!$B$4,0)*(4),ROUNDUP((4)/FLOOR(ราคาวัสดุกลาง!$B$4/($C11/100),1),0))</f>
        <v>2</v>
      </c>
      <c r="U11" s="4">
        <f>IF(FLOOR(ราคาวัสดุกลาง!$B$4/($B11/100),1)&lt;1,ROUNDUP(($B11/100)/ราคาวัสดุกลาง!$B$4,0)*(IF($B$2="ภายใน",2,0)),ROUNDUP((IF($B$2="ภายใน",2,0))/FLOOR(ราคาวัสดุกลาง!$B$4/($B11/100),1),0))</f>
        <v>0</v>
      </c>
      <c r="V11" s="4">
        <f>IF(FLOOR(ราคาวัสดุกลาง!$B$4/($B11/100),1)&lt;1,ROUNDUP(($B11/100)/ราคาวัสดุกลาง!$B$4,0)*(IF($B$2="ภายใน",0,$D11)),ROUNDUP((IF($B$2="ภายใน",0,$D11))/FLOOR(ราคาวัสดุกลาง!$B$4/($B11/100),1),0))</f>
        <v>3</v>
      </c>
      <c r="W11" s="5">
        <f t="shared" si="4"/>
        <v>10134.999</v>
      </c>
    </row>
    <row r="13" spans="1:23" ht="15" customHeight="1" x14ac:dyDescent="0.35">
      <c r="A13" s="455" t="s">
        <v>2216</v>
      </c>
      <c r="B13" s="430"/>
      <c r="C13" s="430"/>
      <c r="D13" s="430"/>
      <c r="E13" s="430"/>
      <c r="F13" s="430"/>
      <c r="G13" s="430"/>
      <c r="H13" s="430"/>
      <c r="I13" s="430"/>
      <c r="J13" s="431"/>
    </row>
    <row r="14" spans="1:23" ht="15" customHeight="1" x14ac:dyDescent="0.35">
      <c r="A14" s="434"/>
      <c r="B14" s="435"/>
      <c r="C14" s="435"/>
      <c r="D14" s="435"/>
      <c r="E14" s="435"/>
      <c r="F14" s="435"/>
      <c r="G14" s="435"/>
      <c r="H14" s="435"/>
      <c r="I14" s="435"/>
      <c r="J14" s="436"/>
    </row>
  </sheetData>
  <mergeCells count="3">
    <mergeCell ref="E2:J2"/>
    <mergeCell ref="A1:F1"/>
    <mergeCell ref="A13:J14"/>
  </mergeCells>
  <hyperlinks>
    <hyperlink ref="G1" location="'สารบัญ'!A1" display="🏠 สารบัญ" xr:uid="{00000000-0004-0000-2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A6A6A6"/>
  </sheetPr>
  <dimension ref="A1:Y14"/>
  <sheetViews>
    <sheetView showGridLines="0" zoomScaleNormal="100" workbookViewId="0"/>
  </sheetViews>
  <sheetFormatPr defaultColWidth="8.6328125" defaultRowHeight="14.5" x14ac:dyDescent="0.35"/>
  <cols>
    <col min="1" max="1" width="46" customWidth="1"/>
    <col min="2" max="2" width="13.7265625" customWidth="1"/>
    <col min="3" max="3" width="46" customWidth="1"/>
    <col min="4" max="4" width="6" customWidth="1"/>
    <col min="5" max="5" width="12.7265625" customWidth="1"/>
    <col min="6" max="6" width="17.453125" customWidth="1"/>
    <col min="7" max="7" width="36.7265625" customWidth="1"/>
    <col min="8" max="8" width="16.90625" customWidth="1"/>
    <col min="9" max="9" width="17.453125" customWidth="1"/>
    <col min="10" max="10" width="19.26953125" customWidth="1"/>
    <col min="14" max="25" width="13" customWidth="1"/>
  </cols>
  <sheetData>
    <row r="1" spans="1:25" ht="24" customHeight="1" x14ac:dyDescent="0.35">
      <c r="A1" s="437" t="s">
        <v>2217</v>
      </c>
      <c r="B1" s="411"/>
      <c r="C1" s="411"/>
      <c r="D1" s="411"/>
      <c r="E1" s="411"/>
      <c r="F1" s="411"/>
      <c r="G1" s="388" t="s">
        <v>78</v>
      </c>
      <c r="H1" s="389"/>
      <c r="K1" s="319"/>
    </row>
    <row r="2" spans="1:25" ht="15" customHeight="1" x14ac:dyDescent="0.35">
      <c r="A2" s="31" t="s">
        <v>2199</v>
      </c>
      <c r="B2" s="44">
        <v>1</v>
      </c>
      <c r="C2" s="425" t="s">
        <v>2218</v>
      </c>
      <c r="D2" s="426"/>
      <c r="E2" s="426"/>
      <c r="F2" s="426"/>
      <c r="G2" s="426"/>
      <c r="H2" s="426"/>
      <c r="I2" s="426"/>
      <c r="J2" s="427"/>
      <c r="N2" s="3">
        <f>ราคาวัสดุกลาง!$E$41</f>
        <v>1444.9998499999999</v>
      </c>
      <c r="O2" s="3">
        <f>ราคาวัสดุกลาง!$E$42</f>
        <v>199.99979999999999</v>
      </c>
      <c r="P2" s="3">
        <f>ราคาวัสดุกลาง!$E$38</f>
        <v>2615.0009</v>
      </c>
      <c r="Q2" s="3">
        <f>ราคาวัสดุกลาง!$E$38</f>
        <v>2615.0009</v>
      </c>
      <c r="R2" s="3">
        <f>ราคาวัสดุกลาง!$E$39</f>
        <v>934.99925000000007</v>
      </c>
      <c r="S2" s="3">
        <f>ราคาวัสดุกลาง!$E$43</f>
        <v>284.99990000000003</v>
      </c>
      <c r="T2" s="3">
        <f>ราคาวัสดุกลาง!$E$44</f>
        <v>464.99935000000005</v>
      </c>
      <c r="U2" s="3">
        <f>ราคาวัสดุกลาง!$E$45</f>
        <v>90.000649999999993</v>
      </c>
      <c r="V2" s="3">
        <f>ราคาวัสดุกลาง!$E$46</f>
        <v>90.000649999999993</v>
      </c>
      <c r="W2" s="3">
        <f>ราคาวัสดุกลาง!$E$47</f>
        <v>120.00024999999999</v>
      </c>
      <c r="X2" s="3">
        <f>ราคาวัสดุกลาง!$E$48</f>
        <v>505.00004999999999</v>
      </c>
    </row>
    <row r="3" spans="1:25" ht="23.25" customHeight="1" x14ac:dyDescent="0.35">
      <c r="A3" s="35" t="s">
        <v>2201</v>
      </c>
      <c r="B3" s="35" t="s">
        <v>2202</v>
      </c>
      <c r="C3" s="35" t="s">
        <v>2203</v>
      </c>
      <c r="D3" s="35" t="s">
        <v>415</v>
      </c>
      <c r="E3" s="35" t="s">
        <v>2204</v>
      </c>
      <c r="F3" s="35" t="s">
        <v>1125</v>
      </c>
      <c r="G3" s="35" t="s">
        <v>2205</v>
      </c>
      <c r="H3" s="35" t="s">
        <v>2206</v>
      </c>
      <c r="I3" s="35" t="s">
        <v>1273</v>
      </c>
      <c r="J3" s="35" t="s">
        <v>2219</v>
      </c>
    </row>
    <row r="4" spans="1:25" ht="15" customHeight="1" x14ac:dyDescent="0.35">
      <c r="A4" s="37" t="s">
        <v>2208</v>
      </c>
      <c r="B4" s="45">
        <v>140</v>
      </c>
      <c r="C4" s="45">
        <v>150</v>
      </c>
      <c r="D4" s="45">
        <v>2</v>
      </c>
      <c r="E4" s="46">
        <f t="shared" ref="E4:E11" si="0">(B4/100)*(C4/100)</f>
        <v>2.0999999999999996</v>
      </c>
      <c r="F4" s="47">
        <f>(Y4+((B4/100)+(D4-1)*0.1)*(C4/100)*ราคาวัสดุกลาง!$B$26+2900)/E4</f>
        <v>6949.5246904761925</v>
      </c>
      <c r="G4" s="48">
        <f t="shared" ref="G4:G11" si="1">ROUNDUP(F4*(1+$B$2)/100,0)*100</f>
        <v>13900</v>
      </c>
      <c r="H4" s="47">
        <f t="shared" ref="H4:H11" si="2">E4*G4</f>
        <v>29189.999999999996</v>
      </c>
      <c r="I4" s="49">
        <f t="shared" ref="I4:I11" si="3">(G4-F4)/F4</f>
        <v>1.0001367890740669</v>
      </c>
      <c r="J4" s="50">
        <v>7200</v>
      </c>
      <c r="N4" s="4">
        <f t="shared" ref="N4:O11" si="4">ROUNDUP((2*($C4/100)*$D4+2*($B4/100))/6.4,0)</f>
        <v>2</v>
      </c>
      <c r="O4" s="4">
        <f t="shared" si="4"/>
        <v>2</v>
      </c>
      <c r="P4" s="4">
        <f t="shared" ref="P4:Q11" si="5">ROUNDUP(($B4/100)/6.4,0)</f>
        <v>1</v>
      </c>
      <c r="Q4" s="4">
        <f t="shared" si="5"/>
        <v>1</v>
      </c>
      <c r="R4" s="4">
        <f t="shared" ref="R4:R11" si="6">ROUNDUP(2*($C4/100)/6.4,0)</f>
        <v>1</v>
      </c>
      <c r="S4" s="4">
        <f>1</f>
        <v>1</v>
      </c>
      <c r="T4" s="4">
        <f t="shared" ref="T4:T11" si="7">$D4-1</f>
        <v>1</v>
      </c>
      <c r="U4" s="4">
        <f t="shared" ref="U4:U11" si="8">2*($D4-1)</f>
        <v>2</v>
      </c>
      <c r="V4" s="4">
        <f t="shared" ref="V4:W11" si="9">ROUNDUP($D4*($B4/100)/6.4,0)</f>
        <v>1</v>
      </c>
      <c r="W4" s="4">
        <f t="shared" si="9"/>
        <v>1</v>
      </c>
      <c r="X4" s="4">
        <f>1</f>
        <v>1</v>
      </c>
      <c r="Y4" s="5">
        <f t="shared" ref="Y4:Y11" si="10">SUMPRODUCT(N4:X4,N$2:X$2)</f>
        <v>11100.001850000002</v>
      </c>
    </row>
    <row r="5" spans="1:25" ht="15" customHeight="1" x14ac:dyDescent="0.35">
      <c r="A5" s="37" t="s">
        <v>2209</v>
      </c>
      <c r="B5" s="45">
        <v>150</v>
      </c>
      <c r="C5" s="45">
        <v>200</v>
      </c>
      <c r="D5" s="45">
        <v>2</v>
      </c>
      <c r="E5" s="46">
        <f t="shared" si="0"/>
        <v>3</v>
      </c>
      <c r="F5" s="47">
        <f>(Y5+((B5/100)+(D5-1)*0.1)*(C5/100)*ราคาวัสดุกลาง!$B$26+2900)/E5</f>
        <v>4948.2672833333336</v>
      </c>
      <c r="G5" s="48">
        <f t="shared" si="1"/>
        <v>9900</v>
      </c>
      <c r="H5" s="47">
        <f t="shared" si="2"/>
        <v>29700</v>
      </c>
      <c r="I5" s="49">
        <f t="shared" si="3"/>
        <v>1.000700332689183</v>
      </c>
      <c r="J5" s="50">
        <v>6600</v>
      </c>
      <c r="N5" s="4">
        <f t="shared" si="4"/>
        <v>2</v>
      </c>
      <c r="O5" s="4">
        <f t="shared" si="4"/>
        <v>2</v>
      </c>
      <c r="P5" s="4">
        <f t="shared" si="5"/>
        <v>1</v>
      </c>
      <c r="Q5" s="4">
        <f t="shared" si="5"/>
        <v>1</v>
      </c>
      <c r="R5" s="4">
        <f t="shared" si="6"/>
        <v>1</v>
      </c>
      <c r="S5" s="4">
        <f>1</f>
        <v>1</v>
      </c>
      <c r="T5" s="4">
        <f t="shared" si="7"/>
        <v>1</v>
      </c>
      <c r="U5" s="4">
        <f t="shared" si="8"/>
        <v>2</v>
      </c>
      <c r="V5" s="4">
        <f t="shared" si="9"/>
        <v>1</v>
      </c>
      <c r="W5" s="4">
        <f t="shared" si="9"/>
        <v>1</v>
      </c>
      <c r="X5" s="4">
        <f>1</f>
        <v>1</v>
      </c>
      <c r="Y5" s="5">
        <f t="shared" si="10"/>
        <v>11100.001850000002</v>
      </c>
    </row>
    <row r="6" spans="1:25" ht="15" customHeight="1" x14ac:dyDescent="0.35">
      <c r="A6" s="37" t="s">
        <v>2210</v>
      </c>
      <c r="B6" s="45">
        <v>200</v>
      </c>
      <c r="C6" s="45">
        <v>200</v>
      </c>
      <c r="D6" s="45">
        <v>2</v>
      </c>
      <c r="E6" s="46">
        <f t="shared" si="0"/>
        <v>4</v>
      </c>
      <c r="F6" s="47">
        <f>(Y6+((B6/100)+(D6-1)*0.1)*(C6/100)*ราคาวัสดุกลาง!$B$26+2900)/E6</f>
        <v>3777.2004625000004</v>
      </c>
      <c r="G6" s="48">
        <f t="shared" si="1"/>
        <v>7600</v>
      </c>
      <c r="H6" s="47">
        <f t="shared" si="2"/>
        <v>30400</v>
      </c>
      <c r="I6" s="49">
        <f t="shared" si="3"/>
        <v>1.0120721882390691</v>
      </c>
      <c r="J6" s="50">
        <v>6300</v>
      </c>
      <c r="N6" s="4">
        <f t="shared" si="4"/>
        <v>2</v>
      </c>
      <c r="O6" s="4">
        <f t="shared" si="4"/>
        <v>2</v>
      </c>
      <c r="P6" s="4">
        <f t="shared" si="5"/>
        <v>1</v>
      </c>
      <c r="Q6" s="4">
        <f t="shared" si="5"/>
        <v>1</v>
      </c>
      <c r="R6" s="4">
        <f t="shared" si="6"/>
        <v>1</v>
      </c>
      <c r="S6" s="4">
        <f>1</f>
        <v>1</v>
      </c>
      <c r="T6" s="4">
        <f t="shared" si="7"/>
        <v>1</v>
      </c>
      <c r="U6" s="4">
        <f t="shared" si="8"/>
        <v>2</v>
      </c>
      <c r="V6" s="4">
        <f t="shared" si="9"/>
        <v>1</v>
      </c>
      <c r="W6" s="4">
        <f t="shared" si="9"/>
        <v>1</v>
      </c>
      <c r="X6" s="4">
        <f>1</f>
        <v>1</v>
      </c>
      <c r="Y6" s="5">
        <f t="shared" si="10"/>
        <v>11100.001850000002</v>
      </c>
    </row>
    <row r="7" spans="1:25" ht="15" customHeight="1" x14ac:dyDescent="0.35">
      <c r="A7" s="37" t="s">
        <v>2211</v>
      </c>
      <c r="B7" s="45">
        <v>240</v>
      </c>
      <c r="C7" s="45">
        <v>200</v>
      </c>
      <c r="D7" s="45">
        <v>2</v>
      </c>
      <c r="E7" s="46">
        <f t="shared" si="0"/>
        <v>4.8</v>
      </c>
      <c r="F7" s="47">
        <f>(Y7+((B7/100)+(D7-1)*0.1)*(C7/100)*ราคาวัสดุกลาง!$B$26+2900)/E7</f>
        <v>3191.6670520833341</v>
      </c>
      <c r="G7" s="48">
        <f t="shared" si="1"/>
        <v>6400</v>
      </c>
      <c r="H7" s="47">
        <f t="shared" si="2"/>
        <v>30720</v>
      </c>
      <c r="I7" s="49">
        <f t="shared" si="3"/>
        <v>1.0052216899699651</v>
      </c>
      <c r="J7" s="50">
        <v>5500</v>
      </c>
      <c r="N7" s="4">
        <f t="shared" si="4"/>
        <v>2</v>
      </c>
      <c r="O7" s="4">
        <f t="shared" si="4"/>
        <v>2</v>
      </c>
      <c r="P7" s="4">
        <f t="shared" si="5"/>
        <v>1</v>
      </c>
      <c r="Q7" s="4">
        <f t="shared" si="5"/>
        <v>1</v>
      </c>
      <c r="R7" s="4">
        <f t="shared" si="6"/>
        <v>1</v>
      </c>
      <c r="S7" s="4">
        <f>1</f>
        <v>1</v>
      </c>
      <c r="T7" s="4">
        <f t="shared" si="7"/>
        <v>1</v>
      </c>
      <c r="U7" s="4">
        <f t="shared" si="8"/>
        <v>2</v>
      </c>
      <c r="V7" s="4">
        <f t="shared" si="9"/>
        <v>1</v>
      </c>
      <c r="W7" s="4">
        <f t="shared" si="9"/>
        <v>1</v>
      </c>
      <c r="X7" s="4">
        <f>1</f>
        <v>1</v>
      </c>
      <c r="Y7" s="5">
        <f t="shared" si="10"/>
        <v>11100.001850000002</v>
      </c>
    </row>
    <row r="8" spans="1:25" ht="15" customHeight="1" x14ac:dyDescent="0.35">
      <c r="A8" s="37" t="s">
        <v>2212</v>
      </c>
      <c r="B8" s="45">
        <v>200</v>
      </c>
      <c r="C8" s="45">
        <v>300</v>
      </c>
      <c r="D8" s="45">
        <v>3</v>
      </c>
      <c r="E8" s="46">
        <f t="shared" si="0"/>
        <v>6</v>
      </c>
      <c r="F8" s="47">
        <f>(Y8+((B8/100)+(D8-1)*0.1)*(C8/100)*ราคาวัสดุกลาง!$B$26+2900)/E8</f>
        <v>3279.5669666666672</v>
      </c>
      <c r="G8" s="48">
        <f t="shared" si="1"/>
        <v>6600</v>
      </c>
      <c r="H8" s="47">
        <f t="shared" si="2"/>
        <v>39600</v>
      </c>
      <c r="I8" s="49">
        <f t="shared" si="3"/>
        <v>1.0124608117724156</v>
      </c>
      <c r="J8" s="50">
        <v>5200</v>
      </c>
      <c r="N8" s="4">
        <f t="shared" si="4"/>
        <v>4</v>
      </c>
      <c r="O8" s="4">
        <f t="shared" si="4"/>
        <v>4</v>
      </c>
      <c r="P8" s="4">
        <f t="shared" si="5"/>
        <v>1</v>
      </c>
      <c r="Q8" s="4">
        <f t="shared" si="5"/>
        <v>1</v>
      </c>
      <c r="R8" s="4">
        <f t="shared" si="6"/>
        <v>1</v>
      </c>
      <c r="S8" s="4">
        <f>1</f>
        <v>1</v>
      </c>
      <c r="T8" s="4">
        <f t="shared" si="7"/>
        <v>2</v>
      </c>
      <c r="U8" s="4">
        <f t="shared" si="8"/>
        <v>4</v>
      </c>
      <c r="V8" s="4">
        <f t="shared" si="9"/>
        <v>1</v>
      </c>
      <c r="W8" s="4">
        <f t="shared" si="9"/>
        <v>1</v>
      </c>
      <c r="X8" s="4">
        <f>1</f>
        <v>1</v>
      </c>
      <c r="Y8" s="5">
        <f t="shared" si="10"/>
        <v>15035.001800000002</v>
      </c>
    </row>
    <row r="9" spans="1:25" ht="15" customHeight="1" x14ac:dyDescent="0.35">
      <c r="A9" s="37" t="s">
        <v>2213</v>
      </c>
      <c r="B9" s="45">
        <v>270</v>
      </c>
      <c r="C9" s="45">
        <v>300</v>
      </c>
      <c r="D9" s="45">
        <v>3</v>
      </c>
      <c r="E9" s="46">
        <f t="shared" si="0"/>
        <v>8.1000000000000014</v>
      </c>
      <c r="F9" s="47">
        <f>(Y9+((B9/100)+(D9-1)*0.1)*(C9/100)*ราคาวัสดุกลาง!$B$26+2900)/E9</f>
        <v>2523.6793456790124</v>
      </c>
      <c r="G9" s="48">
        <f t="shared" si="1"/>
        <v>5100</v>
      </c>
      <c r="H9" s="47">
        <f t="shared" si="2"/>
        <v>41310.000000000007</v>
      </c>
      <c r="I9" s="49">
        <f t="shared" si="3"/>
        <v>1.0208589529141674</v>
      </c>
      <c r="J9" s="50">
        <v>4900</v>
      </c>
      <c r="N9" s="4">
        <f t="shared" si="4"/>
        <v>4</v>
      </c>
      <c r="O9" s="4">
        <f t="shared" si="4"/>
        <v>4</v>
      </c>
      <c r="P9" s="4">
        <f t="shared" si="5"/>
        <v>1</v>
      </c>
      <c r="Q9" s="4">
        <f t="shared" si="5"/>
        <v>1</v>
      </c>
      <c r="R9" s="4">
        <f t="shared" si="6"/>
        <v>1</v>
      </c>
      <c r="S9" s="4">
        <f>1</f>
        <v>1</v>
      </c>
      <c r="T9" s="4">
        <f t="shared" si="7"/>
        <v>2</v>
      </c>
      <c r="U9" s="4">
        <f t="shared" si="8"/>
        <v>4</v>
      </c>
      <c r="V9" s="4">
        <f t="shared" si="9"/>
        <v>2</v>
      </c>
      <c r="W9" s="4">
        <f t="shared" si="9"/>
        <v>2</v>
      </c>
      <c r="X9" s="4">
        <f>1</f>
        <v>1</v>
      </c>
      <c r="Y9" s="5">
        <f t="shared" si="10"/>
        <v>15245.002700000003</v>
      </c>
    </row>
    <row r="10" spans="1:25" ht="15" customHeight="1" x14ac:dyDescent="0.35">
      <c r="A10" s="37" t="s">
        <v>2214</v>
      </c>
      <c r="B10" s="45">
        <v>390</v>
      </c>
      <c r="C10" s="45">
        <v>300</v>
      </c>
      <c r="D10" s="45">
        <v>3</v>
      </c>
      <c r="E10" s="46">
        <f t="shared" si="0"/>
        <v>11.7</v>
      </c>
      <c r="F10" s="47">
        <f>(Y10+((B10/100)+(D10-1)*0.1)*(C10/100)*ราคาวัสดุกลาง!$B$26+2900)/E10</f>
        <v>1968.9916538461539</v>
      </c>
      <c r="G10" s="48">
        <f t="shared" si="1"/>
        <v>4000</v>
      </c>
      <c r="H10" s="47">
        <f t="shared" si="2"/>
        <v>46800</v>
      </c>
      <c r="I10" s="49">
        <f t="shared" si="3"/>
        <v>1.0314966760709987</v>
      </c>
      <c r="J10" s="50">
        <v>4700</v>
      </c>
      <c r="N10" s="4">
        <f t="shared" si="4"/>
        <v>5</v>
      </c>
      <c r="O10" s="4">
        <f t="shared" si="4"/>
        <v>5</v>
      </c>
      <c r="P10" s="4">
        <f t="shared" si="5"/>
        <v>1</v>
      </c>
      <c r="Q10" s="4">
        <f t="shared" si="5"/>
        <v>1</v>
      </c>
      <c r="R10" s="4">
        <f t="shared" si="6"/>
        <v>1</v>
      </c>
      <c r="S10" s="4">
        <f>1</f>
        <v>1</v>
      </c>
      <c r="T10" s="4">
        <f t="shared" si="7"/>
        <v>2</v>
      </c>
      <c r="U10" s="4">
        <f t="shared" si="8"/>
        <v>4</v>
      </c>
      <c r="V10" s="4">
        <f t="shared" si="9"/>
        <v>2</v>
      </c>
      <c r="W10" s="4">
        <f t="shared" si="9"/>
        <v>2</v>
      </c>
      <c r="X10" s="4">
        <f>1</f>
        <v>1</v>
      </c>
      <c r="Y10" s="5">
        <f t="shared" si="10"/>
        <v>16890.002349999999</v>
      </c>
    </row>
    <row r="11" spans="1:25" ht="15" customHeight="1" x14ac:dyDescent="0.35">
      <c r="A11" s="37" t="s">
        <v>2215</v>
      </c>
      <c r="B11" s="45">
        <v>600</v>
      </c>
      <c r="C11" s="45">
        <v>300</v>
      </c>
      <c r="D11" s="45">
        <v>3</v>
      </c>
      <c r="E11" s="46">
        <f t="shared" si="0"/>
        <v>18</v>
      </c>
      <c r="F11" s="47">
        <f>(Y11+((B11/100)+(D11-1)*0.1)*(C11/100)*ราคาวัสดุกลาง!$B$26+2900)/E11</f>
        <v>1383.9112916666666</v>
      </c>
      <c r="G11" s="48">
        <f t="shared" si="1"/>
        <v>2800</v>
      </c>
      <c r="H11" s="47">
        <f t="shared" si="2"/>
        <v>50400</v>
      </c>
      <c r="I11" s="49">
        <f t="shared" si="3"/>
        <v>1.023251068807969</v>
      </c>
      <c r="J11" s="50">
        <v>4400</v>
      </c>
      <c r="N11" s="4">
        <f t="shared" si="4"/>
        <v>5</v>
      </c>
      <c r="O11" s="4">
        <f t="shared" si="4"/>
        <v>5</v>
      </c>
      <c r="P11" s="4">
        <f t="shared" si="5"/>
        <v>1</v>
      </c>
      <c r="Q11" s="4">
        <f t="shared" si="5"/>
        <v>1</v>
      </c>
      <c r="R11" s="4">
        <f t="shared" si="6"/>
        <v>1</v>
      </c>
      <c r="S11" s="4">
        <f>1</f>
        <v>1</v>
      </c>
      <c r="T11" s="4">
        <f t="shared" si="7"/>
        <v>2</v>
      </c>
      <c r="U11" s="4">
        <f t="shared" si="8"/>
        <v>4</v>
      </c>
      <c r="V11" s="4">
        <f t="shared" si="9"/>
        <v>3</v>
      </c>
      <c r="W11" s="4">
        <f t="shared" si="9"/>
        <v>3</v>
      </c>
      <c r="X11" s="4">
        <f>1</f>
        <v>1</v>
      </c>
      <c r="Y11" s="5">
        <f t="shared" si="10"/>
        <v>17100.003249999998</v>
      </c>
    </row>
    <row r="13" spans="1:25" ht="15" customHeight="1" x14ac:dyDescent="0.35">
      <c r="A13" s="425" t="s">
        <v>2220</v>
      </c>
      <c r="B13" s="430"/>
      <c r="C13" s="430"/>
      <c r="D13" s="430"/>
      <c r="E13" s="430"/>
      <c r="F13" s="430"/>
      <c r="G13" s="430"/>
      <c r="H13" s="430"/>
      <c r="I13" s="430"/>
      <c r="J13" s="431"/>
    </row>
    <row r="14" spans="1:25" ht="15" customHeight="1" x14ac:dyDescent="0.35">
      <c r="A14" s="434"/>
      <c r="B14" s="435"/>
      <c r="C14" s="435"/>
      <c r="D14" s="435"/>
      <c r="E14" s="435"/>
      <c r="F14" s="435"/>
      <c r="G14" s="435"/>
      <c r="H14" s="435"/>
      <c r="I14" s="435"/>
      <c r="J14" s="436"/>
    </row>
  </sheetData>
  <mergeCells count="3">
    <mergeCell ref="C2:J2"/>
    <mergeCell ref="A1:F1"/>
    <mergeCell ref="A13:J14"/>
  </mergeCells>
  <hyperlinks>
    <hyperlink ref="G1" location="'สารบัญ'!A1" display="🏠 สารบัญ" xr:uid="{00000000-0004-0000-2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A6A6A6"/>
  </sheetPr>
  <dimension ref="A1:I23"/>
  <sheetViews>
    <sheetView zoomScaleNormal="100" workbookViewId="0">
      <pane ySplit="13" topLeftCell="A14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6.90625" customWidth="1"/>
    <col min="3" max="3" width="12.7265625" customWidth="1"/>
    <col min="4" max="4" width="15.26953125" customWidth="1"/>
    <col min="5" max="5" width="17.453125" customWidth="1"/>
    <col min="6" max="6" width="14.08984375" customWidth="1"/>
    <col min="7" max="7" width="15.90625" customWidth="1"/>
    <col min="8" max="8" width="17.453125" customWidth="1"/>
  </cols>
  <sheetData>
    <row r="1" spans="1:9" ht="24" customHeight="1" x14ac:dyDescent="0.35">
      <c r="A1" s="437" t="s">
        <v>2221</v>
      </c>
      <c r="B1" s="411"/>
      <c r="C1" s="411"/>
      <c r="D1" s="411"/>
      <c r="E1" s="411"/>
      <c r="F1" s="411"/>
      <c r="G1" s="388" t="s">
        <v>78</v>
      </c>
      <c r="H1" s="389"/>
      <c r="I1" s="319"/>
    </row>
    <row r="3" spans="1:9" ht="15" customHeight="1" x14ac:dyDescent="0.35">
      <c r="A3" s="30" t="s">
        <v>1248</v>
      </c>
      <c r="B3" s="27" t="s">
        <v>1249</v>
      </c>
      <c r="D3" s="30" t="s">
        <v>2222</v>
      </c>
      <c r="E3" s="30">
        <f>IF(B4="อิสระ",B5,IF(B4="ลากจูง",B5-1,B5-2))</f>
        <v>3</v>
      </c>
      <c r="G3" s="30" t="s">
        <v>1140</v>
      </c>
      <c r="H3" s="30">
        <f>IF($B$6="สีอบขาว/ดำ",2235,IF($B$6="เทาซาฮาร่า",ROUND(2235*1.09,0),IF($B$6="ลายไม้ stock",ROUND(2235*1.6,0),ROUND(2235/180*$E$6,0))))</f>
        <v>2235</v>
      </c>
    </row>
    <row r="4" spans="1:9" ht="15" customHeight="1" x14ac:dyDescent="0.35">
      <c r="A4" s="30" t="s">
        <v>1328</v>
      </c>
      <c r="B4" s="27" t="s">
        <v>1243</v>
      </c>
      <c r="D4" s="30" t="s">
        <v>1244</v>
      </c>
      <c r="E4" s="30">
        <f>IF(B4="เปิดคู่กลาง",4,2)</f>
        <v>2</v>
      </c>
      <c r="G4" s="30" t="s">
        <v>1664</v>
      </c>
      <c r="H4" s="30">
        <f>IF($B$6="สีอบขาว/ดำ",2152,IF($B$6="เทาซาฮาร่า",ROUND(2152*1.09,0),IF($B$6="ลายไม้ stock",ROUND(2152*1.6,0),ROUND(2152/180*$E$6,0))))</f>
        <v>2152</v>
      </c>
    </row>
    <row r="5" spans="1:9" ht="15" customHeight="1" x14ac:dyDescent="0.35">
      <c r="A5" s="30" t="s">
        <v>1240</v>
      </c>
      <c r="B5" s="27">
        <v>3</v>
      </c>
      <c r="D5" s="30" t="s">
        <v>1246</v>
      </c>
      <c r="E5" s="30">
        <f>IF(B4="เปิดคู่กลาง",B5-2,B5-1)</f>
        <v>2</v>
      </c>
      <c r="G5" s="30" t="s">
        <v>1141</v>
      </c>
      <c r="H5" s="30">
        <f>IF($B$6="สีอบขาว/ดำ",1995,IF($B$6="เทาซาฮาร่า",ROUND(1995*1.09,0),IF($B$6="ลายไม้ stock",ROUND(1995*1.6,0),ROUND(1995/180*$E$6,0))))</f>
        <v>1995</v>
      </c>
    </row>
    <row r="6" spans="1:9" ht="15" customHeight="1" x14ac:dyDescent="0.35">
      <c r="A6" s="30" t="s">
        <v>1253</v>
      </c>
      <c r="B6" s="27" t="s">
        <v>1254</v>
      </c>
      <c r="D6" s="30" t="s">
        <v>1599</v>
      </c>
      <c r="E6" s="30">
        <f>IF(B6="สีอบขาว/ดำ",180,IF(B6="เทาซาฮาร่า",ROUND(180*1.09,0),IF(B6="ลายไม้ stock",ROUND(180*1.6,0),IF(B6="สีอบพิเศษ",140,160))))</f>
        <v>180</v>
      </c>
      <c r="G6" s="30" t="s">
        <v>2223</v>
      </c>
      <c r="H6" s="30">
        <f>IF($B$6="สีอบขาว/ดำ",742,IF($B$6="เทาซาฮาร่า",ROUND(742*1.09,0),IF($B$6="ลายไม้ stock",ROUND(742*1.6,0),ROUND(742/180*$E$6,0))))</f>
        <v>742</v>
      </c>
    </row>
    <row r="7" spans="1:9" ht="15" customHeight="1" x14ac:dyDescent="0.35">
      <c r="A7" s="30" t="s">
        <v>2224</v>
      </c>
      <c r="B7" s="27">
        <v>264</v>
      </c>
      <c r="G7" s="30" t="s">
        <v>2225</v>
      </c>
      <c r="H7" s="30">
        <f>IF($B$6="สีอบขาว/ดำ",1080,IF($B$6="เทาซาฮาร่า",ROUND(1080*1.09,0),IF($B$6="ลายไม้ stock",ROUND(1080*1.6,0),ROUND(1080/180*$E$6,0))))</f>
        <v>1080</v>
      </c>
    </row>
    <row r="8" spans="1:9" ht="15" customHeight="1" x14ac:dyDescent="0.35">
      <c r="A8" s="30" t="s">
        <v>2226</v>
      </c>
      <c r="B8" s="27">
        <v>1</v>
      </c>
      <c r="G8" s="30" t="s">
        <v>1666</v>
      </c>
      <c r="H8" s="30">
        <f>IF($B$6="สีอบขาว/ดำ",1072,IF($B$6="เทาซาฮาร่า",ROUND(1072*1.09,0),IF($B$6="ลายไม้ stock",ROUND(1072*1.6,0),ROUND(1072/180*$E$6,0))))</f>
        <v>1072</v>
      </c>
    </row>
    <row r="9" spans="1:9" ht="15" customHeight="1" x14ac:dyDescent="0.35">
      <c r="A9" s="30" t="s">
        <v>2227</v>
      </c>
      <c r="B9" s="27">
        <v>90</v>
      </c>
      <c r="G9" s="30" t="s">
        <v>2228</v>
      </c>
      <c r="H9" s="30">
        <f>IF($B$6="สีอบขาว/ดำ",1162,IF($B$6="เทาซาฮาร่า",ROUND(1162*1.09,0),IF($B$6="ลายไม้ stock",ROUND(1162*1.6,0),ROUND(1162/180*$E$6,0))))</f>
        <v>1162</v>
      </c>
    </row>
    <row r="10" spans="1:9" ht="15" customHeight="1" x14ac:dyDescent="0.35">
      <c r="A10" s="30" t="s">
        <v>1600</v>
      </c>
      <c r="B10" s="27">
        <v>2</v>
      </c>
      <c r="G10" s="30" t="s">
        <v>2229</v>
      </c>
      <c r="H10" s="30">
        <f>IF($B$6="สีอบขาว/ดำ",270,IF($B$6="เทาซาฮาร่า",ROUND(270*1.09,0),IF($B$6="ลายไม้ stock",ROUND(270*1.6,0),ROUND(270/180*$E$6,0))))</f>
        <v>270</v>
      </c>
    </row>
    <row r="11" spans="1:9" ht="15" customHeight="1" x14ac:dyDescent="0.35">
      <c r="G11" s="30" t="s">
        <v>171</v>
      </c>
      <c r="H11" s="30">
        <f>IF($B$6="สีอบขาว/ดำ",450,IF($B$6="เทาซาฮาร่า",ROUND(450*1.09,0),IF($B$6="ลายไม้ stock",ROUND(450*1.6,0),ROUND(450/180*$E$6,0))))</f>
        <v>450</v>
      </c>
    </row>
    <row r="13" spans="1:9" ht="15" customHeight="1" x14ac:dyDescent="0.35">
      <c r="A13" s="76" t="s">
        <v>2230</v>
      </c>
      <c r="B13" s="76" t="s">
        <v>2231</v>
      </c>
      <c r="C13" s="76" t="s">
        <v>2204</v>
      </c>
      <c r="D13" s="76" t="s">
        <v>1268</v>
      </c>
      <c r="E13" s="76" t="s">
        <v>1125</v>
      </c>
      <c r="F13" s="76" t="s">
        <v>1788</v>
      </c>
      <c r="G13" s="76" t="s">
        <v>2232</v>
      </c>
      <c r="H13" s="76" t="s">
        <v>2176</v>
      </c>
    </row>
    <row r="14" spans="1:9" ht="15" customHeight="1" x14ac:dyDescent="0.35">
      <c r="A14" s="57">
        <v>240</v>
      </c>
      <c r="B14" s="57">
        <v>200</v>
      </c>
      <c r="C14" s="53">
        <f t="shared" ref="C14:C23" si="0">(A14/100)*(B14/100)</f>
        <v>4.8</v>
      </c>
      <c r="D14" s="53">
        <f t="shared" ref="D14:D23" si="1">IF(FLOOR(6.4/((A14)/100),1)&gt;=1,ROUNDUP((1)/FLOOR(6.4/((A14)/100),1),0),ROUNDUP(((A14)/100)/6.4,0)*(1))*$H$3+IF(FLOOR(6.4/((A14)/100),1)&gt;=1,ROUNDUP((1)/FLOOR(6.4/((A14)/100),1),0),ROUNDUP(((A14)/100)/6.4,0)*(1))*$H$4+IF(FLOOR(6.4/((B14)/100),1)&gt;=1,ROUNDUP((2)/FLOOR(6.4/((B14)/100),1),0),ROUNDUP(((B14)/100)/6.4,0)*(2))*$H$5+IF(FLOOR(6.4/((A14)/100),1)&gt;=1,ROUNDUP((1)/FLOOR(6.4/((A14)/100),1),0),ROUNDUP(((A14)/100)/6.4,0)*(1))*$H$6+IF(FLOOR(6.4/((B14)/100),1)&gt;=1,ROUNDUP(($E$4)/FLOOR(6.4/((B14)/100),1),0),ROUNDUP(((B14)/100)/6.4,0)*($E$4))*$H$7+IF(FLOOR(6.4/((B14)/100),1)&gt;=1,ROUNDUP((2*$E$5)/FLOOR(6.4/((B14)/100),1),0),ROUNDUP(((B14)/100)/6.4,0)*(2*$E$5))*$H$8+IF(FLOOR(6.4/((A14/$B$5)/100),1)&gt;=1,ROUNDUP((2*$B$5)/FLOOR(6.4/((A14/$B$5)/100),1),0),ROUNDUP(((A14/$B$5)/100)/6.4,0)*(2*$B$5))*$H$9+(IF(AND($B$4="อิสระ",$B$5=3),0,IF(A14&gt;300,2,1)))*$H$10+(IF(AND($B$4="อิสระ",$B$5=3),0,IF(A14&gt;300,2,1)))*$H$11+(((A14/100)+($B$5-1)*0.1)*(B14/100))*$B$7+2*$E$3*135+$B$10*100+(6*(B14/100)+9*(A14/100)+2*($E$4+$E$5)*(B14/100))*1.5+(8+4*$B$5)*1+(ROUNDUP(2*((A14/100)+(B14/100))*2/12.5,0))*$B$9+IF(OR($B$6="สีอบพิเศษ",$B$6="สีลายไม้อบพิเศษ"),2000,0)</f>
        <v>14167.199999999999</v>
      </c>
      <c r="E14" s="53">
        <f t="shared" ref="E14:E23" si="2">D14/C14</f>
        <v>2951.5</v>
      </c>
      <c r="F14" s="53">
        <f t="shared" ref="F14:F23" si="3">ROUNDUP(E14*(1+$B$8)/100,0)*100</f>
        <v>6000</v>
      </c>
      <c r="G14" s="53">
        <f t="shared" ref="G14:G23" si="4">C14*F14</f>
        <v>28800</v>
      </c>
      <c r="H14" s="89">
        <f t="shared" ref="H14:H23" si="5">(G14-D14)/D14</f>
        <v>1.0328646450957142</v>
      </c>
    </row>
    <row r="15" spans="1:9" ht="15" customHeight="1" x14ac:dyDescent="0.35">
      <c r="A15" s="57">
        <v>300</v>
      </c>
      <c r="B15" s="57">
        <v>220</v>
      </c>
      <c r="C15" s="53">
        <f t="shared" si="0"/>
        <v>6.6000000000000005</v>
      </c>
      <c r="D15" s="53">
        <f t="shared" si="1"/>
        <v>14665.26</v>
      </c>
      <c r="E15" s="53">
        <f t="shared" si="2"/>
        <v>2222.0090909090909</v>
      </c>
      <c r="F15" s="53">
        <f t="shared" si="3"/>
        <v>4500</v>
      </c>
      <c r="G15" s="53">
        <f t="shared" si="4"/>
        <v>29700.000000000004</v>
      </c>
      <c r="H15" s="89">
        <f t="shared" si="5"/>
        <v>1.025194234537949</v>
      </c>
    </row>
    <row r="16" spans="1:9" ht="15" customHeight="1" x14ac:dyDescent="0.35">
      <c r="A16" s="57">
        <v>360</v>
      </c>
      <c r="B16" s="57">
        <v>240</v>
      </c>
      <c r="C16" s="53">
        <f t="shared" si="0"/>
        <v>8.64</v>
      </c>
      <c r="D16" s="53">
        <f t="shared" si="1"/>
        <v>16388.68</v>
      </c>
      <c r="E16" s="53">
        <f t="shared" si="2"/>
        <v>1896.8379629629628</v>
      </c>
      <c r="F16" s="53">
        <f t="shared" si="3"/>
        <v>3800</v>
      </c>
      <c r="G16" s="53">
        <f t="shared" si="4"/>
        <v>32832</v>
      </c>
      <c r="H16" s="89">
        <f t="shared" si="5"/>
        <v>1.0033340085961773</v>
      </c>
    </row>
    <row r="17" spans="1:8" ht="15" customHeight="1" x14ac:dyDescent="0.35">
      <c r="A17" s="57">
        <v>420</v>
      </c>
      <c r="B17" s="57">
        <v>250</v>
      </c>
      <c r="C17" s="53">
        <f t="shared" si="0"/>
        <v>10.5</v>
      </c>
      <c r="D17" s="53">
        <f t="shared" si="1"/>
        <v>16985.2</v>
      </c>
      <c r="E17" s="53">
        <f t="shared" si="2"/>
        <v>1617.6380952380953</v>
      </c>
      <c r="F17" s="53">
        <f t="shared" si="3"/>
        <v>3300</v>
      </c>
      <c r="G17" s="53">
        <f t="shared" si="4"/>
        <v>34650</v>
      </c>
      <c r="H17" s="89">
        <f t="shared" si="5"/>
        <v>1.0400113039587404</v>
      </c>
    </row>
    <row r="18" spans="1:8" ht="15" customHeight="1" x14ac:dyDescent="0.35">
      <c r="A18" s="57">
        <v>480</v>
      </c>
      <c r="B18" s="57">
        <v>260</v>
      </c>
      <c r="C18" s="53">
        <f t="shared" si="0"/>
        <v>12.48</v>
      </c>
      <c r="D18" s="53">
        <f t="shared" si="1"/>
        <v>17523.400000000001</v>
      </c>
      <c r="E18" s="53">
        <f t="shared" si="2"/>
        <v>1404.1185897435898</v>
      </c>
      <c r="F18" s="53">
        <f t="shared" si="3"/>
        <v>2900</v>
      </c>
      <c r="G18" s="53">
        <f t="shared" si="4"/>
        <v>36192</v>
      </c>
      <c r="H18" s="89">
        <f t="shared" si="5"/>
        <v>1.0653526142187018</v>
      </c>
    </row>
    <row r="19" spans="1:8" ht="15" customHeight="1" x14ac:dyDescent="0.35">
      <c r="A19" s="57">
        <v>540</v>
      </c>
      <c r="B19" s="57">
        <v>280</v>
      </c>
      <c r="C19" s="53">
        <f t="shared" si="0"/>
        <v>15.12</v>
      </c>
      <c r="D19" s="53">
        <f t="shared" si="1"/>
        <v>18243.22</v>
      </c>
      <c r="E19" s="53">
        <f t="shared" si="2"/>
        <v>1206.5621693121695</v>
      </c>
      <c r="F19" s="53">
        <f t="shared" si="3"/>
        <v>2500</v>
      </c>
      <c r="G19" s="53">
        <f t="shared" si="4"/>
        <v>37800</v>
      </c>
      <c r="H19" s="89">
        <f t="shared" si="5"/>
        <v>1.0720026398848448</v>
      </c>
    </row>
    <row r="20" spans="1:8" ht="15" customHeight="1" x14ac:dyDescent="0.35">
      <c r="A20" s="57">
        <v>600</v>
      </c>
      <c r="B20" s="57">
        <v>300</v>
      </c>
      <c r="C20" s="53">
        <f t="shared" si="0"/>
        <v>18</v>
      </c>
      <c r="D20" s="53">
        <f t="shared" si="1"/>
        <v>19026.400000000001</v>
      </c>
      <c r="E20" s="53">
        <f t="shared" si="2"/>
        <v>1057.0222222222224</v>
      </c>
      <c r="F20" s="53">
        <f t="shared" si="3"/>
        <v>2200</v>
      </c>
      <c r="G20" s="53">
        <f t="shared" si="4"/>
        <v>39600</v>
      </c>
      <c r="H20" s="89">
        <f t="shared" si="5"/>
        <v>1.0813185889080434</v>
      </c>
    </row>
    <row r="21" spans="1:8" ht="15" customHeight="1" x14ac:dyDescent="0.35">
      <c r="A21" s="57">
        <v>700</v>
      </c>
      <c r="B21" s="57">
        <v>300</v>
      </c>
      <c r="C21" s="53">
        <f t="shared" si="0"/>
        <v>21</v>
      </c>
      <c r="D21" s="53">
        <f t="shared" si="1"/>
        <v>26212.9</v>
      </c>
      <c r="E21" s="53">
        <f t="shared" si="2"/>
        <v>1248.2333333333333</v>
      </c>
      <c r="F21" s="53">
        <f t="shared" si="3"/>
        <v>2500</v>
      </c>
      <c r="G21" s="53">
        <f t="shared" si="4"/>
        <v>52500</v>
      </c>
      <c r="H21" s="89">
        <f t="shared" si="5"/>
        <v>1.0028306673431782</v>
      </c>
    </row>
    <row r="22" spans="1:8" ht="15" customHeight="1" x14ac:dyDescent="0.35">
      <c r="A22" s="57">
        <v>800</v>
      </c>
      <c r="B22" s="57">
        <v>300</v>
      </c>
      <c r="C22" s="53">
        <f t="shared" si="0"/>
        <v>24</v>
      </c>
      <c r="D22" s="53">
        <f t="shared" si="1"/>
        <v>27018.400000000001</v>
      </c>
      <c r="E22" s="53">
        <f t="shared" si="2"/>
        <v>1125.7666666666667</v>
      </c>
      <c r="F22" s="53">
        <f t="shared" si="3"/>
        <v>2300</v>
      </c>
      <c r="G22" s="53">
        <f t="shared" si="4"/>
        <v>55200</v>
      </c>
      <c r="H22" s="89">
        <f t="shared" si="5"/>
        <v>1.0430521422438042</v>
      </c>
    </row>
    <row r="23" spans="1:8" ht="15" customHeight="1" x14ac:dyDescent="0.35">
      <c r="A23" s="57">
        <v>900</v>
      </c>
      <c r="B23" s="57">
        <v>300</v>
      </c>
      <c r="C23" s="53">
        <f t="shared" si="0"/>
        <v>27</v>
      </c>
      <c r="D23" s="53">
        <f t="shared" si="1"/>
        <v>27823.9</v>
      </c>
      <c r="E23" s="53">
        <f t="shared" si="2"/>
        <v>1030.5148148148148</v>
      </c>
      <c r="F23" s="53">
        <f t="shared" si="3"/>
        <v>2100</v>
      </c>
      <c r="G23" s="53">
        <f t="shared" si="4"/>
        <v>56700</v>
      </c>
      <c r="H23" s="89">
        <f t="shared" si="5"/>
        <v>1.0378164096334446</v>
      </c>
    </row>
  </sheetData>
  <mergeCells count="1">
    <mergeCell ref="A1:F1"/>
  </mergeCells>
  <dataValidations count="3">
    <dataValidation type="list" sqref="B3" xr:uid="{00000000-0002-0000-2C00-000000000000}">
      <formula1>"ภายนอก,ภายใน"</formula1>
      <formula2>0</formula2>
    </dataValidation>
    <dataValidation type="list" sqref="B4" xr:uid="{00000000-0002-0000-2C00-000001000000}">
      <formula1>"อิสระ,ลากจูง,เปิดคู่กลาง"</formula1>
      <formula2>0</formula2>
    </dataValidation>
    <dataValidation type="list" sqref="B6" xr:uid="{00000000-0002-0000-2C00-000002000000}">
      <formula1>"สีอบขาว/ดำ,เทาซาฮาร่า,ลายไม้ stock,สีอบพิเศษ,สีลายไม้อบพิเศษ"</formula1>
      <formula2>0</formula2>
    </dataValidation>
  </dataValidations>
  <hyperlinks>
    <hyperlink ref="G1" location="'สารบัญ'!A1" display="🏠 สารบัญ" xr:uid="{00000000-0004-0000-2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A6A6A6"/>
  </sheetPr>
  <dimension ref="A1:R18"/>
  <sheetViews>
    <sheetView zoomScaleNormal="100" workbookViewId="0">
      <pane ySplit="11" topLeftCell="A12" activePane="bottomLeft" state="frozen"/>
      <selection pane="bottomLeft"/>
    </sheetView>
  </sheetViews>
  <sheetFormatPr defaultColWidth="8.6328125" defaultRowHeight="14.5" x14ac:dyDescent="0.35"/>
  <cols>
    <col min="1" max="1" width="46" customWidth="1"/>
    <col min="2" max="2" width="16.90625" customWidth="1"/>
    <col min="3" max="3" width="12.7265625" customWidth="1"/>
    <col min="4" max="4" width="12.453125" customWidth="1"/>
    <col min="5" max="5" width="17.453125" customWidth="1"/>
    <col min="6" max="6" width="14.08984375" customWidth="1"/>
    <col min="7" max="7" width="13.08984375" customWidth="1"/>
    <col min="8" max="8" width="17.453125" customWidth="1"/>
    <col min="11" max="11" width="13" hidden="1" customWidth="1"/>
    <col min="12" max="12" width="13" customWidth="1"/>
    <col min="13" max="13" width="17.453125" customWidth="1"/>
    <col min="14" max="18" width="13" customWidth="1"/>
  </cols>
  <sheetData>
    <row r="1" spans="1:18" ht="24" customHeight="1" x14ac:dyDescent="0.35">
      <c r="A1" s="437" t="s">
        <v>2233</v>
      </c>
      <c r="B1" s="411"/>
      <c r="C1" s="411"/>
      <c r="D1" s="411"/>
      <c r="E1" s="411"/>
      <c r="F1" s="411"/>
      <c r="G1" s="388" t="s">
        <v>78</v>
      </c>
      <c r="H1" s="389"/>
      <c r="I1" s="319"/>
    </row>
    <row r="3" spans="1:18" ht="15" customHeight="1" x14ac:dyDescent="0.35">
      <c r="A3" s="30" t="s">
        <v>1238</v>
      </c>
      <c r="B3" s="27">
        <v>280</v>
      </c>
      <c r="D3" s="64" t="s">
        <v>1679</v>
      </c>
      <c r="E3" s="64">
        <f>MATCH(B5,{"สีอบขาว/ดำ","เทาซาฮาร่า","ลายไม้ stock"},0)</f>
        <v>1</v>
      </c>
    </row>
    <row r="4" spans="1:18" ht="15" customHeight="1" x14ac:dyDescent="0.35">
      <c r="A4" s="30" t="s">
        <v>2234</v>
      </c>
      <c r="B4" s="27">
        <v>90</v>
      </c>
    </row>
    <row r="5" spans="1:18" ht="15" customHeight="1" x14ac:dyDescent="0.35">
      <c r="A5" s="30" t="s">
        <v>1253</v>
      </c>
      <c r="B5" s="27" t="s">
        <v>1254</v>
      </c>
    </row>
    <row r="6" spans="1:18" ht="15" customHeight="1" x14ac:dyDescent="0.35">
      <c r="A6" s="30" t="s">
        <v>1248</v>
      </c>
      <c r="B6" s="27" t="s">
        <v>1681</v>
      </c>
    </row>
    <row r="7" spans="1:18" ht="15" customHeight="1" x14ac:dyDescent="0.35">
      <c r="A7" s="30" t="s">
        <v>2224</v>
      </c>
      <c r="B7" s="27">
        <v>264</v>
      </c>
    </row>
    <row r="8" spans="1:18" ht="15" customHeight="1" x14ac:dyDescent="0.35">
      <c r="A8" s="30" t="s">
        <v>1247</v>
      </c>
      <c r="B8" s="27">
        <v>100</v>
      </c>
    </row>
    <row r="11" spans="1:18" ht="15" customHeight="1" x14ac:dyDescent="0.35">
      <c r="A11" s="90" t="s">
        <v>415</v>
      </c>
      <c r="B11" s="90" t="s">
        <v>2235</v>
      </c>
      <c r="C11" s="90" t="s">
        <v>2204</v>
      </c>
      <c r="D11" s="90" t="s">
        <v>1268</v>
      </c>
      <c r="E11" s="90" t="s">
        <v>1125</v>
      </c>
      <c r="F11" s="90" t="s">
        <v>1788</v>
      </c>
      <c r="G11" s="90" t="s">
        <v>2232</v>
      </c>
      <c r="H11" s="90" t="s">
        <v>2176</v>
      </c>
    </row>
    <row r="12" spans="1:18" ht="15" customHeight="1" x14ac:dyDescent="0.35">
      <c r="A12" s="57">
        <v>2</v>
      </c>
      <c r="B12" s="57" t="str">
        <f t="shared" ref="B12:B18" si="0">A12*$B$4&amp;"×"&amp;$B$3</f>
        <v>180×280</v>
      </c>
      <c r="C12" s="53">
        <f t="shared" ref="C12:C18" si="1">(A12*$B$4/100)*($B$3/100)</f>
        <v>5.04</v>
      </c>
      <c r="D12" s="53">
        <f t="shared" ref="D12:D18" si="2">P12+Q12+R12+C12*$B$7+IF($B$6="รางยู",5000,0)</f>
        <v>17953.096440000001</v>
      </c>
      <c r="E12" s="53">
        <f t="shared" ref="E12:E18" si="3">D12/C12</f>
        <v>3562.1223095238097</v>
      </c>
      <c r="F12" s="53">
        <f t="shared" ref="F12:F18" si="4">ROUNDUP(E12*(1+$B$8/100)/100,0)*100</f>
        <v>7200</v>
      </c>
      <c r="G12" s="53">
        <f t="shared" ref="G12:G18" si="5">C12*F12</f>
        <v>36288</v>
      </c>
      <c r="H12" s="89">
        <f t="shared" ref="H12:H18" si="6">(G12-D12)/D12</f>
        <v>1.0212669230222213</v>
      </c>
      <c r="K12" s="64">
        <f t="shared" ref="K12:K18" si="7">A12*$B$4*10</f>
        <v>1800</v>
      </c>
      <c r="L12" s="64">
        <f t="shared" ref="L12:L18" si="8">$B$3*10</f>
        <v>2800</v>
      </c>
      <c r="M12" s="133">
        <f t="shared" ref="M12:M18" si="9">(K12-110)/A12</f>
        <v>845</v>
      </c>
      <c r="N12" s="133">
        <f t="shared" ref="N12:N18" si="10">IF(MOD(A12,2)=0,1,0)</f>
        <v>1</v>
      </c>
      <c r="O12" s="133">
        <f t="shared" ref="O12:O18" si="11">IF(A12=2,IF(L12&lt;=2700,7,10),IF(A12=3,IF(L12&lt;=2500,7,IF(L12&lt;=3000,10,13)),IF(OR(A12=4,A12=5),IF(L12&lt;=2700,11,16),IF(OR(A12=6,A12=7),IF(L12&lt;=2700,15,22),IF(L12&lt;=2700,19,28)))))</f>
        <v>10</v>
      </c>
      <c r="P12" s="133">
        <f t="shared" ref="P12:P18" si="12">ROUNDUP((K12-36)/6400,0)*CHOOSE($E$3,3140,3370,4980)+ROUNDUP((K12-36)/6400,0)*CHOOSE($E$3,1730,1860,2745)+ROUNDUP((L12*2)/6400,0)*CHOOSE($E$3,1065,1140,1685)+ROUNDUP(((L12-120)*2)/6400,0)*CHOOSE($E$3,475,510,750)+ROUNDUP((K12-36)/6400,0)*CHOOSE($E$3,230,245,360)+ROUNDUP(((L12-94)*(2*A12)+M12*(2*A12))/6400,0)*CHOOSE($E$3,1670,1795,2650)+ROUNDUP(((L12-94)*N12)/6400,0)*CHOOSE($E$3,540,580,855)+ROUNDUP((L12-80)/6400,0)*CHOOSE($E$3,965,1035,1525)+ROUNDUP(((L12-254)*(2*A12)+(M12-120)*(2*A12))/6400,0)*CHOOSE($E$3,340,365,535)</f>
        <v>14175</v>
      </c>
      <c r="Q12" s="133">
        <f t="shared" ref="Q12:Q18" si="13">299+O12*72+109+199+85+88+2*73+4*A12*15+12*A12*1.5</f>
        <v>1802</v>
      </c>
      <c r="R12" s="133">
        <f t="shared" ref="R12:R18" si="14">(((K12-36)+(K12-36)+L12+(L12-120)*2+(L12-94)*(2*A12)*2+(L12-94)*(2*A12)*2+M12*3+(L12-80))/1000*7)+(((L12-94)*2+(L12-80)*2)/1000*1.22)+((((L12-224)+(M12-130))*2)*A12/1000*8*2)</f>
        <v>645.53643999999997</v>
      </c>
    </row>
    <row r="13" spans="1:18" ht="15" customHeight="1" x14ac:dyDescent="0.35">
      <c r="A13" s="57">
        <v>3</v>
      </c>
      <c r="B13" s="57" t="str">
        <f t="shared" si="0"/>
        <v>270×280</v>
      </c>
      <c r="C13" s="53">
        <f t="shared" si="1"/>
        <v>7.56</v>
      </c>
      <c r="D13" s="53">
        <f t="shared" si="2"/>
        <v>20437.969440000001</v>
      </c>
      <c r="E13" s="53">
        <f t="shared" si="3"/>
        <v>2703.4351111111114</v>
      </c>
      <c r="F13" s="53">
        <f t="shared" si="4"/>
        <v>5500</v>
      </c>
      <c r="G13" s="53">
        <f t="shared" si="5"/>
        <v>41580</v>
      </c>
      <c r="H13" s="89">
        <f t="shared" si="6"/>
        <v>1.0344486824910331</v>
      </c>
      <c r="K13" s="64">
        <f t="shared" si="7"/>
        <v>2700</v>
      </c>
      <c r="L13" s="64">
        <f t="shared" si="8"/>
        <v>2800</v>
      </c>
      <c r="M13" s="133">
        <f t="shared" si="9"/>
        <v>863.33333333333337</v>
      </c>
      <c r="N13" s="133">
        <f t="shared" si="10"/>
        <v>0</v>
      </c>
      <c r="O13" s="133">
        <f t="shared" si="11"/>
        <v>10</v>
      </c>
      <c r="P13" s="133">
        <f t="shared" si="12"/>
        <v>15645</v>
      </c>
      <c r="Q13" s="133">
        <f t="shared" si="13"/>
        <v>1880</v>
      </c>
      <c r="R13" s="133">
        <f t="shared" si="14"/>
        <v>917.12944000000005</v>
      </c>
    </row>
    <row r="14" spans="1:18" ht="15" customHeight="1" x14ac:dyDescent="0.35">
      <c r="A14" s="57">
        <v>4</v>
      </c>
      <c r="B14" s="57" t="str">
        <f t="shared" si="0"/>
        <v>360×280</v>
      </c>
      <c r="C14" s="53">
        <f t="shared" si="1"/>
        <v>10.08</v>
      </c>
      <c r="D14" s="53">
        <f t="shared" si="2"/>
        <v>24434.649939999999</v>
      </c>
      <c r="E14" s="53">
        <f t="shared" si="3"/>
        <v>2424.0724146825396</v>
      </c>
      <c r="F14" s="53">
        <f t="shared" si="4"/>
        <v>4900</v>
      </c>
      <c r="G14" s="53">
        <f t="shared" si="5"/>
        <v>49392</v>
      </c>
      <c r="H14" s="89">
        <f t="shared" si="6"/>
        <v>1.0213917580682967</v>
      </c>
      <c r="K14" s="64">
        <f t="shared" si="7"/>
        <v>3600</v>
      </c>
      <c r="L14" s="64">
        <f t="shared" si="8"/>
        <v>2800</v>
      </c>
      <c r="M14" s="133">
        <f t="shared" si="9"/>
        <v>872.5</v>
      </c>
      <c r="N14" s="133">
        <f t="shared" si="10"/>
        <v>1</v>
      </c>
      <c r="O14" s="133">
        <f t="shared" si="11"/>
        <v>16</v>
      </c>
      <c r="P14" s="133">
        <f t="shared" si="12"/>
        <v>18195</v>
      </c>
      <c r="Q14" s="133">
        <f t="shared" si="13"/>
        <v>2390</v>
      </c>
      <c r="R14" s="133">
        <f t="shared" si="14"/>
        <v>1188.5299399999999</v>
      </c>
    </row>
    <row r="15" spans="1:18" ht="15" customHeight="1" x14ac:dyDescent="0.35">
      <c r="A15" s="57">
        <v>5</v>
      </c>
      <c r="B15" s="57" t="str">
        <f t="shared" si="0"/>
        <v>450×280</v>
      </c>
      <c r="C15" s="53">
        <f t="shared" si="1"/>
        <v>12.6</v>
      </c>
      <c r="D15" s="53">
        <f t="shared" si="2"/>
        <v>26919.25344</v>
      </c>
      <c r="E15" s="53">
        <f t="shared" si="3"/>
        <v>2136.4486857142856</v>
      </c>
      <c r="F15" s="53">
        <f t="shared" si="4"/>
        <v>4300</v>
      </c>
      <c r="G15" s="53">
        <f t="shared" si="5"/>
        <v>54180</v>
      </c>
      <c r="H15" s="89">
        <f t="shared" si="6"/>
        <v>1.012685831750912</v>
      </c>
      <c r="K15" s="64">
        <f t="shared" si="7"/>
        <v>4500</v>
      </c>
      <c r="L15" s="64">
        <f t="shared" si="8"/>
        <v>2800</v>
      </c>
      <c r="M15" s="133">
        <f t="shared" si="9"/>
        <v>878</v>
      </c>
      <c r="N15" s="133">
        <f t="shared" si="10"/>
        <v>0</v>
      </c>
      <c r="O15" s="133">
        <f t="shared" si="11"/>
        <v>16</v>
      </c>
      <c r="P15" s="133">
        <f t="shared" si="12"/>
        <v>19665</v>
      </c>
      <c r="Q15" s="133">
        <f t="shared" si="13"/>
        <v>2468</v>
      </c>
      <c r="R15" s="133">
        <f t="shared" si="14"/>
        <v>1459.8534399999999</v>
      </c>
    </row>
    <row r="16" spans="1:18" ht="15" customHeight="1" x14ac:dyDescent="0.35">
      <c r="A16" s="57">
        <v>6</v>
      </c>
      <c r="B16" s="57" t="str">
        <f t="shared" si="0"/>
        <v>540×280</v>
      </c>
      <c r="C16" s="53">
        <f t="shared" si="1"/>
        <v>15.12</v>
      </c>
      <c r="D16" s="53">
        <f t="shared" si="2"/>
        <v>30915.818439999999</v>
      </c>
      <c r="E16" s="53">
        <f t="shared" si="3"/>
        <v>2044.6969867724868</v>
      </c>
      <c r="F16" s="53">
        <f t="shared" si="4"/>
        <v>4100</v>
      </c>
      <c r="G16" s="53">
        <f t="shared" si="5"/>
        <v>61992</v>
      </c>
      <c r="H16" s="89">
        <f t="shared" si="6"/>
        <v>1.0051870895901147</v>
      </c>
      <c r="K16" s="64">
        <f t="shared" si="7"/>
        <v>5400</v>
      </c>
      <c r="L16" s="64">
        <f t="shared" si="8"/>
        <v>2800</v>
      </c>
      <c r="M16" s="133">
        <f t="shared" si="9"/>
        <v>881.66666666666663</v>
      </c>
      <c r="N16" s="133">
        <f t="shared" si="10"/>
        <v>1</v>
      </c>
      <c r="O16" s="133">
        <f t="shared" si="11"/>
        <v>22</v>
      </c>
      <c r="P16" s="133">
        <f t="shared" si="12"/>
        <v>22215</v>
      </c>
      <c r="Q16" s="133">
        <f t="shared" si="13"/>
        <v>2978</v>
      </c>
      <c r="R16" s="133">
        <f t="shared" si="14"/>
        <v>1731.1384399999999</v>
      </c>
    </row>
    <row r="17" spans="1:18" ht="15" customHeight="1" x14ac:dyDescent="0.35">
      <c r="A17" s="57">
        <v>7</v>
      </c>
      <c r="B17" s="57" t="str">
        <f t="shared" si="0"/>
        <v>630×280</v>
      </c>
      <c r="C17" s="53">
        <f t="shared" si="1"/>
        <v>17.639999999999997</v>
      </c>
      <c r="D17" s="53">
        <f t="shared" si="2"/>
        <v>33400.361440000001</v>
      </c>
      <c r="E17" s="53">
        <f t="shared" si="3"/>
        <v>1893.4445260770979</v>
      </c>
      <c r="F17" s="53">
        <f t="shared" si="4"/>
        <v>3800</v>
      </c>
      <c r="G17" s="53">
        <f t="shared" si="5"/>
        <v>67031.999999999985</v>
      </c>
      <c r="H17" s="89">
        <f t="shared" si="6"/>
        <v>1.0069243897379807</v>
      </c>
      <c r="K17" s="64">
        <f t="shared" si="7"/>
        <v>6300</v>
      </c>
      <c r="L17" s="64">
        <f t="shared" si="8"/>
        <v>2800</v>
      </c>
      <c r="M17" s="133">
        <f t="shared" si="9"/>
        <v>884.28571428571433</v>
      </c>
      <c r="N17" s="133">
        <f t="shared" si="10"/>
        <v>0</v>
      </c>
      <c r="O17" s="133">
        <f t="shared" si="11"/>
        <v>22</v>
      </c>
      <c r="P17" s="133">
        <f t="shared" si="12"/>
        <v>23685</v>
      </c>
      <c r="Q17" s="133">
        <f t="shared" si="13"/>
        <v>3056</v>
      </c>
      <c r="R17" s="133">
        <f t="shared" si="14"/>
        <v>2002.4014400000001</v>
      </c>
    </row>
    <row r="18" spans="1:18" ht="15" customHeight="1" x14ac:dyDescent="0.35">
      <c r="A18" s="57">
        <v>8</v>
      </c>
      <c r="B18" s="57" t="str">
        <f t="shared" si="0"/>
        <v>720×280</v>
      </c>
      <c r="C18" s="53">
        <f t="shared" si="1"/>
        <v>20.16</v>
      </c>
      <c r="D18" s="53">
        <f t="shared" si="2"/>
        <v>42496.89069</v>
      </c>
      <c r="E18" s="53">
        <f t="shared" si="3"/>
        <v>2107.9806889880952</v>
      </c>
      <c r="F18" s="53">
        <f t="shared" si="4"/>
        <v>4300</v>
      </c>
      <c r="G18" s="53">
        <f t="shared" si="5"/>
        <v>86688</v>
      </c>
      <c r="H18" s="89">
        <f t="shared" si="6"/>
        <v>1.0398668842000403</v>
      </c>
      <c r="K18" s="64">
        <f t="shared" si="7"/>
        <v>7200</v>
      </c>
      <c r="L18" s="64">
        <f t="shared" si="8"/>
        <v>2800</v>
      </c>
      <c r="M18" s="133">
        <f t="shared" si="9"/>
        <v>886.25</v>
      </c>
      <c r="N18" s="133">
        <f t="shared" si="10"/>
        <v>1</v>
      </c>
      <c r="O18" s="133">
        <f t="shared" si="11"/>
        <v>28</v>
      </c>
      <c r="P18" s="133">
        <f t="shared" si="12"/>
        <v>31335</v>
      </c>
      <c r="Q18" s="133">
        <f t="shared" si="13"/>
        <v>3566</v>
      </c>
      <c r="R18" s="133">
        <f t="shared" si="14"/>
        <v>2273.6506900000004</v>
      </c>
    </row>
  </sheetData>
  <mergeCells count="1">
    <mergeCell ref="A1:F1"/>
  </mergeCells>
  <dataValidations count="2">
    <dataValidation type="list" sqref="B5" xr:uid="{00000000-0002-0000-2D00-000000000000}">
      <formula1>"สีอบขาว/ดำ,เทาซาฮาร่า,ลายไม้ stock"</formula1>
      <formula2>0</formula2>
    </dataValidation>
    <dataValidation type="list" sqref="B6" xr:uid="{00000000-0002-0000-2D00-000001000000}">
      <formula1>"ปกติ,รางยู"</formula1>
      <formula2>0</formula2>
    </dataValidation>
  </dataValidations>
  <hyperlinks>
    <hyperlink ref="G1" location="'สารบัญ'!A1" display="🏠 สารบัญ" xr:uid="{00000000-0004-0000-2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A6A6A6"/>
  </sheetPr>
  <dimension ref="A1:H74"/>
  <sheetViews>
    <sheetView workbookViewId="0"/>
  </sheetViews>
  <sheetFormatPr defaultRowHeight="14.5" x14ac:dyDescent="0.35"/>
  <cols>
    <col min="1" max="1" width="39.7265625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2236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2244</v>
      </c>
      <c r="C12" s="175">
        <v>3</v>
      </c>
      <c r="D12" s="183">
        <f>C12*ราคาวัสดุ!D14</f>
        <v>4620</v>
      </c>
      <c r="E12" s="175">
        <v>3</v>
      </c>
      <c r="F12" s="183">
        <f>E12*ราคาวัสดุ!D14</f>
        <v>4620</v>
      </c>
      <c r="G12" s="182" t="s">
        <v>487</v>
      </c>
    </row>
    <row r="13" spans="1:8" ht="16.5" x14ac:dyDescent="0.55000000000000004">
      <c r="B13" s="174" t="s">
        <v>2245</v>
      </c>
      <c r="C13" s="175">
        <v>3</v>
      </c>
      <c r="D13" s="183">
        <f>C13*ราคาวัสดุ!D15</f>
        <v>735</v>
      </c>
      <c r="E13" s="175">
        <v>3</v>
      </c>
      <c r="F13" s="183">
        <f>E13*ราคาวัสดุ!D15</f>
        <v>735</v>
      </c>
      <c r="G13" s="182" t="s">
        <v>489</v>
      </c>
    </row>
    <row r="14" spans="1:8" ht="15.5" x14ac:dyDescent="0.35">
      <c r="A14" s="457" t="s">
        <v>2246</v>
      </c>
      <c r="B14" s="411"/>
      <c r="C14" s="411"/>
      <c r="D14" s="184">
        <f>SUM(D5:D13)</f>
        <v>10515</v>
      </c>
      <c r="E14" s="456"/>
      <c r="F14" s="184">
        <f>SUM(F5:F13)</f>
        <v>10531</v>
      </c>
    </row>
    <row r="16" spans="1:8" ht="15.5" x14ac:dyDescent="0.35">
      <c r="A16" s="458" t="s">
        <v>2247</v>
      </c>
      <c r="B16" s="411"/>
      <c r="C16" s="411"/>
      <c r="D16" s="411"/>
      <c r="E16" s="411"/>
      <c r="F16" s="411"/>
      <c r="G16" s="411"/>
    </row>
    <row r="17" spans="1:7" ht="15.5" x14ac:dyDescent="0.35">
      <c r="A17" s="174"/>
      <c r="B17" s="174" t="s">
        <v>590</v>
      </c>
      <c r="C17" s="175">
        <v>5</v>
      </c>
      <c r="D17" s="181">
        <f>C17*ราคาวัสดุ!D4</f>
        <v>6100</v>
      </c>
      <c r="E17" s="175">
        <v>5</v>
      </c>
      <c r="F17" s="181">
        <f>E17*ราคาวัสดุ!D4</f>
        <v>6100</v>
      </c>
      <c r="G17" s="182" t="s">
        <v>489</v>
      </c>
    </row>
    <row r="18" spans="1:7" ht="15.5" x14ac:dyDescent="0.35">
      <c r="A18" s="174"/>
      <c r="B18" s="174" t="s">
        <v>2241</v>
      </c>
      <c r="C18" s="175">
        <v>2</v>
      </c>
      <c r="D18" s="181">
        <f>C18*ราคาวัสดุ!D5</f>
        <v>1540</v>
      </c>
      <c r="E18" s="175">
        <v>0</v>
      </c>
      <c r="F18" s="181">
        <v>0</v>
      </c>
      <c r="G18" s="182" t="s">
        <v>489</v>
      </c>
    </row>
    <row r="19" spans="1:7" ht="15.5" x14ac:dyDescent="0.35">
      <c r="A19" s="174"/>
      <c r="B19" s="174" t="s">
        <v>2242</v>
      </c>
      <c r="C19" s="175">
        <v>0</v>
      </c>
      <c r="D19" s="181">
        <f>C19*ราคาวัสดุ!D6</f>
        <v>0</v>
      </c>
      <c r="E19" s="175">
        <v>4</v>
      </c>
      <c r="F19" s="181">
        <f>E19*ราคาวัสดุ!D6</f>
        <v>1572</v>
      </c>
      <c r="G19" s="182" t="s">
        <v>489</v>
      </c>
    </row>
    <row r="20" spans="1:7" ht="15.5" x14ac:dyDescent="0.35">
      <c r="A20" s="174"/>
      <c r="B20" s="174" t="s">
        <v>387</v>
      </c>
      <c r="C20" s="175">
        <v>1</v>
      </c>
      <c r="D20" s="181">
        <f>C20*ราคาวัสดุ!D7</f>
        <v>140</v>
      </c>
      <c r="E20" s="175">
        <v>1</v>
      </c>
      <c r="F20" s="181">
        <f>E20*ราคาวัสดุ!D7</f>
        <v>140</v>
      </c>
      <c r="G20" s="182" t="s">
        <v>489</v>
      </c>
    </row>
    <row r="21" spans="1:7" ht="15.5" x14ac:dyDescent="0.35">
      <c r="A21" s="174"/>
      <c r="B21" s="174" t="s">
        <v>597</v>
      </c>
      <c r="C21" s="175">
        <v>1</v>
      </c>
      <c r="D21" s="181">
        <f>C21*ราคาวัสดุ!D8</f>
        <v>140</v>
      </c>
      <c r="E21" s="175">
        <v>1</v>
      </c>
      <c r="F21" s="181">
        <f>E21*ราคาวัสดุ!D8</f>
        <v>140</v>
      </c>
      <c r="G21" s="182" t="s">
        <v>489</v>
      </c>
    </row>
    <row r="22" spans="1:7" ht="15.5" x14ac:dyDescent="0.35">
      <c r="A22" s="174"/>
      <c r="B22" s="174" t="s">
        <v>599</v>
      </c>
      <c r="C22" s="175">
        <v>4</v>
      </c>
      <c r="D22" s="181">
        <f>C22*ราคาวัสดุ!D9</f>
        <v>440</v>
      </c>
      <c r="E22" s="175">
        <v>4</v>
      </c>
      <c r="F22" s="181">
        <f>E22*ราคาวัสดุ!D9</f>
        <v>440</v>
      </c>
      <c r="G22" s="182" t="s">
        <v>489</v>
      </c>
    </row>
    <row r="23" spans="1:7" ht="15.5" x14ac:dyDescent="0.35">
      <c r="A23" s="174"/>
      <c r="B23" s="174" t="s">
        <v>2243</v>
      </c>
      <c r="C23" s="175">
        <v>14</v>
      </c>
      <c r="D23" s="181">
        <f>C23*ราคาวัสดุ!D10</f>
        <v>210</v>
      </c>
      <c r="E23" s="175">
        <v>14</v>
      </c>
      <c r="F23" s="181">
        <f>E23*ราคาวัสดุ!D10</f>
        <v>210</v>
      </c>
      <c r="G23" s="182" t="s">
        <v>487</v>
      </c>
    </row>
    <row r="24" spans="1:7" ht="16.5" x14ac:dyDescent="0.55000000000000004">
      <c r="B24" s="174" t="s">
        <v>2244</v>
      </c>
      <c r="C24" s="175">
        <v>6</v>
      </c>
      <c r="D24" s="183">
        <f>C24*ราคาวัสดุ!D14</f>
        <v>9240</v>
      </c>
      <c r="E24" s="175">
        <v>6</v>
      </c>
      <c r="F24" s="183">
        <f>E24*ราคาวัสดุ!D14</f>
        <v>9240</v>
      </c>
      <c r="G24" s="182" t="s">
        <v>487</v>
      </c>
    </row>
    <row r="25" spans="1:7" ht="16.5" x14ac:dyDescent="0.55000000000000004">
      <c r="B25" s="174" t="s">
        <v>2245</v>
      </c>
      <c r="C25" s="175">
        <v>6</v>
      </c>
      <c r="D25" s="183">
        <f>C25*ราคาวัสดุ!D15</f>
        <v>1470</v>
      </c>
      <c r="E25" s="175">
        <v>6</v>
      </c>
      <c r="F25" s="183">
        <f>E25*ราคาวัสดุ!D15</f>
        <v>1470</v>
      </c>
      <c r="G25" s="182" t="s">
        <v>489</v>
      </c>
    </row>
    <row r="26" spans="1:7" ht="15.5" x14ac:dyDescent="0.35">
      <c r="A26" s="457" t="s">
        <v>2248</v>
      </c>
      <c r="B26" s="411"/>
      <c r="C26" s="411"/>
      <c r="D26" s="184">
        <f>SUM(D17:D25)</f>
        <v>19280</v>
      </c>
      <c r="E26" s="456"/>
      <c r="F26" s="184">
        <f>SUM(F17:F25)</f>
        <v>19312</v>
      </c>
    </row>
    <row r="28" spans="1:7" ht="15.5" x14ac:dyDescent="0.35">
      <c r="A28" s="458" t="s">
        <v>2249</v>
      </c>
      <c r="B28" s="411"/>
      <c r="C28" s="411"/>
      <c r="D28" s="411"/>
      <c r="E28" s="411"/>
      <c r="F28" s="411"/>
      <c r="G28" s="411"/>
    </row>
    <row r="29" spans="1:7" ht="15.5" x14ac:dyDescent="0.35">
      <c r="A29" s="174"/>
      <c r="B29" s="174" t="s">
        <v>590</v>
      </c>
      <c r="C29" s="175">
        <v>7</v>
      </c>
      <c r="D29" s="181">
        <f>C29*ราคาวัสดุ!D4</f>
        <v>8540</v>
      </c>
      <c r="E29" s="175">
        <v>7</v>
      </c>
      <c r="F29" s="181">
        <f>E29*ราคาวัสดุ!D4</f>
        <v>8540</v>
      </c>
      <c r="G29" s="182" t="s">
        <v>489</v>
      </c>
    </row>
    <row r="30" spans="1:7" ht="15.5" x14ac:dyDescent="0.35">
      <c r="A30" s="174"/>
      <c r="B30" s="174" t="s">
        <v>2241</v>
      </c>
      <c r="C30" s="175">
        <v>3</v>
      </c>
      <c r="D30" s="181">
        <f>C30*ราคาวัสดุ!D5</f>
        <v>2310</v>
      </c>
      <c r="E30" s="175">
        <v>0</v>
      </c>
      <c r="F30" s="181">
        <v>0</v>
      </c>
      <c r="G30" s="182" t="s">
        <v>489</v>
      </c>
    </row>
    <row r="31" spans="1:7" ht="15.5" x14ac:dyDescent="0.35">
      <c r="A31" s="174"/>
      <c r="B31" s="174" t="s">
        <v>2242</v>
      </c>
      <c r="C31" s="175">
        <v>0</v>
      </c>
      <c r="D31" s="181">
        <f>C31*ราคาวัสดุ!D6</f>
        <v>0</v>
      </c>
      <c r="E31" s="175">
        <v>6</v>
      </c>
      <c r="F31" s="181">
        <f>E31*ราคาวัสดุ!D6</f>
        <v>2358</v>
      </c>
      <c r="G31" s="182" t="s">
        <v>489</v>
      </c>
    </row>
    <row r="32" spans="1:7" ht="15.5" x14ac:dyDescent="0.35">
      <c r="A32" s="174"/>
      <c r="B32" s="174" t="s">
        <v>387</v>
      </c>
      <c r="C32" s="175">
        <v>1</v>
      </c>
      <c r="D32" s="181">
        <f>C32*ราคาวัสดุ!D7</f>
        <v>140</v>
      </c>
      <c r="E32" s="175">
        <v>1</v>
      </c>
      <c r="F32" s="181">
        <f>E32*ราคาวัสดุ!D7</f>
        <v>140</v>
      </c>
      <c r="G32" s="182" t="s">
        <v>489</v>
      </c>
    </row>
    <row r="33" spans="1:7" ht="15.5" x14ac:dyDescent="0.35">
      <c r="A33" s="174"/>
      <c r="B33" s="174" t="s">
        <v>597</v>
      </c>
      <c r="C33" s="175">
        <v>2</v>
      </c>
      <c r="D33" s="181">
        <f>C33*ราคาวัสดุ!D8</f>
        <v>280</v>
      </c>
      <c r="E33" s="175">
        <v>2</v>
      </c>
      <c r="F33" s="181">
        <f>E33*ราคาวัสดุ!D8</f>
        <v>280</v>
      </c>
      <c r="G33" s="182" t="s">
        <v>489</v>
      </c>
    </row>
    <row r="34" spans="1:7" ht="15.5" x14ac:dyDescent="0.35">
      <c r="A34" s="174"/>
      <c r="B34" s="174" t="s">
        <v>599</v>
      </c>
      <c r="C34" s="175">
        <v>6</v>
      </c>
      <c r="D34" s="181">
        <f>C34*ราคาวัสดุ!D9</f>
        <v>660</v>
      </c>
      <c r="E34" s="175">
        <v>6</v>
      </c>
      <c r="F34" s="181">
        <f>E34*ราคาวัสดุ!D9</f>
        <v>660</v>
      </c>
      <c r="G34" s="182" t="s">
        <v>489</v>
      </c>
    </row>
    <row r="35" spans="1:7" ht="15.5" x14ac:dyDescent="0.35">
      <c r="A35" s="174"/>
      <c r="B35" s="174" t="s">
        <v>2243</v>
      </c>
      <c r="C35" s="175">
        <v>12</v>
      </c>
      <c r="D35" s="181">
        <f>C35*ราคาวัสดุ!D10</f>
        <v>180</v>
      </c>
      <c r="E35" s="175">
        <v>12</v>
      </c>
      <c r="F35" s="181">
        <f>E35*ราคาวัสดุ!D10</f>
        <v>180</v>
      </c>
      <c r="G35" s="182" t="s">
        <v>487</v>
      </c>
    </row>
    <row r="36" spans="1:7" ht="16.5" x14ac:dyDescent="0.55000000000000004">
      <c r="B36" s="174" t="s">
        <v>2244</v>
      </c>
      <c r="C36" s="175">
        <v>9</v>
      </c>
      <c r="D36" s="183">
        <f>C36*ราคาวัสดุ!D14</f>
        <v>13860</v>
      </c>
      <c r="E36" s="175">
        <v>9</v>
      </c>
      <c r="F36" s="183">
        <f>E36*ราคาวัสดุ!D14</f>
        <v>13860</v>
      </c>
      <c r="G36" s="182" t="s">
        <v>487</v>
      </c>
    </row>
    <row r="37" spans="1:7" ht="16.5" x14ac:dyDescent="0.55000000000000004">
      <c r="B37" s="174" t="s">
        <v>2245</v>
      </c>
      <c r="C37" s="175">
        <v>9</v>
      </c>
      <c r="D37" s="183">
        <f>C37*ราคาวัสดุ!D15</f>
        <v>2205</v>
      </c>
      <c r="E37" s="175">
        <v>9</v>
      </c>
      <c r="F37" s="183">
        <f>E37*ราคาวัสดุ!D15</f>
        <v>2205</v>
      </c>
      <c r="G37" s="182" t="s">
        <v>489</v>
      </c>
    </row>
    <row r="38" spans="1:7" ht="15.5" x14ac:dyDescent="0.35">
      <c r="A38" s="457" t="s">
        <v>2250</v>
      </c>
      <c r="B38" s="411"/>
      <c r="C38" s="411"/>
      <c r="D38" s="184">
        <f>SUM(D29:D37)</f>
        <v>28175</v>
      </c>
      <c r="E38" s="456"/>
      <c r="F38" s="184">
        <f>SUM(F29:F37)</f>
        <v>28223</v>
      </c>
    </row>
    <row r="40" spans="1:7" ht="15.5" x14ac:dyDescent="0.35">
      <c r="A40" s="458" t="s">
        <v>2251</v>
      </c>
      <c r="B40" s="411"/>
      <c r="C40" s="411"/>
      <c r="D40" s="411"/>
      <c r="E40" s="411"/>
      <c r="F40" s="411"/>
      <c r="G40" s="411"/>
    </row>
    <row r="41" spans="1:7" ht="15.5" x14ac:dyDescent="0.35">
      <c r="A41" s="174"/>
      <c r="B41" s="174" t="s">
        <v>590</v>
      </c>
      <c r="C41" s="175">
        <v>10</v>
      </c>
      <c r="D41" s="181">
        <f>C41*ราคาวัสดุ!D4</f>
        <v>12200</v>
      </c>
      <c r="E41" s="175">
        <v>10</v>
      </c>
      <c r="F41" s="181">
        <f>E41*ราคาวัสดุ!D4</f>
        <v>12200</v>
      </c>
      <c r="G41" s="182" t="s">
        <v>489</v>
      </c>
    </row>
    <row r="42" spans="1:7" ht="15.5" x14ac:dyDescent="0.35">
      <c r="A42" s="174"/>
      <c r="B42" s="174" t="s">
        <v>2241</v>
      </c>
      <c r="C42" s="175">
        <v>4</v>
      </c>
      <c r="D42" s="181">
        <f>C42*ราคาวัสดุ!D5</f>
        <v>3080</v>
      </c>
      <c r="E42" s="175">
        <v>0</v>
      </c>
      <c r="F42" s="181">
        <v>0</v>
      </c>
      <c r="G42" s="182" t="s">
        <v>489</v>
      </c>
    </row>
    <row r="43" spans="1:7" ht="15.5" x14ac:dyDescent="0.35">
      <c r="A43" s="174"/>
      <c r="B43" s="174" t="s">
        <v>2242</v>
      </c>
      <c r="C43" s="175">
        <v>0</v>
      </c>
      <c r="D43" s="181">
        <f>C43*ราคาวัสดุ!D6</f>
        <v>0</v>
      </c>
      <c r="E43" s="175">
        <v>8</v>
      </c>
      <c r="F43" s="181">
        <f>E43*ราคาวัสดุ!D6</f>
        <v>3144</v>
      </c>
      <c r="G43" s="182" t="s">
        <v>489</v>
      </c>
    </row>
    <row r="44" spans="1:7" ht="15.5" x14ac:dyDescent="0.35">
      <c r="A44" s="174"/>
      <c r="B44" s="174" t="s">
        <v>387</v>
      </c>
      <c r="C44" s="175">
        <v>1</v>
      </c>
      <c r="D44" s="181">
        <f>C44*ราคาวัสดุ!D7</f>
        <v>140</v>
      </c>
      <c r="E44" s="175">
        <v>1</v>
      </c>
      <c r="F44" s="181">
        <f>E44*ราคาวัสดุ!D7</f>
        <v>140</v>
      </c>
      <c r="G44" s="182" t="s">
        <v>489</v>
      </c>
    </row>
    <row r="45" spans="1:7" ht="15.5" x14ac:dyDescent="0.35">
      <c r="A45" s="174"/>
      <c r="B45" s="174" t="s">
        <v>597</v>
      </c>
      <c r="C45" s="175">
        <v>2</v>
      </c>
      <c r="D45" s="181">
        <f>C45*ราคาวัสดุ!D8</f>
        <v>280</v>
      </c>
      <c r="E45" s="175">
        <v>2</v>
      </c>
      <c r="F45" s="181">
        <f>E45*ราคาวัสดุ!D8</f>
        <v>280</v>
      </c>
      <c r="G45" s="182" t="s">
        <v>489</v>
      </c>
    </row>
    <row r="46" spans="1:7" ht="15.5" x14ac:dyDescent="0.35">
      <c r="A46" s="174"/>
      <c r="B46" s="174" t="s">
        <v>599</v>
      </c>
      <c r="C46" s="175">
        <v>8</v>
      </c>
      <c r="D46" s="181">
        <f>C46*ราคาวัสดุ!D9</f>
        <v>880</v>
      </c>
      <c r="E46" s="175">
        <v>8</v>
      </c>
      <c r="F46" s="181">
        <f>E46*ราคาวัสดุ!D9</f>
        <v>880</v>
      </c>
      <c r="G46" s="182" t="s">
        <v>489</v>
      </c>
    </row>
    <row r="47" spans="1:7" ht="15.5" x14ac:dyDescent="0.35">
      <c r="A47" s="174"/>
      <c r="B47" s="174" t="s">
        <v>2243</v>
      </c>
      <c r="C47" s="175">
        <v>13</v>
      </c>
      <c r="D47" s="181">
        <f>C47*ราคาวัสดุ!D10</f>
        <v>195</v>
      </c>
      <c r="E47" s="175">
        <v>13</v>
      </c>
      <c r="F47" s="181">
        <f>E47*ราคาวัสดุ!D10</f>
        <v>195</v>
      </c>
      <c r="G47" s="182" t="s">
        <v>487</v>
      </c>
    </row>
    <row r="48" spans="1:7" ht="16.5" x14ac:dyDescent="0.55000000000000004">
      <c r="B48" s="174" t="s">
        <v>2244</v>
      </c>
      <c r="C48" s="175">
        <v>12</v>
      </c>
      <c r="D48" s="183">
        <f>C48*ราคาวัสดุ!D14</f>
        <v>18480</v>
      </c>
      <c r="E48" s="175">
        <v>12</v>
      </c>
      <c r="F48" s="183">
        <f>E48*ราคาวัสดุ!D14</f>
        <v>18480</v>
      </c>
      <c r="G48" s="182" t="s">
        <v>487</v>
      </c>
    </row>
    <row r="49" spans="1:7" ht="16.5" x14ac:dyDescent="0.55000000000000004">
      <c r="B49" s="174" t="s">
        <v>2245</v>
      </c>
      <c r="C49" s="175">
        <v>12</v>
      </c>
      <c r="D49" s="183">
        <f>C49*ราคาวัสดุ!D15</f>
        <v>2940</v>
      </c>
      <c r="E49" s="175">
        <v>12</v>
      </c>
      <c r="F49" s="183">
        <f>E49*ราคาวัสดุ!D15</f>
        <v>2940</v>
      </c>
      <c r="G49" s="182" t="s">
        <v>489</v>
      </c>
    </row>
    <row r="50" spans="1:7" ht="15.5" x14ac:dyDescent="0.35">
      <c r="A50" s="457" t="s">
        <v>2252</v>
      </c>
      <c r="B50" s="411"/>
      <c r="C50" s="411"/>
      <c r="D50" s="184">
        <f>SUM(D41:D49)</f>
        <v>38195</v>
      </c>
      <c r="E50" s="456"/>
      <c r="F50" s="184">
        <f>SUM(F41:F49)</f>
        <v>38259</v>
      </c>
    </row>
    <row r="52" spans="1:7" ht="15.5" x14ac:dyDescent="0.35">
      <c r="A52" s="458" t="s">
        <v>2253</v>
      </c>
      <c r="B52" s="411"/>
      <c r="C52" s="411"/>
      <c r="D52" s="411"/>
      <c r="E52" s="411"/>
      <c r="F52" s="411"/>
      <c r="G52" s="411"/>
    </row>
    <row r="53" spans="1:7" ht="15.5" x14ac:dyDescent="0.35">
      <c r="A53" s="174"/>
      <c r="B53" s="174" t="s">
        <v>590</v>
      </c>
      <c r="C53" s="175">
        <v>13</v>
      </c>
      <c r="D53" s="181">
        <f>C53*ราคาวัสดุ!D4</f>
        <v>15860</v>
      </c>
      <c r="E53" s="175">
        <v>13</v>
      </c>
      <c r="F53" s="181">
        <f>E53*ราคาวัสดุ!D4</f>
        <v>15860</v>
      </c>
      <c r="G53" s="182" t="s">
        <v>489</v>
      </c>
    </row>
    <row r="54" spans="1:7" ht="15.5" x14ac:dyDescent="0.35">
      <c r="A54" s="174"/>
      <c r="B54" s="174" t="s">
        <v>2241</v>
      </c>
      <c r="C54" s="175">
        <v>6</v>
      </c>
      <c r="D54" s="181">
        <f>C54*ราคาวัสดุ!D5</f>
        <v>4620</v>
      </c>
      <c r="E54" s="175">
        <v>0</v>
      </c>
      <c r="F54" s="181">
        <v>0</v>
      </c>
      <c r="G54" s="182" t="s">
        <v>489</v>
      </c>
    </row>
    <row r="55" spans="1:7" ht="15.5" x14ac:dyDescent="0.35">
      <c r="A55" s="174"/>
      <c r="B55" s="174" t="s">
        <v>2242</v>
      </c>
      <c r="C55" s="175">
        <v>0</v>
      </c>
      <c r="D55" s="181">
        <f>C55*ราคาวัสดุ!D6</f>
        <v>0</v>
      </c>
      <c r="E55" s="175">
        <v>11</v>
      </c>
      <c r="F55" s="181">
        <f>E55*ราคาวัสดุ!D6</f>
        <v>4323</v>
      </c>
      <c r="G55" s="182" t="s">
        <v>489</v>
      </c>
    </row>
    <row r="56" spans="1:7" ht="15.5" x14ac:dyDescent="0.35">
      <c r="A56" s="174"/>
      <c r="B56" s="174" t="s">
        <v>387</v>
      </c>
      <c r="C56" s="175">
        <v>1</v>
      </c>
      <c r="D56" s="181">
        <f>C56*ราคาวัสดุ!D7</f>
        <v>140</v>
      </c>
      <c r="E56" s="175">
        <v>1</v>
      </c>
      <c r="F56" s="181">
        <f>E56*ราคาวัสดุ!D7</f>
        <v>140</v>
      </c>
      <c r="G56" s="182" t="s">
        <v>489</v>
      </c>
    </row>
    <row r="57" spans="1:7" ht="15.5" x14ac:dyDescent="0.35">
      <c r="A57" s="174"/>
      <c r="B57" s="174" t="s">
        <v>597</v>
      </c>
      <c r="C57" s="175">
        <v>3</v>
      </c>
      <c r="D57" s="181">
        <f>C57*ราคาวัสดุ!D8</f>
        <v>420</v>
      </c>
      <c r="E57" s="175">
        <v>3</v>
      </c>
      <c r="F57" s="181">
        <f>E57*ราคาวัสดุ!D8</f>
        <v>420</v>
      </c>
      <c r="G57" s="182" t="s">
        <v>489</v>
      </c>
    </row>
    <row r="58" spans="1:7" ht="15.5" x14ac:dyDescent="0.35">
      <c r="A58" s="174"/>
      <c r="B58" s="174" t="s">
        <v>599</v>
      </c>
      <c r="C58" s="175">
        <v>10</v>
      </c>
      <c r="D58" s="181">
        <f>C58*ราคาวัสดุ!D9</f>
        <v>1100</v>
      </c>
      <c r="E58" s="175">
        <v>10</v>
      </c>
      <c r="F58" s="181">
        <f>E58*ราคาวัสดุ!D9</f>
        <v>1100</v>
      </c>
      <c r="G58" s="182" t="s">
        <v>489</v>
      </c>
    </row>
    <row r="59" spans="1:7" ht="15.5" x14ac:dyDescent="0.35">
      <c r="A59" s="174"/>
      <c r="B59" s="174" t="s">
        <v>2243</v>
      </c>
      <c r="C59" s="175">
        <v>17</v>
      </c>
      <c r="D59" s="181">
        <f>C59*ราคาวัสดุ!D10</f>
        <v>255</v>
      </c>
      <c r="E59" s="175">
        <v>17</v>
      </c>
      <c r="F59" s="181">
        <f>E59*ราคาวัสดุ!D10</f>
        <v>255</v>
      </c>
      <c r="G59" s="182" t="s">
        <v>487</v>
      </c>
    </row>
    <row r="60" spans="1:7" ht="16.5" x14ac:dyDescent="0.55000000000000004">
      <c r="B60" s="174" t="s">
        <v>2244</v>
      </c>
      <c r="C60" s="175">
        <v>16</v>
      </c>
      <c r="D60" s="183">
        <f>C60*ราคาวัสดุ!D14</f>
        <v>24640</v>
      </c>
      <c r="E60" s="175">
        <v>16</v>
      </c>
      <c r="F60" s="183">
        <f>E60*ราคาวัสดุ!D14</f>
        <v>24640</v>
      </c>
      <c r="G60" s="182" t="s">
        <v>487</v>
      </c>
    </row>
    <row r="61" spans="1:7" ht="16.5" x14ac:dyDescent="0.55000000000000004">
      <c r="B61" s="174" t="s">
        <v>2245</v>
      </c>
      <c r="C61" s="175">
        <v>16</v>
      </c>
      <c r="D61" s="183">
        <f>C61*ราคาวัสดุ!D15</f>
        <v>3920</v>
      </c>
      <c r="E61" s="175">
        <v>16</v>
      </c>
      <c r="F61" s="183">
        <f>E61*ราคาวัสดุ!D15</f>
        <v>3920</v>
      </c>
      <c r="G61" s="182" t="s">
        <v>489</v>
      </c>
    </row>
    <row r="62" spans="1:7" ht="15.5" x14ac:dyDescent="0.35">
      <c r="A62" s="457" t="s">
        <v>2254</v>
      </c>
      <c r="B62" s="411"/>
      <c r="C62" s="411"/>
      <c r="D62" s="184">
        <f>SUM(D53:D61)</f>
        <v>50955</v>
      </c>
      <c r="E62" s="456"/>
      <c r="F62" s="184">
        <f>SUM(F53:F61)</f>
        <v>50658</v>
      </c>
    </row>
    <row r="64" spans="1:7" ht="15.5" x14ac:dyDescent="0.35">
      <c r="A64" s="458" t="s">
        <v>2255</v>
      </c>
      <c r="B64" s="411"/>
      <c r="C64" s="411"/>
      <c r="D64" s="411"/>
      <c r="E64" s="411"/>
      <c r="F64" s="411"/>
      <c r="G64" s="411"/>
    </row>
    <row r="65" spans="1:7" ht="15.5" x14ac:dyDescent="0.35">
      <c r="A65" s="174"/>
      <c r="B65" s="174" t="s">
        <v>590</v>
      </c>
      <c r="C65" s="175">
        <v>16</v>
      </c>
      <c r="D65" s="181">
        <f>C65*ราคาวัสดุ!D4</f>
        <v>19520</v>
      </c>
      <c r="E65" s="175">
        <v>16</v>
      </c>
      <c r="F65" s="181">
        <f>E65*ราคาวัสดุ!D4</f>
        <v>19520</v>
      </c>
      <c r="G65" s="182" t="s">
        <v>489</v>
      </c>
    </row>
    <row r="66" spans="1:7" ht="15.5" x14ac:dyDescent="0.35">
      <c r="A66" s="174"/>
      <c r="B66" s="174" t="s">
        <v>2241</v>
      </c>
      <c r="C66" s="175">
        <v>7</v>
      </c>
      <c r="D66" s="181">
        <f>C66*ราคาวัสดุ!D5</f>
        <v>5390</v>
      </c>
      <c r="E66" s="175">
        <v>0</v>
      </c>
      <c r="F66" s="181">
        <v>0</v>
      </c>
      <c r="G66" s="182" t="s">
        <v>489</v>
      </c>
    </row>
    <row r="67" spans="1:7" ht="15.5" x14ac:dyDescent="0.35">
      <c r="A67" s="174"/>
      <c r="B67" s="174" t="s">
        <v>2242</v>
      </c>
      <c r="C67" s="175">
        <v>0</v>
      </c>
      <c r="D67" s="181">
        <f>C67*ราคาวัสดุ!D6</f>
        <v>0</v>
      </c>
      <c r="E67" s="175">
        <v>14</v>
      </c>
      <c r="F67" s="181">
        <f>E67*ราคาวัสดุ!D6</f>
        <v>5502</v>
      </c>
      <c r="G67" s="182" t="s">
        <v>489</v>
      </c>
    </row>
    <row r="68" spans="1:7" ht="15.5" x14ac:dyDescent="0.35">
      <c r="A68" s="174"/>
      <c r="B68" s="174" t="s">
        <v>387</v>
      </c>
      <c r="C68" s="175">
        <v>1</v>
      </c>
      <c r="D68" s="181">
        <f>C68*ราคาวัสดุ!D7</f>
        <v>140</v>
      </c>
      <c r="E68" s="175">
        <v>1</v>
      </c>
      <c r="F68" s="181">
        <f>E68*ราคาวัสดุ!D7</f>
        <v>140</v>
      </c>
      <c r="G68" s="182" t="s">
        <v>489</v>
      </c>
    </row>
    <row r="69" spans="1:7" ht="15.5" x14ac:dyDescent="0.35">
      <c r="A69" s="174"/>
      <c r="B69" s="174" t="s">
        <v>597</v>
      </c>
      <c r="C69" s="175">
        <v>4</v>
      </c>
      <c r="D69" s="181">
        <f>C69*ราคาวัสดุ!D8</f>
        <v>560</v>
      </c>
      <c r="E69" s="175">
        <v>4</v>
      </c>
      <c r="F69" s="181">
        <f>E69*ราคาวัสดุ!D8</f>
        <v>560</v>
      </c>
      <c r="G69" s="182" t="s">
        <v>489</v>
      </c>
    </row>
    <row r="70" spans="1:7" ht="15.5" x14ac:dyDescent="0.35">
      <c r="A70" s="174"/>
      <c r="B70" s="174" t="s">
        <v>599</v>
      </c>
      <c r="C70" s="175">
        <v>13</v>
      </c>
      <c r="D70" s="181">
        <f>C70*ราคาวัสดุ!D9</f>
        <v>1430</v>
      </c>
      <c r="E70" s="175">
        <v>13</v>
      </c>
      <c r="F70" s="181">
        <f>E70*ราคาวัสดุ!D9</f>
        <v>1430</v>
      </c>
      <c r="G70" s="182" t="s">
        <v>489</v>
      </c>
    </row>
    <row r="71" spans="1:7" ht="15.5" x14ac:dyDescent="0.35">
      <c r="A71" s="174"/>
      <c r="B71" s="174" t="s">
        <v>2243</v>
      </c>
      <c r="C71" s="175">
        <v>21</v>
      </c>
      <c r="D71" s="181">
        <f>C71*ราคาวัสดุ!D10</f>
        <v>315</v>
      </c>
      <c r="E71" s="175">
        <v>21</v>
      </c>
      <c r="F71" s="181">
        <f>E71*ราคาวัสดุ!D10</f>
        <v>315</v>
      </c>
      <c r="G71" s="182" t="s">
        <v>487</v>
      </c>
    </row>
    <row r="72" spans="1:7" ht="16.5" x14ac:dyDescent="0.55000000000000004">
      <c r="B72" s="174" t="s">
        <v>2244</v>
      </c>
      <c r="C72" s="175">
        <v>20</v>
      </c>
      <c r="D72" s="183">
        <f>C72*ราคาวัสดุ!D14</f>
        <v>30800</v>
      </c>
      <c r="E72" s="175">
        <v>20</v>
      </c>
      <c r="F72" s="183">
        <f>E72*ราคาวัสดุ!D14</f>
        <v>30800</v>
      </c>
      <c r="G72" s="182" t="s">
        <v>487</v>
      </c>
    </row>
    <row r="73" spans="1:7" ht="16.5" x14ac:dyDescent="0.55000000000000004">
      <c r="B73" s="174" t="s">
        <v>2245</v>
      </c>
      <c r="C73" s="175">
        <v>20</v>
      </c>
      <c r="D73" s="183">
        <f>C73*ราคาวัสดุ!D15</f>
        <v>4900</v>
      </c>
      <c r="E73" s="175">
        <v>20</v>
      </c>
      <c r="F73" s="183">
        <f>E73*ราคาวัสดุ!D15</f>
        <v>4900</v>
      </c>
      <c r="G73" s="182" t="s">
        <v>489</v>
      </c>
    </row>
    <row r="74" spans="1:7" ht="15.5" x14ac:dyDescent="0.35">
      <c r="A74" s="457" t="s">
        <v>2256</v>
      </c>
      <c r="B74" s="411"/>
      <c r="C74" s="411"/>
      <c r="D74" s="184">
        <f>SUM(D65:D73)</f>
        <v>63055</v>
      </c>
      <c r="E74" s="456"/>
      <c r="F74" s="184">
        <f>SUM(F65:F73)</f>
        <v>63167</v>
      </c>
    </row>
  </sheetData>
  <mergeCells count="24"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</mergeCells>
  <hyperlinks>
    <hyperlink ref="G1" location="'สารบัญ'!A1" display="🏠 สารบัญ" xr:uid="{00000000-0004-0000-2E00-000000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A6A6A6"/>
  </sheetPr>
  <dimension ref="A1:H74"/>
  <sheetViews>
    <sheetView workbookViewId="0"/>
  </sheetViews>
  <sheetFormatPr defaultRowHeight="14.5" x14ac:dyDescent="0.35"/>
  <cols>
    <col min="1" max="1" width="41.26953125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2257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2258</v>
      </c>
      <c r="C12" s="175">
        <v>1</v>
      </c>
      <c r="D12" s="183">
        <f>C12*ราคาวัสดุ!D16</f>
        <v>4700</v>
      </c>
      <c r="E12" s="175">
        <v>1</v>
      </c>
      <c r="F12" s="183">
        <f>E12*ราคาวัสดุ!D16</f>
        <v>4700</v>
      </c>
      <c r="G12" s="182" t="s">
        <v>487</v>
      </c>
    </row>
    <row r="13" spans="1:8" ht="15.5" x14ac:dyDescent="0.35">
      <c r="B13" s="185" t="s">
        <v>2259</v>
      </c>
      <c r="C13" s="175" t="s">
        <v>383</v>
      </c>
      <c r="D13" s="181">
        <v>0</v>
      </c>
      <c r="E13" s="175" t="s">
        <v>383</v>
      </c>
      <c r="F13" s="181">
        <v>0</v>
      </c>
      <c r="G13" s="177"/>
    </row>
    <row r="14" spans="1:8" ht="15.5" x14ac:dyDescent="0.35">
      <c r="A14" s="457" t="s">
        <v>2246</v>
      </c>
      <c r="B14" s="411"/>
      <c r="C14" s="411"/>
      <c r="D14" s="184">
        <f>SUM(D5:D13)</f>
        <v>9860</v>
      </c>
      <c r="E14" s="456"/>
      <c r="F14" s="184">
        <f>SUM(F5:F13)</f>
        <v>9876</v>
      </c>
    </row>
    <row r="16" spans="1:8" ht="15.5" x14ac:dyDescent="0.35">
      <c r="A16" s="458" t="s">
        <v>2247</v>
      </c>
      <c r="B16" s="411"/>
      <c r="C16" s="411"/>
      <c r="D16" s="411"/>
      <c r="E16" s="411"/>
      <c r="F16" s="411"/>
      <c r="G16" s="411"/>
    </row>
    <row r="17" spans="1:7" ht="15.5" x14ac:dyDescent="0.35">
      <c r="A17" s="174"/>
      <c r="B17" s="174" t="s">
        <v>590</v>
      </c>
      <c r="C17" s="175">
        <v>5</v>
      </c>
      <c r="D17" s="181">
        <f>C17*ราคาวัสดุ!D4</f>
        <v>6100</v>
      </c>
      <c r="E17" s="175">
        <v>5</v>
      </c>
      <c r="F17" s="181">
        <f>E17*ราคาวัสดุ!D4</f>
        <v>6100</v>
      </c>
      <c r="G17" s="182" t="s">
        <v>489</v>
      </c>
    </row>
    <row r="18" spans="1:7" ht="15.5" x14ac:dyDescent="0.35">
      <c r="A18" s="174"/>
      <c r="B18" s="174" t="s">
        <v>2241</v>
      </c>
      <c r="C18" s="175">
        <v>2</v>
      </c>
      <c r="D18" s="181">
        <f>C18*ราคาวัสดุ!D5</f>
        <v>1540</v>
      </c>
      <c r="E18" s="175">
        <v>0</v>
      </c>
      <c r="F18" s="181">
        <v>0</v>
      </c>
      <c r="G18" s="182" t="s">
        <v>489</v>
      </c>
    </row>
    <row r="19" spans="1:7" ht="15.5" x14ac:dyDescent="0.35">
      <c r="A19" s="174"/>
      <c r="B19" s="174" t="s">
        <v>2242</v>
      </c>
      <c r="C19" s="175">
        <v>0</v>
      </c>
      <c r="D19" s="181">
        <f>C19*ราคาวัสดุ!D6</f>
        <v>0</v>
      </c>
      <c r="E19" s="175">
        <v>4</v>
      </c>
      <c r="F19" s="181">
        <f>E19*ราคาวัสดุ!D6</f>
        <v>1572</v>
      </c>
      <c r="G19" s="182" t="s">
        <v>489</v>
      </c>
    </row>
    <row r="20" spans="1:7" ht="15.5" x14ac:dyDescent="0.35">
      <c r="A20" s="174"/>
      <c r="B20" s="174" t="s">
        <v>387</v>
      </c>
      <c r="C20" s="175">
        <v>1</v>
      </c>
      <c r="D20" s="181">
        <f>C20*ราคาวัสดุ!D7</f>
        <v>140</v>
      </c>
      <c r="E20" s="175">
        <v>1</v>
      </c>
      <c r="F20" s="181">
        <f>E20*ราคาวัสดุ!D7</f>
        <v>140</v>
      </c>
      <c r="G20" s="182" t="s">
        <v>489</v>
      </c>
    </row>
    <row r="21" spans="1:7" ht="15.5" x14ac:dyDescent="0.35">
      <c r="A21" s="174"/>
      <c r="B21" s="174" t="s">
        <v>597</v>
      </c>
      <c r="C21" s="175">
        <v>1</v>
      </c>
      <c r="D21" s="181">
        <f>C21*ราคาวัสดุ!D8</f>
        <v>140</v>
      </c>
      <c r="E21" s="175">
        <v>1</v>
      </c>
      <c r="F21" s="181">
        <f>E21*ราคาวัสดุ!D8</f>
        <v>140</v>
      </c>
      <c r="G21" s="182" t="s">
        <v>489</v>
      </c>
    </row>
    <row r="22" spans="1:7" ht="15.5" x14ac:dyDescent="0.35">
      <c r="A22" s="174"/>
      <c r="B22" s="174" t="s">
        <v>599</v>
      </c>
      <c r="C22" s="175">
        <v>4</v>
      </c>
      <c r="D22" s="181">
        <f>C22*ราคาวัสดุ!D9</f>
        <v>440</v>
      </c>
      <c r="E22" s="175">
        <v>4</v>
      </c>
      <c r="F22" s="181">
        <f>E22*ราคาวัสดุ!D9</f>
        <v>440</v>
      </c>
      <c r="G22" s="182" t="s">
        <v>489</v>
      </c>
    </row>
    <row r="23" spans="1:7" ht="15.5" x14ac:dyDescent="0.35">
      <c r="A23" s="174"/>
      <c r="B23" s="174" t="s">
        <v>2243</v>
      </c>
      <c r="C23" s="175">
        <v>14</v>
      </c>
      <c r="D23" s="181">
        <f>C23*ราคาวัสดุ!D10</f>
        <v>210</v>
      </c>
      <c r="E23" s="175">
        <v>14</v>
      </c>
      <c r="F23" s="181">
        <f>E23*ราคาวัสดุ!D10</f>
        <v>210</v>
      </c>
      <c r="G23" s="182" t="s">
        <v>487</v>
      </c>
    </row>
    <row r="24" spans="1:7" ht="16.5" x14ac:dyDescent="0.55000000000000004">
      <c r="B24" s="174" t="s">
        <v>2258</v>
      </c>
      <c r="C24" s="175">
        <v>2</v>
      </c>
      <c r="D24" s="183">
        <f>C24*ราคาวัสดุ!D16</f>
        <v>9400</v>
      </c>
      <c r="E24" s="175">
        <v>2</v>
      </c>
      <c r="F24" s="183">
        <f>E24*ราคาวัสดุ!D16</f>
        <v>9400</v>
      </c>
      <c r="G24" s="182" t="s">
        <v>487</v>
      </c>
    </row>
    <row r="25" spans="1:7" ht="15.5" x14ac:dyDescent="0.35">
      <c r="B25" s="185" t="s">
        <v>2259</v>
      </c>
      <c r="C25" s="175" t="s">
        <v>383</v>
      </c>
      <c r="D25" s="181">
        <v>0</v>
      </c>
      <c r="E25" s="175" t="s">
        <v>383</v>
      </c>
      <c r="F25" s="181">
        <v>0</v>
      </c>
      <c r="G25" s="177"/>
    </row>
    <row r="26" spans="1:7" ht="15.5" x14ac:dyDescent="0.35">
      <c r="A26" s="457" t="s">
        <v>2248</v>
      </c>
      <c r="B26" s="411"/>
      <c r="C26" s="411"/>
      <c r="D26" s="184">
        <f>SUM(D17:D25)</f>
        <v>17970</v>
      </c>
      <c r="E26" s="456"/>
      <c r="F26" s="184">
        <f>SUM(F17:F25)</f>
        <v>18002</v>
      </c>
    </row>
    <row r="28" spans="1:7" ht="15.5" x14ac:dyDescent="0.35">
      <c r="A28" s="458" t="s">
        <v>2249</v>
      </c>
      <c r="B28" s="411"/>
      <c r="C28" s="411"/>
      <c r="D28" s="411"/>
      <c r="E28" s="411"/>
      <c r="F28" s="411"/>
      <c r="G28" s="411"/>
    </row>
    <row r="29" spans="1:7" ht="15.5" x14ac:dyDescent="0.35">
      <c r="A29" s="174"/>
      <c r="B29" s="174" t="s">
        <v>590</v>
      </c>
      <c r="C29" s="175">
        <v>7</v>
      </c>
      <c r="D29" s="181">
        <f>C29*ราคาวัสดุ!D4</f>
        <v>8540</v>
      </c>
      <c r="E29" s="175">
        <v>7</v>
      </c>
      <c r="F29" s="181">
        <f>E29*ราคาวัสดุ!D4</f>
        <v>8540</v>
      </c>
      <c r="G29" s="182" t="s">
        <v>489</v>
      </c>
    </row>
    <row r="30" spans="1:7" ht="15.5" x14ac:dyDescent="0.35">
      <c r="A30" s="174"/>
      <c r="B30" s="174" t="s">
        <v>2241</v>
      </c>
      <c r="C30" s="175">
        <v>3</v>
      </c>
      <c r="D30" s="181">
        <f>C30*ราคาวัสดุ!D5</f>
        <v>2310</v>
      </c>
      <c r="E30" s="175">
        <v>0</v>
      </c>
      <c r="F30" s="181">
        <v>0</v>
      </c>
      <c r="G30" s="182" t="s">
        <v>489</v>
      </c>
    </row>
    <row r="31" spans="1:7" ht="15.5" x14ac:dyDescent="0.35">
      <c r="A31" s="174"/>
      <c r="B31" s="174" t="s">
        <v>2242</v>
      </c>
      <c r="C31" s="175">
        <v>0</v>
      </c>
      <c r="D31" s="181">
        <f>C31*ราคาวัสดุ!D6</f>
        <v>0</v>
      </c>
      <c r="E31" s="175">
        <v>6</v>
      </c>
      <c r="F31" s="181">
        <f>E31*ราคาวัสดุ!D6</f>
        <v>2358</v>
      </c>
      <c r="G31" s="182" t="s">
        <v>489</v>
      </c>
    </row>
    <row r="32" spans="1:7" ht="15.5" x14ac:dyDescent="0.35">
      <c r="A32" s="174"/>
      <c r="B32" s="174" t="s">
        <v>387</v>
      </c>
      <c r="C32" s="175">
        <v>1</v>
      </c>
      <c r="D32" s="181">
        <f>C32*ราคาวัสดุ!D7</f>
        <v>140</v>
      </c>
      <c r="E32" s="175">
        <v>1</v>
      </c>
      <c r="F32" s="181">
        <f>E32*ราคาวัสดุ!D7</f>
        <v>140</v>
      </c>
      <c r="G32" s="182" t="s">
        <v>489</v>
      </c>
    </row>
    <row r="33" spans="1:7" ht="15.5" x14ac:dyDescent="0.35">
      <c r="A33" s="174"/>
      <c r="B33" s="174" t="s">
        <v>597</v>
      </c>
      <c r="C33" s="175">
        <v>2</v>
      </c>
      <c r="D33" s="181">
        <f>C33*ราคาวัสดุ!D8</f>
        <v>280</v>
      </c>
      <c r="E33" s="175">
        <v>2</v>
      </c>
      <c r="F33" s="181">
        <f>E33*ราคาวัสดุ!D8</f>
        <v>280</v>
      </c>
      <c r="G33" s="182" t="s">
        <v>489</v>
      </c>
    </row>
    <row r="34" spans="1:7" ht="15.5" x14ac:dyDescent="0.35">
      <c r="A34" s="174"/>
      <c r="B34" s="174" t="s">
        <v>599</v>
      </c>
      <c r="C34" s="175">
        <v>6</v>
      </c>
      <c r="D34" s="181">
        <f>C34*ราคาวัสดุ!D9</f>
        <v>660</v>
      </c>
      <c r="E34" s="175">
        <v>6</v>
      </c>
      <c r="F34" s="181">
        <f>E34*ราคาวัสดุ!D9</f>
        <v>660</v>
      </c>
      <c r="G34" s="182" t="s">
        <v>489</v>
      </c>
    </row>
    <row r="35" spans="1:7" ht="15.5" x14ac:dyDescent="0.35">
      <c r="A35" s="174"/>
      <c r="B35" s="174" t="s">
        <v>2243</v>
      </c>
      <c r="C35" s="175">
        <v>12</v>
      </c>
      <c r="D35" s="181">
        <f>C35*ราคาวัสดุ!D10</f>
        <v>180</v>
      </c>
      <c r="E35" s="175">
        <v>12</v>
      </c>
      <c r="F35" s="181">
        <f>E35*ราคาวัสดุ!D10</f>
        <v>180</v>
      </c>
      <c r="G35" s="182" t="s">
        <v>487</v>
      </c>
    </row>
    <row r="36" spans="1:7" ht="16.5" x14ac:dyDescent="0.55000000000000004">
      <c r="B36" s="174" t="s">
        <v>2258</v>
      </c>
      <c r="C36" s="175">
        <v>3</v>
      </c>
      <c r="D36" s="183">
        <f>C36*ราคาวัสดุ!D16</f>
        <v>14100</v>
      </c>
      <c r="E36" s="175">
        <v>3</v>
      </c>
      <c r="F36" s="183">
        <f>E36*ราคาวัสดุ!D16</f>
        <v>14100</v>
      </c>
      <c r="G36" s="182" t="s">
        <v>487</v>
      </c>
    </row>
    <row r="37" spans="1:7" ht="15.5" x14ac:dyDescent="0.35">
      <c r="B37" s="185" t="s">
        <v>2259</v>
      </c>
      <c r="C37" s="175" t="s">
        <v>383</v>
      </c>
      <c r="D37" s="181">
        <v>0</v>
      </c>
      <c r="E37" s="175" t="s">
        <v>383</v>
      </c>
      <c r="F37" s="181">
        <v>0</v>
      </c>
      <c r="G37" s="177"/>
    </row>
    <row r="38" spans="1:7" ht="15.5" x14ac:dyDescent="0.35">
      <c r="A38" s="457" t="s">
        <v>2250</v>
      </c>
      <c r="B38" s="411"/>
      <c r="C38" s="411"/>
      <c r="D38" s="184">
        <f>SUM(D29:D37)</f>
        <v>26210</v>
      </c>
      <c r="E38" s="456"/>
      <c r="F38" s="184">
        <f>SUM(F29:F37)</f>
        <v>26258</v>
      </c>
    </row>
    <row r="40" spans="1:7" ht="15.5" x14ac:dyDescent="0.35">
      <c r="A40" s="458" t="s">
        <v>2251</v>
      </c>
      <c r="B40" s="411"/>
      <c r="C40" s="411"/>
      <c r="D40" s="411"/>
      <c r="E40" s="411"/>
      <c r="F40" s="411"/>
      <c r="G40" s="411"/>
    </row>
    <row r="41" spans="1:7" ht="15.5" x14ac:dyDescent="0.35">
      <c r="A41" s="174"/>
      <c r="B41" s="174" t="s">
        <v>590</v>
      </c>
      <c r="C41" s="175">
        <v>10</v>
      </c>
      <c r="D41" s="181">
        <f>C41*ราคาวัสดุ!D4</f>
        <v>12200</v>
      </c>
      <c r="E41" s="175">
        <v>10</v>
      </c>
      <c r="F41" s="181">
        <f>E41*ราคาวัสดุ!D4</f>
        <v>12200</v>
      </c>
      <c r="G41" s="182" t="s">
        <v>489</v>
      </c>
    </row>
    <row r="42" spans="1:7" ht="15.5" x14ac:dyDescent="0.35">
      <c r="A42" s="174"/>
      <c r="B42" s="174" t="s">
        <v>2241</v>
      </c>
      <c r="C42" s="175">
        <v>4</v>
      </c>
      <c r="D42" s="181">
        <f>C42*ราคาวัสดุ!D5</f>
        <v>3080</v>
      </c>
      <c r="E42" s="175">
        <v>0</v>
      </c>
      <c r="F42" s="181">
        <v>0</v>
      </c>
      <c r="G42" s="182" t="s">
        <v>489</v>
      </c>
    </row>
    <row r="43" spans="1:7" ht="15.5" x14ac:dyDescent="0.35">
      <c r="A43" s="174"/>
      <c r="B43" s="174" t="s">
        <v>2242</v>
      </c>
      <c r="C43" s="175">
        <v>0</v>
      </c>
      <c r="D43" s="181">
        <f>C43*ราคาวัสดุ!D6</f>
        <v>0</v>
      </c>
      <c r="E43" s="175">
        <v>8</v>
      </c>
      <c r="F43" s="181">
        <f>E43*ราคาวัสดุ!D6</f>
        <v>3144</v>
      </c>
      <c r="G43" s="182" t="s">
        <v>489</v>
      </c>
    </row>
    <row r="44" spans="1:7" ht="15.5" x14ac:dyDescent="0.35">
      <c r="A44" s="174"/>
      <c r="B44" s="174" t="s">
        <v>387</v>
      </c>
      <c r="C44" s="175">
        <v>1</v>
      </c>
      <c r="D44" s="181">
        <f>C44*ราคาวัสดุ!D7</f>
        <v>140</v>
      </c>
      <c r="E44" s="175">
        <v>1</v>
      </c>
      <c r="F44" s="181">
        <f>E44*ราคาวัสดุ!D7</f>
        <v>140</v>
      </c>
      <c r="G44" s="182" t="s">
        <v>489</v>
      </c>
    </row>
    <row r="45" spans="1:7" ht="15.5" x14ac:dyDescent="0.35">
      <c r="A45" s="174"/>
      <c r="B45" s="174" t="s">
        <v>597</v>
      </c>
      <c r="C45" s="175">
        <v>2</v>
      </c>
      <c r="D45" s="181">
        <f>C45*ราคาวัสดุ!D8</f>
        <v>280</v>
      </c>
      <c r="E45" s="175">
        <v>2</v>
      </c>
      <c r="F45" s="181">
        <f>E45*ราคาวัสดุ!D8</f>
        <v>280</v>
      </c>
      <c r="G45" s="182" t="s">
        <v>489</v>
      </c>
    </row>
    <row r="46" spans="1:7" ht="15.5" x14ac:dyDescent="0.35">
      <c r="A46" s="174"/>
      <c r="B46" s="174" t="s">
        <v>599</v>
      </c>
      <c r="C46" s="175">
        <v>8</v>
      </c>
      <c r="D46" s="181">
        <f>C46*ราคาวัสดุ!D9</f>
        <v>880</v>
      </c>
      <c r="E46" s="175">
        <v>8</v>
      </c>
      <c r="F46" s="181">
        <f>E46*ราคาวัสดุ!D9</f>
        <v>880</v>
      </c>
      <c r="G46" s="182" t="s">
        <v>489</v>
      </c>
    </row>
    <row r="47" spans="1:7" ht="15.5" x14ac:dyDescent="0.35">
      <c r="A47" s="174"/>
      <c r="B47" s="174" t="s">
        <v>2243</v>
      </c>
      <c r="C47" s="175">
        <v>13</v>
      </c>
      <c r="D47" s="181">
        <f>C47*ราคาวัสดุ!D10</f>
        <v>195</v>
      </c>
      <c r="E47" s="175">
        <v>13</v>
      </c>
      <c r="F47" s="181">
        <f>E47*ราคาวัสดุ!D10</f>
        <v>195</v>
      </c>
      <c r="G47" s="182" t="s">
        <v>487</v>
      </c>
    </row>
    <row r="48" spans="1:7" ht="16.5" x14ac:dyDescent="0.55000000000000004">
      <c r="B48" s="174" t="s">
        <v>2258</v>
      </c>
      <c r="C48" s="175">
        <v>3</v>
      </c>
      <c r="D48" s="183">
        <f>C48*ราคาวัสดุ!D16</f>
        <v>14100</v>
      </c>
      <c r="E48" s="175">
        <v>3</v>
      </c>
      <c r="F48" s="183">
        <f>E48*ราคาวัสดุ!D16</f>
        <v>14100</v>
      </c>
      <c r="G48" s="182" t="s">
        <v>487</v>
      </c>
    </row>
    <row r="49" spans="1:7" ht="15.5" x14ac:dyDescent="0.35">
      <c r="B49" s="185" t="s">
        <v>2259</v>
      </c>
      <c r="C49" s="175" t="s">
        <v>383</v>
      </c>
      <c r="D49" s="181">
        <v>0</v>
      </c>
      <c r="E49" s="175" t="s">
        <v>383</v>
      </c>
      <c r="F49" s="181">
        <v>0</v>
      </c>
      <c r="G49" s="177"/>
    </row>
    <row r="50" spans="1:7" ht="15.5" x14ac:dyDescent="0.35">
      <c r="A50" s="457" t="s">
        <v>2252</v>
      </c>
      <c r="B50" s="411"/>
      <c r="C50" s="411"/>
      <c r="D50" s="184">
        <f>SUM(D41:D49)</f>
        <v>30875</v>
      </c>
      <c r="E50" s="456"/>
      <c r="F50" s="184">
        <f>SUM(F41:F49)</f>
        <v>30939</v>
      </c>
    </row>
    <row r="52" spans="1:7" ht="15.5" x14ac:dyDescent="0.35">
      <c r="A52" s="458" t="s">
        <v>2253</v>
      </c>
      <c r="B52" s="411"/>
      <c r="C52" s="411"/>
      <c r="D52" s="411"/>
      <c r="E52" s="411"/>
      <c r="F52" s="411"/>
      <c r="G52" s="411"/>
    </row>
    <row r="53" spans="1:7" ht="15.5" x14ac:dyDescent="0.35">
      <c r="A53" s="174"/>
      <c r="B53" s="174" t="s">
        <v>590</v>
      </c>
      <c r="C53" s="175">
        <v>13</v>
      </c>
      <c r="D53" s="181">
        <f>C53*ราคาวัสดุ!D4</f>
        <v>15860</v>
      </c>
      <c r="E53" s="175">
        <v>13</v>
      </c>
      <c r="F53" s="181">
        <f>E53*ราคาวัสดุ!D4</f>
        <v>15860</v>
      </c>
      <c r="G53" s="182" t="s">
        <v>489</v>
      </c>
    </row>
    <row r="54" spans="1:7" ht="15.5" x14ac:dyDescent="0.35">
      <c r="A54" s="174"/>
      <c r="B54" s="174" t="s">
        <v>2241</v>
      </c>
      <c r="C54" s="175">
        <v>6</v>
      </c>
      <c r="D54" s="181">
        <f>C54*ราคาวัสดุ!D5</f>
        <v>4620</v>
      </c>
      <c r="E54" s="175">
        <v>0</v>
      </c>
      <c r="F54" s="181">
        <v>0</v>
      </c>
      <c r="G54" s="182" t="s">
        <v>489</v>
      </c>
    </row>
    <row r="55" spans="1:7" ht="15.5" x14ac:dyDescent="0.35">
      <c r="A55" s="174"/>
      <c r="B55" s="174" t="s">
        <v>2242</v>
      </c>
      <c r="C55" s="175">
        <v>0</v>
      </c>
      <c r="D55" s="181">
        <f>C55*ราคาวัสดุ!D6</f>
        <v>0</v>
      </c>
      <c r="E55" s="175">
        <v>11</v>
      </c>
      <c r="F55" s="181">
        <f>E55*ราคาวัสดุ!D6</f>
        <v>4323</v>
      </c>
      <c r="G55" s="182" t="s">
        <v>489</v>
      </c>
    </row>
    <row r="56" spans="1:7" ht="15.5" x14ac:dyDescent="0.35">
      <c r="A56" s="174"/>
      <c r="B56" s="174" t="s">
        <v>387</v>
      </c>
      <c r="C56" s="175">
        <v>1</v>
      </c>
      <c r="D56" s="181">
        <f>C56*ราคาวัสดุ!D7</f>
        <v>140</v>
      </c>
      <c r="E56" s="175">
        <v>1</v>
      </c>
      <c r="F56" s="181">
        <f>E56*ราคาวัสดุ!D7</f>
        <v>140</v>
      </c>
      <c r="G56" s="182" t="s">
        <v>489</v>
      </c>
    </row>
    <row r="57" spans="1:7" ht="15.5" x14ac:dyDescent="0.35">
      <c r="A57" s="174"/>
      <c r="B57" s="174" t="s">
        <v>597</v>
      </c>
      <c r="C57" s="175">
        <v>3</v>
      </c>
      <c r="D57" s="181">
        <f>C57*ราคาวัสดุ!D8</f>
        <v>420</v>
      </c>
      <c r="E57" s="175">
        <v>3</v>
      </c>
      <c r="F57" s="181">
        <f>E57*ราคาวัสดุ!D8</f>
        <v>420</v>
      </c>
      <c r="G57" s="182" t="s">
        <v>489</v>
      </c>
    </row>
    <row r="58" spans="1:7" ht="15.5" x14ac:dyDescent="0.35">
      <c r="A58" s="174"/>
      <c r="B58" s="174" t="s">
        <v>599</v>
      </c>
      <c r="C58" s="175">
        <v>10</v>
      </c>
      <c r="D58" s="181">
        <f>C58*ราคาวัสดุ!D9</f>
        <v>1100</v>
      </c>
      <c r="E58" s="175">
        <v>10</v>
      </c>
      <c r="F58" s="181">
        <f>E58*ราคาวัสดุ!D9</f>
        <v>1100</v>
      </c>
      <c r="G58" s="182" t="s">
        <v>489</v>
      </c>
    </row>
    <row r="59" spans="1:7" ht="15.5" x14ac:dyDescent="0.35">
      <c r="A59" s="174"/>
      <c r="B59" s="174" t="s">
        <v>2243</v>
      </c>
      <c r="C59" s="175">
        <v>17</v>
      </c>
      <c r="D59" s="181">
        <f>C59*ราคาวัสดุ!D10</f>
        <v>255</v>
      </c>
      <c r="E59" s="175">
        <v>17</v>
      </c>
      <c r="F59" s="181">
        <f>E59*ราคาวัสดุ!D10</f>
        <v>255</v>
      </c>
      <c r="G59" s="182" t="s">
        <v>487</v>
      </c>
    </row>
    <row r="60" spans="1:7" ht="16.5" x14ac:dyDescent="0.55000000000000004">
      <c r="B60" s="174" t="s">
        <v>2258</v>
      </c>
      <c r="C60" s="175">
        <v>3</v>
      </c>
      <c r="D60" s="183">
        <f>C60*ราคาวัสดุ!D16</f>
        <v>14100</v>
      </c>
      <c r="E60" s="175">
        <v>3</v>
      </c>
      <c r="F60" s="183">
        <f>E60*ราคาวัสดุ!D16</f>
        <v>14100</v>
      </c>
      <c r="G60" s="182" t="s">
        <v>487</v>
      </c>
    </row>
    <row r="61" spans="1:7" ht="15.5" x14ac:dyDescent="0.35">
      <c r="B61" s="185" t="s">
        <v>2259</v>
      </c>
      <c r="C61" s="175" t="s">
        <v>383</v>
      </c>
      <c r="D61" s="181">
        <v>0</v>
      </c>
      <c r="E61" s="175" t="s">
        <v>383</v>
      </c>
      <c r="F61" s="181">
        <v>0</v>
      </c>
      <c r="G61" s="177"/>
    </row>
    <row r="62" spans="1:7" ht="15.5" x14ac:dyDescent="0.35">
      <c r="A62" s="457" t="s">
        <v>2254</v>
      </c>
      <c r="B62" s="411"/>
      <c r="C62" s="411"/>
      <c r="D62" s="184">
        <f>SUM(D53:D61)</f>
        <v>36495</v>
      </c>
      <c r="E62" s="456"/>
      <c r="F62" s="184">
        <f>SUM(F53:F61)</f>
        <v>36198</v>
      </c>
    </row>
    <row r="64" spans="1:7" ht="15.5" x14ac:dyDescent="0.35">
      <c r="A64" s="458" t="s">
        <v>2255</v>
      </c>
      <c r="B64" s="411"/>
      <c r="C64" s="411"/>
      <c r="D64" s="411"/>
      <c r="E64" s="411"/>
      <c r="F64" s="411"/>
      <c r="G64" s="411"/>
    </row>
    <row r="65" spans="1:7" ht="15.5" x14ac:dyDescent="0.35">
      <c r="A65" s="174"/>
      <c r="B65" s="174" t="s">
        <v>590</v>
      </c>
      <c r="C65" s="175">
        <v>16</v>
      </c>
      <c r="D65" s="181">
        <f>C65*ราคาวัสดุ!D4</f>
        <v>19520</v>
      </c>
      <c r="E65" s="175">
        <v>16</v>
      </c>
      <c r="F65" s="181">
        <f>E65*ราคาวัสดุ!D4</f>
        <v>19520</v>
      </c>
      <c r="G65" s="182" t="s">
        <v>489</v>
      </c>
    </row>
    <row r="66" spans="1:7" ht="15.5" x14ac:dyDescent="0.35">
      <c r="A66" s="174"/>
      <c r="B66" s="174" t="s">
        <v>2241</v>
      </c>
      <c r="C66" s="175">
        <v>7</v>
      </c>
      <c r="D66" s="181">
        <f>C66*ราคาวัสดุ!D5</f>
        <v>5390</v>
      </c>
      <c r="E66" s="175">
        <v>0</v>
      </c>
      <c r="F66" s="181">
        <v>0</v>
      </c>
      <c r="G66" s="182" t="s">
        <v>489</v>
      </c>
    </row>
    <row r="67" spans="1:7" ht="15.5" x14ac:dyDescent="0.35">
      <c r="A67" s="174"/>
      <c r="B67" s="174" t="s">
        <v>2242</v>
      </c>
      <c r="C67" s="175">
        <v>0</v>
      </c>
      <c r="D67" s="181">
        <f>C67*ราคาวัสดุ!D6</f>
        <v>0</v>
      </c>
      <c r="E67" s="175">
        <v>14</v>
      </c>
      <c r="F67" s="181">
        <f>E67*ราคาวัสดุ!D6</f>
        <v>5502</v>
      </c>
      <c r="G67" s="182" t="s">
        <v>489</v>
      </c>
    </row>
    <row r="68" spans="1:7" ht="15.5" x14ac:dyDescent="0.35">
      <c r="A68" s="174"/>
      <c r="B68" s="174" t="s">
        <v>387</v>
      </c>
      <c r="C68" s="175">
        <v>1</v>
      </c>
      <c r="D68" s="181">
        <f>C68*ราคาวัสดุ!D7</f>
        <v>140</v>
      </c>
      <c r="E68" s="175">
        <v>1</v>
      </c>
      <c r="F68" s="181">
        <f>E68*ราคาวัสดุ!D7</f>
        <v>140</v>
      </c>
      <c r="G68" s="182" t="s">
        <v>489</v>
      </c>
    </row>
    <row r="69" spans="1:7" ht="15.5" x14ac:dyDescent="0.35">
      <c r="A69" s="174"/>
      <c r="B69" s="174" t="s">
        <v>597</v>
      </c>
      <c r="C69" s="175">
        <v>4</v>
      </c>
      <c r="D69" s="181">
        <f>C69*ราคาวัสดุ!D8</f>
        <v>560</v>
      </c>
      <c r="E69" s="175">
        <v>4</v>
      </c>
      <c r="F69" s="181">
        <f>E69*ราคาวัสดุ!D8</f>
        <v>560</v>
      </c>
      <c r="G69" s="182" t="s">
        <v>489</v>
      </c>
    </row>
    <row r="70" spans="1:7" ht="15.5" x14ac:dyDescent="0.35">
      <c r="A70" s="174"/>
      <c r="B70" s="174" t="s">
        <v>599</v>
      </c>
      <c r="C70" s="175">
        <v>13</v>
      </c>
      <c r="D70" s="181">
        <f>C70*ราคาวัสดุ!D9</f>
        <v>1430</v>
      </c>
      <c r="E70" s="175">
        <v>13</v>
      </c>
      <c r="F70" s="181">
        <f>E70*ราคาวัสดุ!D9</f>
        <v>1430</v>
      </c>
      <c r="G70" s="182" t="s">
        <v>489</v>
      </c>
    </row>
    <row r="71" spans="1:7" ht="15.5" x14ac:dyDescent="0.35">
      <c r="A71" s="174"/>
      <c r="B71" s="174" t="s">
        <v>2243</v>
      </c>
      <c r="C71" s="175">
        <v>21</v>
      </c>
      <c r="D71" s="181">
        <f>C71*ราคาวัสดุ!D10</f>
        <v>315</v>
      </c>
      <c r="E71" s="175">
        <v>21</v>
      </c>
      <c r="F71" s="181">
        <f>E71*ราคาวัสดุ!D10</f>
        <v>315</v>
      </c>
      <c r="G71" s="182" t="s">
        <v>487</v>
      </c>
    </row>
    <row r="72" spans="1:7" ht="16.5" x14ac:dyDescent="0.55000000000000004">
      <c r="B72" s="174" t="s">
        <v>2258</v>
      </c>
      <c r="C72" s="175">
        <v>4</v>
      </c>
      <c r="D72" s="183">
        <f>C72*ราคาวัสดุ!D16</f>
        <v>18800</v>
      </c>
      <c r="E72" s="175">
        <v>4</v>
      </c>
      <c r="F72" s="183">
        <f>E72*ราคาวัสดุ!D16</f>
        <v>18800</v>
      </c>
      <c r="G72" s="182" t="s">
        <v>487</v>
      </c>
    </row>
    <row r="73" spans="1:7" ht="15.5" x14ac:dyDescent="0.35">
      <c r="B73" s="185" t="s">
        <v>2259</v>
      </c>
      <c r="C73" s="175" t="s">
        <v>383</v>
      </c>
      <c r="D73" s="181">
        <v>0</v>
      </c>
      <c r="E73" s="175" t="s">
        <v>383</v>
      </c>
      <c r="F73" s="181">
        <v>0</v>
      </c>
      <c r="G73" s="177"/>
    </row>
    <row r="74" spans="1:7" ht="15.5" x14ac:dyDescent="0.35">
      <c r="A74" s="457" t="s">
        <v>2256</v>
      </c>
      <c r="B74" s="411"/>
      <c r="C74" s="411"/>
      <c r="D74" s="184">
        <f>SUM(D65:D73)</f>
        <v>46155</v>
      </c>
      <c r="E74" s="456"/>
      <c r="F74" s="184">
        <f>SUM(F65:F73)</f>
        <v>46267</v>
      </c>
    </row>
  </sheetData>
  <mergeCells count="24"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</mergeCells>
  <hyperlinks>
    <hyperlink ref="G1" location="'สารบัญ'!A1" display="🏠 สารบัญ" xr:uid="{00000000-0004-0000-2F00-000000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A6A6A6"/>
  </sheetPr>
  <dimension ref="A1:H74"/>
  <sheetViews>
    <sheetView workbookViewId="0"/>
  </sheetViews>
  <sheetFormatPr defaultRowHeight="14.5" x14ac:dyDescent="0.35"/>
  <cols>
    <col min="1" max="1" width="42.90625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2260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2261</v>
      </c>
      <c r="C12" s="175">
        <v>5</v>
      </c>
      <c r="D12" s="183">
        <f>C12*ราคาวัสดุ!D17</f>
        <v>6000</v>
      </c>
      <c r="E12" s="175">
        <v>5</v>
      </c>
      <c r="F12" s="183">
        <f>E12*ราคาวัสดุ!D17</f>
        <v>6000</v>
      </c>
      <c r="G12" s="182" t="s">
        <v>2018</v>
      </c>
    </row>
    <row r="13" spans="1:8" ht="16.5" x14ac:dyDescent="0.55000000000000004">
      <c r="B13" s="174" t="s">
        <v>617</v>
      </c>
      <c r="C13" s="175">
        <v>5</v>
      </c>
      <c r="D13" s="183">
        <f>C13*ราคาวัสดุ!D18</f>
        <v>2100</v>
      </c>
      <c r="E13" s="175">
        <v>5</v>
      </c>
      <c r="F13" s="183">
        <f>E13*ราคาวัสดุ!D18</f>
        <v>2100</v>
      </c>
      <c r="G13" s="182" t="s">
        <v>505</v>
      </c>
    </row>
    <row r="14" spans="1:8" ht="15.5" x14ac:dyDescent="0.35">
      <c r="A14" s="457" t="s">
        <v>2246</v>
      </c>
      <c r="B14" s="411"/>
      <c r="C14" s="411"/>
      <c r="D14" s="184">
        <f>SUM(D5:D13)</f>
        <v>13260</v>
      </c>
      <c r="E14" s="456"/>
      <c r="F14" s="184">
        <f>SUM(F5:F13)</f>
        <v>13276</v>
      </c>
    </row>
    <row r="16" spans="1:8" ht="15.5" x14ac:dyDescent="0.35">
      <c r="A16" s="458" t="s">
        <v>2247</v>
      </c>
      <c r="B16" s="411"/>
      <c r="C16" s="411"/>
      <c r="D16" s="411"/>
      <c r="E16" s="411"/>
      <c r="F16" s="411"/>
      <c r="G16" s="411"/>
    </row>
    <row r="17" spans="1:7" ht="15.5" x14ac:dyDescent="0.35">
      <c r="A17" s="174"/>
      <c r="B17" s="174" t="s">
        <v>590</v>
      </c>
      <c r="C17" s="175">
        <v>5</v>
      </c>
      <c r="D17" s="181">
        <f>C17*ราคาวัสดุ!D4</f>
        <v>6100</v>
      </c>
      <c r="E17" s="175">
        <v>5</v>
      </c>
      <c r="F17" s="181">
        <f>E17*ราคาวัสดุ!D4</f>
        <v>6100</v>
      </c>
      <c r="G17" s="182" t="s">
        <v>489</v>
      </c>
    </row>
    <row r="18" spans="1:7" ht="15.5" x14ac:dyDescent="0.35">
      <c r="A18" s="174"/>
      <c r="B18" s="174" t="s">
        <v>2241</v>
      </c>
      <c r="C18" s="175">
        <v>2</v>
      </c>
      <c r="D18" s="181">
        <f>C18*ราคาวัสดุ!D5</f>
        <v>1540</v>
      </c>
      <c r="E18" s="175">
        <v>0</v>
      </c>
      <c r="F18" s="181">
        <v>0</v>
      </c>
      <c r="G18" s="182" t="s">
        <v>489</v>
      </c>
    </row>
    <row r="19" spans="1:7" ht="15.5" x14ac:dyDescent="0.35">
      <c r="A19" s="174"/>
      <c r="B19" s="174" t="s">
        <v>2242</v>
      </c>
      <c r="C19" s="175">
        <v>0</v>
      </c>
      <c r="D19" s="181">
        <f>C19*ราคาวัสดุ!D6</f>
        <v>0</v>
      </c>
      <c r="E19" s="175">
        <v>4</v>
      </c>
      <c r="F19" s="181">
        <f>E19*ราคาวัสดุ!D6</f>
        <v>1572</v>
      </c>
      <c r="G19" s="182" t="s">
        <v>489</v>
      </c>
    </row>
    <row r="20" spans="1:7" ht="15.5" x14ac:dyDescent="0.35">
      <c r="A20" s="174"/>
      <c r="B20" s="174" t="s">
        <v>387</v>
      </c>
      <c r="C20" s="175">
        <v>1</v>
      </c>
      <c r="D20" s="181">
        <f>C20*ราคาวัสดุ!D7</f>
        <v>140</v>
      </c>
      <c r="E20" s="175">
        <v>1</v>
      </c>
      <c r="F20" s="181">
        <f>E20*ราคาวัสดุ!D7</f>
        <v>140</v>
      </c>
      <c r="G20" s="182" t="s">
        <v>489</v>
      </c>
    </row>
    <row r="21" spans="1:7" ht="15.5" x14ac:dyDescent="0.35">
      <c r="A21" s="174"/>
      <c r="B21" s="174" t="s">
        <v>597</v>
      </c>
      <c r="C21" s="175">
        <v>1</v>
      </c>
      <c r="D21" s="181">
        <f>C21*ราคาวัสดุ!D8</f>
        <v>140</v>
      </c>
      <c r="E21" s="175">
        <v>1</v>
      </c>
      <c r="F21" s="181">
        <f>E21*ราคาวัสดุ!D8</f>
        <v>140</v>
      </c>
      <c r="G21" s="182" t="s">
        <v>489</v>
      </c>
    </row>
    <row r="22" spans="1:7" ht="15.5" x14ac:dyDescent="0.35">
      <c r="A22" s="174"/>
      <c r="B22" s="174" t="s">
        <v>599</v>
      </c>
      <c r="C22" s="175">
        <v>4</v>
      </c>
      <c r="D22" s="181">
        <f>C22*ราคาวัสดุ!D9</f>
        <v>440</v>
      </c>
      <c r="E22" s="175">
        <v>4</v>
      </c>
      <c r="F22" s="181">
        <f>E22*ราคาวัสดุ!D9</f>
        <v>440</v>
      </c>
      <c r="G22" s="182" t="s">
        <v>489</v>
      </c>
    </row>
    <row r="23" spans="1:7" ht="15.5" x14ac:dyDescent="0.35">
      <c r="A23" s="174"/>
      <c r="B23" s="174" t="s">
        <v>2243</v>
      </c>
      <c r="C23" s="175">
        <v>14</v>
      </c>
      <c r="D23" s="181">
        <f>C23*ราคาวัสดุ!D10</f>
        <v>210</v>
      </c>
      <c r="E23" s="175">
        <v>14</v>
      </c>
      <c r="F23" s="181">
        <f>E23*ราคาวัสดุ!D10</f>
        <v>210</v>
      </c>
      <c r="G23" s="182" t="s">
        <v>487</v>
      </c>
    </row>
    <row r="24" spans="1:7" ht="16.5" x14ac:dyDescent="0.55000000000000004">
      <c r="B24" s="174" t="s">
        <v>2261</v>
      </c>
      <c r="C24" s="175">
        <v>9</v>
      </c>
      <c r="D24" s="183">
        <f>C24*ราคาวัสดุ!D17</f>
        <v>10800</v>
      </c>
      <c r="E24" s="175">
        <v>9</v>
      </c>
      <c r="F24" s="183">
        <f>E24*ราคาวัสดุ!D17</f>
        <v>10800</v>
      </c>
      <c r="G24" s="182" t="s">
        <v>2018</v>
      </c>
    </row>
    <row r="25" spans="1:7" ht="16.5" x14ac:dyDescent="0.55000000000000004">
      <c r="B25" s="174" t="s">
        <v>617</v>
      </c>
      <c r="C25" s="175">
        <v>8</v>
      </c>
      <c r="D25" s="183">
        <f>C25*ราคาวัสดุ!D18</f>
        <v>3360</v>
      </c>
      <c r="E25" s="175">
        <v>8</v>
      </c>
      <c r="F25" s="183">
        <f>E25*ราคาวัสดุ!D18</f>
        <v>3360</v>
      </c>
      <c r="G25" s="182" t="s">
        <v>505</v>
      </c>
    </row>
    <row r="26" spans="1:7" ht="15.5" x14ac:dyDescent="0.35">
      <c r="A26" s="457" t="s">
        <v>2248</v>
      </c>
      <c r="B26" s="411"/>
      <c r="C26" s="411"/>
      <c r="D26" s="184">
        <f>SUM(D17:D25)</f>
        <v>22730</v>
      </c>
      <c r="E26" s="456"/>
      <c r="F26" s="184">
        <f>SUM(F17:F25)</f>
        <v>22762</v>
      </c>
    </row>
    <row r="28" spans="1:7" ht="15.5" x14ac:dyDescent="0.35">
      <c r="A28" s="458" t="s">
        <v>2249</v>
      </c>
      <c r="B28" s="411"/>
      <c r="C28" s="411"/>
      <c r="D28" s="411"/>
      <c r="E28" s="411"/>
      <c r="F28" s="411"/>
      <c r="G28" s="411"/>
    </row>
    <row r="29" spans="1:7" ht="15.5" x14ac:dyDescent="0.35">
      <c r="A29" s="174"/>
      <c r="B29" s="174" t="s">
        <v>590</v>
      </c>
      <c r="C29" s="175">
        <v>7</v>
      </c>
      <c r="D29" s="181">
        <f>C29*ราคาวัสดุ!D4</f>
        <v>8540</v>
      </c>
      <c r="E29" s="175">
        <v>7</v>
      </c>
      <c r="F29" s="181">
        <f>E29*ราคาวัสดุ!D4</f>
        <v>8540</v>
      </c>
      <c r="G29" s="182" t="s">
        <v>489</v>
      </c>
    </row>
    <row r="30" spans="1:7" ht="15.5" x14ac:dyDescent="0.35">
      <c r="A30" s="174"/>
      <c r="B30" s="174" t="s">
        <v>2241</v>
      </c>
      <c r="C30" s="175">
        <v>3</v>
      </c>
      <c r="D30" s="181">
        <f>C30*ราคาวัสดุ!D5</f>
        <v>2310</v>
      </c>
      <c r="E30" s="175">
        <v>0</v>
      </c>
      <c r="F30" s="181">
        <v>0</v>
      </c>
      <c r="G30" s="182" t="s">
        <v>489</v>
      </c>
    </row>
    <row r="31" spans="1:7" ht="15.5" x14ac:dyDescent="0.35">
      <c r="A31" s="174"/>
      <c r="B31" s="174" t="s">
        <v>2242</v>
      </c>
      <c r="C31" s="175">
        <v>0</v>
      </c>
      <c r="D31" s="181">
        <f>C31*ราคาวัสดุ!D6</f>
        <v>0</v>
      </c>
      <c r="E31" s="175">
        <v>6</v>
      </c>
      <c r="F31" s="181">
        <f>E31*ราคาวัสดุ!D6</f>
        <v>2358</v>
      </c>
      <c r="G31" s="182" t="s">
        <v>489</v>
      </c>
    </row>
    <row r="32" spans="1:7" ht="15.5" x14ac:dyDescent="0.35">
      <c r="A32" s="174"/>
      <c r="B32" s="174" t="s">
        <v>387</v>
      </c>
      <c r="C32" s="175">
        <v>1</v>
      </c>
      <c r="D32" s="181">
        <f>C32*ราคาวัสดุ!D7</f>
        <v>140</v>
      </c>
      <c r="E32" s="175">
        <v>1</v>
      </c>
      <c r="F32" s="181">
        <f>E32*ราคาวัสดุ!D7</f>
        <v>140</v>
      </c>
      <c r="G32" s="182" t="s">
        <v>489</v>
      </c>
    </row>
    <row r="33" spans="1:7" ht="15.5" x14ac:dyDescent="0.35">
      <c r="A33" s="174"/>
      <c r="B33" s="174" t="s">
        <v>597</v>
      </c>
      <c r="C33" s="175">
        <v>2</v>
      </c>
      <c r="D33" s="181">
        <f>C33*ราคาวัสดุ!D8</f>
        <v>280</v>
      </c>
      <c r="E33" s="175">
        <v>2</v>
      </c>
      <c r="F33" s="181">
        <f>E33*ราคาวัสดุ!D8</f>
        <v>280</v>
      </c>
      <c r="G33" s="182" t="s">
        <v>489</v>
      </c>
    </row>
    <row r="34" spans="1:7" ht="15.5" x14ac:dyDescent="0.35">
      <c r="A34" s="174"/>
      <c r="B34" s="174" t="s">
        <v>599</v>
      </c>
      <c r="C34" s="175">
        <v>6</v>
      </c>
      <c r="D34" s="181">
        <f>C34*ราคาวัสดุ!D9</f>
        <v>660</v>
      </c>
      <c r="E34" s="175">
        <v>6</v>
      </c>
      <c r="F34" s="181">
        <f>E34*ราคาวัสดุ!D9</f>
        <v>660</v>
      </c>
      <c r="G34" s="182" t="s">
        <v>489</v>
      </c>
    </row>
    <row r="35" spans="1:7" ht="15.5" x14ac:dyDescent="0.35">
      <c r="A35" s="174"/>
      <c r="B35" s="174" t="s">
        <v>2243</v>
      </c>
      <c r="C35" s="175">
        <v>12</v>
      </c>
      <c r="D35" s="181">
        <f>C35*ราคาวัสดุ!D10</f>
        <v>180</v>
      </c>
      <c r="E35" s="175">
        <v>12</v>
      </c>
      <c r="F35" s="181">
        <f>E35*ราคาวัสดุ!D10</f>
        <v>180</v>
      </c>
      <c r="G35" s="182" t="s">
        <v>487</v>
      </c>
    </row>
    <row r="36" spans="1:7" ht="16.5" x14ac:dyDescent="0.55000000000000004">
      <c r="B36" s="174" t="s">
        <v>2261</v>
      </c>
      <c r="C36" s="175">
        <v>12</v>
      </c>
      <c r="D36" s="183">
        <f>C36*ราคาวัสดุ!D17</f>
        <v>14400</v>
      </c>
      <c r="E36" s="175">
        <v>12</v>
      </c>
      <c r="F36" s="183">
        <f>E36*ราคาวัสดุ!D17</f>
        <v>14400</v>
      </c>
      <c r="G36" s="182" t="s">
        <v>2018</v>
      </c>
    </row>
    <row r="37" spans="1:7" ht="16.5" x14ac:dyDescent="0.55000000000000004">
      <c r="B37" s="174" t="s">
        <v>617</v>
      </c>
      <c r="C37" s="175">
        <v>12</v>
      </c>
      <c r="D37" s="183">
        <f>C37*ราคาวัสดุ!D18</f>
        <v>5040</v>
      </c>
      <c r="E37" s="175">
        <v>12</v>
      </c>
      <c r="F37" s="183">
        <f>E37*ราคาวัสดุ!D18</f>
        <v>5040</v>
      </c>
      <c r="G37" s="182" t="s">
        <v>505</v>
      </c>
    </row>
    <row r="38" spans="1:7" ht="15.5" x14ac:dyDescent="0.35">
      <c r="A38" s="457" t="s">
        <v>2250</v>
      </c>
      <c r="B38" s="411"/>
      <c r="C38" s="411"/>
      <c r="D38" s="184">
        <f>SUM(D29:D37)</f>
        <v>31550</v>
      </c>
      <c r="E38" s="456"/>
      <c r="F38" s="184">
        <f>SUM(F29:F37)</f>
        <v>31598</v>
      </c>
    </row>
    <row r="40" spans="1:7" ht="15.5" x14ac:dyDescent="0.35">
      <c r="A40" s="458" t="s">
        <v>2251</v>
      </c>
      <c r="B40" s="411"/>
      <c r="C40" s="411"/>
      <c r="D40" s="411"/>
      <c r="E40" s="411"/>
      <c r="F40" s="411"/>
      <c r="G40" s="411"/>
    </row>
    <row r="41" spans="1:7" ht="15.5" x14ac:dyDescent="0.35">
      <c r="A41" s="174"/>
      <c r="B41" s="174" t="s">
        <v>590</v>
      </c>
      <c r="C41" s="175">
        <v>10</v>
      </c>
      <c r="D41" s="181">
        <f>C41*ราคาวัสดุ!D4</f>
        <v>12200</v>
      </c>
      <c r="E41" s="175">
        <v>10</v>
      </c>
      <c r="F41" s="181">
        <f>E41*ราคาวัสดุ!D4</f>
        <v>12200</v>
      </c>
      <c r="G41" s="182" t="s">
        <v>489</v>
      </c>
    </row>
    <row r="42" spans="1:7" ht="15.5" x14ac:dyDescent="0.35">
      <c r="A42" s="174"/>
      <c r="B42" s="174" t="s">
        <v>2241</v>
      </c>
      <c r="C42" s="175">
        <v>4</v>
      </c>
      <c r="D42" s="181">
        <f>C42*ราคาวัสดุ!D5</f>
        <v>3080</v>
      </c>
      <c r="E42" s="175">
        <v>0</v>
      </c>
      <c r="F42" s="181">
        <v>0</v>
      </c>
      <c r="G42" s="182" t="s">
        <v>489</v>
      </c>
    </row>
    <row r="43" spans="1:7" ht="15.5" x14ac:dyDescent="0.35">
      <c r="A43" s="174"/>
      <c r="B43" s="174" t="s">
        <v>2242</v>
      </c>
      <c r="C43" s="175">
        <v>0</v>
      </c>
      <c r="D43" s="181">
        <f>C43*ราคาวัสดุ!D6</f>
        <v>0</v>
      </c>
      <c r="E43" s="175">
        <v>8</v>
      </c>
      <c r="F43" s="181">
        <f>E43*ราคาวัสดุ!D6</f>
        <v>3144</v>
      </c>
      <c r="G43" s="182" t="s">
        <v>489</v>
      </c>
    </row>
    <row r="44" spans="1:7" ht="15.5" x14ac:dyDescent="0.35">
      <c r="A44" s="174"/>
      <c r="B44" s="174" t="s">
        <v>387</v>
      </c>
      <c r="C44" s="175">
        <v>1</v>
      </c>
      <c r="D44" s="181">
        <f>C44*ราคาวัสดุ!D7</f>
        <v>140</v>
      </c>
      <c r="E44" s="175">
        <v>1</v>
      </c>
      <c r="F44" s="181">
        <f>E44*ราคาวัสดุ!D7</f>
        <v>140</v>
      </c>
      <c r="G44" s="182" t="s">
        <v>489</v>
      </c>
    </row>
    <row r="45" spans="1:7" ht="15.5" x14ac:dyDescent="0.35">
      <c r="A45" s="174"/>
      <c r="B45" s="174" t="s">
        <v>597</v>
      </c>
      <c r="C45" s="175">
        <v>2</v>
      </c>
      <c r="D45" s="181">
        <f>C45*ราคาวัสดุ!D8</f>
        <v>280</v>
      </c>
      <c r="E45" s="175">
        <v>2</v>
      </c>
      <c r="F45" s="181">
        <f>E45*ราคาวัสดุ!D8</f>
        <v>280</v>
      </c>
      <c r="G45" s="182" t="s">
        <v>489</v>
      </c>
    </row>
    <row r="46" spans="1:7" ht="15.5" x14ac:dyDescent="0.35">
      <c r="A46" s="174"/>
      <c r="B46" s="174" t="s">
        <v>599</v>
      </c>
      <c r="C46" s="175">
        <v>8</v>
      </c>
      <c r="D46" s="181">
        <f>C46*ราคาวัสดุ!D9</f>
        <v>880</v>
      </c>
      <c r="E46" s="175">
        <v>8</v>
      </c>
      <c r="F46" s="181">
        <f>E46*ราคาวัสดุ!D9</f>
        <v>880</v>
      </c>
      <c r="G46" s="182" t="s">
        <v>489</v>
      </c>
    </row>
    <row r="47" spans="1:7" ht="15.5" x14ac:dyDescent="0.35">
      <c r="A47" s="174"/>
      <c r="B47" s="174" t="s">
        <v>2243</v>
      </c>
      <c r="C47" s="175">
        <v>13</v>
      </c>
      <c r="D47" s="181">
        <f>C47*ราคาวัสดุ!D10</f>
        <v>195</v>
      </c>
      <c r="E47" s="175">
        <v>13</v>
      </c>
      <c r="F47" s="181">
        <f>E47*ราคาวัสดุ!D10</f>
        <v>195</v>
      </c>
      <c r="G47" s="182" t="s">
        <v>487</v>
      </c>
    </row>
    <row r="48" spans="1:7" ht="16.5" x14ac:dyDescent="0.55000000000000004">
      <c r="B48" s="174" t="s">
        <v>2261</v>
      </c>
      <c r="C48" s="175">
        <v>15</v>
      </c>
      <c r="D48" s="183">
        <f>C48*ราคาวัสดุ!D17</f>
        <v>18000</v>
      </c>
      <c r="E48" s="175">
        <v>15</v>
      </c>
      <c r="F48" s="183">
        <f>E48*ราคาวัสดุ!D17</f>
        <v>18000</v>
      </c>
      <c r="G48" s="182" t="s">
        <v>2018</v>
      </c>
    </row>
    <row r="49" spans="1:7" ht="16.5" x14ac:dyDescent="0.55000000000000004">
      <c r="B49" s="174" t="s">
        <v>617</v>
      </c>
      <c r="C49" s="175">
        <v>15</v>
      </c>
      <c r="D49" s="183">
        <f>C49*ราคาวัสดุ!D18</f>
        <v>6300</v>
      </c>
      <c r="E49" s="175">
        <v>15</v>
      </c>
      <c r="F49" s="183">
        <f>E49*ราคาวัสดุ!D18</f>
        <v>6300</v>
      </c>
      <c r="G49" s="182" t="s">
        <v>505</v>
      </c>
    </row>
    <row r="50" spans="1:7" ht="15.5" x14ac:dyDescent="0.35">
      <c r="A50" s="457" t="s">
        <v>2252</v>
      </c>
      <c r="B50" s="411"/>
      <c r="C50" s="411"/>
      <c r="D50" s="184">
        <f>SUM(D41:D49)</f>
        <v>41075</v>
      </c>
      <c r="E50" s="456"/>
      <c r="F50" s="184">
        <f>SUM(F41:F49)</f>
        <v>41139</v>
      </c>
    </row>
    <row r="52" spans="1:7" ht="15.5" x14ac:dyDescent="0.35">
      <c r="A52" s="458" t="s">
        <v>2253</v>
      </c>
      <c r="B52" s="411"/>
      <c r="C52" s="411"/>
      <c r="D52" s="411"/>
      <c r="E52" s="411"/>
      <c r="F52" s="411"/>
      <c r="G52" s="411"/>
    </row>
    <row r="53" spans="1:7" ht="15.5" x14ac:dyDescent="0.35">
      <c r="A53" s="174"/>
      <c r="B53" s="174" t="s">
        <v>590</v>
      </c>
      <c r="C53" s="175">
        <v>13</v>
      </c>
      <c r="D53" s="181">
        <f>C53*ราคาวัสดุ!D4</f>
        <v>15860</v>
      </c>
      <c r="E53" s="175">
        <v>13</v>
      </c>
      <c r="F53" s="181">
        <f>E53*ราคาวัสดุ!D4</f>
        <v>15860</v>
      </c>
      <c r="G53" s="182" t="s">
        <v>489</v>
      </c>
    </row>
    <row r="54" spans="1:7" ht="15.5" x14ac:dyDescent="0.35">
      <c r="A54" s="174"/>
      <c r="B54" s="174" t="s">
        <v>2241</v>
      </c>
      <c r="C54" s="175">
        <v>6</v>
      </c>
      <c r="D54" s="181">
        <f>C54*ราคาวัสดุ!D5</f>
        <v>4620</v>
      </c>
      <c r="E54" s="175">
        <v>0</v>
      </c>
      <c r="F54" s="181">
        <v>0</v>
      </c>
      <c r="G54" s="182" t="s">
        <v>489</v>
      </c>
    </row>
    <row r="55" spans="1:7" ht="15.5" x14ac:dyDescent="0.35">
      <c r="A55" s="174"/>
      <c r="B55" s="174" t="s">
        <v>2242</v>
      </c>
      <c r="C55" s="175">
        <v>0</v>
      </c>
      <c r="D55" s="181">
        <f>C55*ราคาวัสดุ!D6</f>
        <v>0</v>
      </c>
      <c r="E55" s="175">
        <v>11</v>
      </c>
      <c r="F55" s="181">
        <f>E55*ราคาวัสดุ!D6</f>
        <v>4323</v>
      </c>
      <c r="G55" s="182" t="s">
        <v>489</v>
      </c>
    </row>
    <row r="56" spans="1:7" ht="15.5" x14ac:dyDescent="0.35">
      <c r="A56" s="174"/>
      <c r="B56" s="174" t="s">
        <v>387</v>
      </c>
      <c r="C56" s="175">
        <v>1</v>
      </c>
      <c r="D56" s="181">
        <f>C56*ราคาวัสดุ!D7</f>
        <v>140</v>
      </c>
      <c r="E56" s="175">
        <v>1</v>
      </c>
      <c r="F56" s="181">
        <f>E56*ราคาวัสดุ!D7</f>
        <v>140</v>
      </c>
      <c r="G56" s="182" t="s">
        <v>489</v>
      </c>
    </row>
    <row r="57" spans="1:7" ht="15.5" x14ac:dyDescent="0.35">
      <c r="A57" s="174"/>
      <c r="B57" s="174" t="s">
        <v>597</v>
      </c>
      <c r="C57" s="175">
        <v>3</v>
      </c>
      <c r="D57" s="181">
        <f>C57*ราคาวัสดุ!D8</f>
        <v>420</v>
      </c>
      <c r="E57" s="175">
        <v>3</v>
      </c>
      <c r="F57" s="181">
        <f>E57*ราคาวัสดุ!D8</f>
        <v>420</v>
      </c>
      <c r="G57" s="182" t="s">
        <v>489</v>
      </c>
    </row>
    <row r="58" spans="1:7" ht="15.5" x14ac:dyDescent="0.35">
      <c r="A58" s="174"/>
      <c r="B58" s="174" t="s">
        <v>599</v>
      </c>
      <c r="C58" s="175">
        <v>10</v>
      </c>
      <c r="D58" s="181">
        <f>C58*ราคาวัสดุ!D9</f>
        <v>1100</v>
      </c>
      <c r="E58" s="175">
        <v>10</v>
      </c>
      <c r="F58" s="181">
        <f>E58*ราคาวัสดุ!D9</f>
        <v>1100</v>
      </c>
      <c r="G58" s="182" t="s">
        <v>489</v>
      </c>
    </row>
    <row r="59" spans="1:7" ht="15.5" x14ac:dyDescent="0.35">
      <c r="A59" s="174"/>
      <c r="B59" s="174" t="s">
        <v>2243</v>
      </c>
      <c r="C59" s="175">
        <v>17</v>
      </c>
      <c r="D59" s="181">
        <f>C59*ราคาวัสดุ!D10</f>
        <v>255</v>
      </c>
      <c r="E59" s="175">
        <v>17</v>
      </c>
      <c r="F59" s="181">
        <f>E59*ราคาวัสดุ!D10</f>
        <v>255</v>
      </c>
      <c r="G59" s="182" t="s">
        <v>487</v>
      </c>
    </row>
    <row r="60" spans="1:7" ht="16.5" x14ac:dyDescent="0.55000000000000004">
      <c r="B60" s="174" t="s">
        <v>2261</v>
      </c>
      <c r="C60" s="175">
        <v>20</v>
      </c>
      <c r="D60" s="183">
        <f>C60*ราคาวัสดุ!D17</f>
        <v>24000</v>
      </c>
      <c r="E60" s="175">
        <v>20</v>
      </c>
      <c r="F60" s="183">
        <f>E60*ราคาวัสดุ!D17</f>
        <v>24000</v>
      </c>
      <c r="G60" s="182" t="s">
        <v>2018</v>
      </c>
    </row>
    <row r="61" spans="1:7" ht="16.5" x14ac:dyDescent="0.55000000000000004">
      <c r="B61" s="174" t="s">
        <v>617</v>
      </c>
      <c r="C61" s="175">
        <v>20</v>
      </c>
      <c r="D61" s="183">
        <f>C61*ราคาวัสดุ!D18</f>
        <v>8400</v>
      </c>
      <c r="E61" s="175">
        <v>20</v>
      </c>
      <c r="F61" s="183">
        <f>E61*ราคาวัสดุ!D18</f>
        <v>8400</v>
      </c>
      <c r="G61" s="182" t="s">
        <v>505</v>
      </c>
    </row>
    <row r="62" spans="1:7" ht="15.5" x14ac:dyDescent="0.35">
      <c r="A62" s="457" t="s">
        <v>2254</v>
      </c>
      <c r="B62" s="411"/>
      <c r="C62" s="411"/>
      <c r="D62" s="184">
        <f>SUM(D53:D61)</f>
        <v>54795</v>
      </c>
      <c r="E62" s="456"/>
      <c r="F62" s="184">
        <f>SUM(F53:F61)</f>
        <v>54498</v>
      </c>
    </row>
    <row r="64" spans="1:7" ht="15.5" x14ac:dyDescent="0.35">
      <c r="A64" s="458" t="s">
        <v>2255</v>
      </c>
      <c r="B64" s="411"/>
      <c r="C64" s="411"/>
      <c r="D64" s="411"/>
      <c r="E64" s="411"/>
      <c r="F64" s="411"/>
      <c r="G64" s="411"/>
    </row>
    <row r="65" spans="1:7" ht="15.5" x14ac:dyDescent="0.35">
      <c r="A65" s="174"/>
      <c r="B65" s="174" t="s">
        <v>590</v>
      </c>
      <c r="C65" s="175">
        <v>16</v>
      </c>
      <c r="D65" s="181">
        <f>C65*ราคาวัสดุ!D4</f>
        <v>19520</v>
      </c>
      <c r="E65" s="175">
        <v>16</v>
      </c>
      <c r="F65" s="181">
        <f>E65*ราคาวัสดุ!D4</f>
        <v>19520</v>
      </c>
      <c r="G65" s="182" t="s">
        <v>489</v>
      </c>
    </row>
    <row r="66" spans="1:7" ht="15.5" x14ac:dyDescent="0.35">
      <c r="A66" s="174"/>
      <c r="B66" s="174" t="s">
        <v>2241</v>
      </c>
      <c r="C66" s="175">
        <v>7</v>
      </c>
      <c r="D66" s="181">
        <f>C66*ราคาวัสดุ!D5</f>
        <v>5390</v>
      </c>
      <c r="E66" s="175">
        <v>0</v>
      </c>
      <c r="F66" s="181">
        <v>0</v>
      </c>
      <c r="G66" s="182" t="s">
        <v>489</v>
      </c>
    </row>
    <row r="67" spans="1:7" ht="15.5" x14ac:dyDescent="0.35">
      <c r="A67" s="174"/>
      <c r="B67" s="174" t="s">
        <v>2242</v>
      </c>
      <c r="C67" s="175">
        <v>0</v>
      </c>
      <c r="D67" s="181">
        <f>C67*ราคาวัสดุ!D6</f>
        <v>0</v>
      </c>
      <c r="E67" s="175">
        <v>14</v>
      </c>
      <c r="F67" s="181">
        <f>E67*ราคาวัสดุ!D6</f>
        <v>5502</v>
      </c>
      <c r="G67" s="182" t="s">
        <v>489</v>
      </c>
    </row>
    <row r="68" spans="1:7" ht="15.5" x14ac:dyDescent="0.35">
      <c r="A68" s="174"/>
      <c r="B68" s="174" t="s">
        <v>387</v>
      </c>
      <c r="C68" s="175">
        <v>1</v>
      </c>
      <c r="D68" s="181">
        <f>C68*ราคาวัสดุ!D7</f>
        <v>140</v>
      </c>
      <c r="E68" s="175">
        <v>1</v>
      </c>
      <c r="F68" s="181">
        <f>E68*ราคาวัสดุ!D7</f>
        <v>140</v>
      </c>
      <c r="G68" s="182" t="s">
        <v>489</v>
      </c>
    </row>
    <row r="69" spans="1:7" ht="15.5" x14ac:dyDescent="0.35">
      <c r="A69" s="174"/>
      <c r="B69" s="174" t="s">
        <v>597</v>
      </c>
      <c r="C69" s="175">
        <v>4</v>
      </c>
      <c r="D69" s="181">
        <f>C69*ราคาวัสดุ!D8</f>
        <v>560</v>
      </c>
      <c r="E69" s="175">
        <v>4</v>
      </c>
      <c r="F69" s="181">
        <f>E69*ราคาวัสดุ!D8</f>
        <v>560</v>
      </c>
      <c r="G69" s="182" t="s">
        <v>489</v>
      </c>
    </row>
    <row r="70" spans="1:7" ht="15.5" x14ac:dyDescent="0.35">
      <c r="A70" s="174"/>
      <c r="B70" s="174" t="s">
        <v>599</v>
      </c>
      <c r="C70" s="175">
        <v>13</v>
      </c>
      <c r="D70" s="181">
        <f>C70*ราคาวัสดุ!D9</f>
        <v>1430</v>
      </c>
      <c r="E70" s="175">
        <v>13</v>
      </c>
      <c r="F70" s="181">
        <f>E70*ราคาวัสดุ!D9</f>
        <v>1430</v>
      </c>
      <c r="G70" s="182" t="s">
        <v>489</v>
      </c>
    </row>
    <row r="71" spans="1:7" ht="15.5" x14ac:dyDescent="0.35">
      <c r="A71" s="174"/>
      <c r="B71" s="174" t="s">
        <v>2243</v>
      </c>
      <c r="C71" s="175">
        <v>21</v>
      </c>
      <c r="D71" s="181">
        <f>C71*ราคาวัสดุ!D10</f>
        <v>315</v>
      </c>
      <c r="E71" s="175">
        <v>21</v>
      </c>
      <c r="F71" s="181">
        <f>E71*ราคาวัสดุ!D10</f>
        <v>315</v>
      </c>
      <c r="G71" s="182" t="s">
        <v>487</v>
      </c>
    </row>
    <row r="72" spans="1:7" ht="16.5" x14ac:dyDescent="0.55000000000000004">
      <c r="B72" s="174" t="s">
        <v>2261</v>
      </c>
      <c r="C72" s="175">
        <v>26</v>
      </c>
      <c r="D72" s="183">
        <f>C72*ราคาวัสดุ!D17</f>
        <v>31200</v>
      </c>
      <c r="E72" s="175">
        <v>26</v>
      </c>
      <c r="F72" s="183">
        <f>E72*ราคาวัสดุ!D17</f>
        <v>31200</v>
      </c>
      <c r="G72" s="182" t="s">
        <v>2018</v>
      </c>
    </row>
    <row r="73" spans="1:7" ht="16.5" x14ac:dyDescent="0.55000000000000004">
      <c r="B73" s="174" t="s">
        <v>617</v>
      </c>
      <c r="C73" s="175">
        <v>26</v>
      </c>
      <c r="D73" s="183">
        <f>C73*ราคาวัสดุ!D18</f>
        <v>10920</v>
      </c>
      <c r="E73" s="175">
        <v>26</v>
      </c>
      <c r="F73" s="183">
        <f>E73*ราคาวัสดุ!D18</f>
        <v>10920</v>
      </c>
      <c r="G73" s="182" t="s">
        <v>505</v>
      </c>
    </row>
    <row r="74" spans="1:7" ht="15.5" x14ac:dyDescent="0.35">
      <c r="A74" s="457" t="s">
        <v>2256</v>
      </c>
      <c r="B74" s="411"/>
      <c r="C74" s="411"/>
      <c r="D74" s="184">
        <f>SUM(D65:D73)</f>
        <v>69475</v>
      </c>
      <c r="E74" s="456"/>
      <c r="F74" s="184">
        <f>SUM(F65:F73)</f>
        <v>69587</v>
      </c>
    </row>
  </sheetData>
  <mergeCells count="24">
    <mergeCell ref="E74"/>
    <mergeCell ref="A1:F1"/>
    <mergeCell ref="G2:G3"/>
    <mergeCell ref="A38:C38"/>
    <mergeCell ref="C2:D2"/>
    <mergeCell ref="E2:F2"/>
    <mergeCell ref="A16:G16"/>
    <mergeCell ref="E38"/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</mergeCells>
  <hyperlinks>
    <hyperlink ref="G1" location="'สารบัญ'!A1" display="🏠 สารบัญ" xr:uid="{00000000-0004-0000-3000-000000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A6A6A6"/>
  </sheetPr>
  <dimension ref="A1:H68"/>
  <sheetViews>
    <sheetView workbookViewId="0"/>
  </sheetViews>
  <sheetFormatPr defaultRowHeight="14.5" x14ac:dyDescent="0.35"/>
  <cols>
    <col min="1" max="1" width="46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2262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620</v>
      </c>
      <c r="C12" s="175">
        <v>4.5</v>
      </c>
      <c r="D12" s="183">
        <f>C12*ราคาวัสดุ!D19</f>
        <v>12600</v>
      </c>
      <c r="E12" s="175">
        <v>4.5</v>
      </c>
      <c r="F12" s="183">
        <f>E12*ราคาวัสดุ!D19</f>
        <v>12600</v>
      </c>
      <c r="G12" s="182" t="s">
        <v>621</v>
      </c>
    </row>
    <row r="13" spans="1:8" ht="15.5" x14ac:dyDescent="0.35">
      <c r="A13" s="457" t="s">
        <v>2246</v>
      </c>
      <c r="B13" s="411"/>
      <c r="C13" s="411"/>
      <c r="D13" s="184">
        <f>SUM(D5:D12)</f>
        <v>17760</v>
      </c>
      <c r="E13" s="456"/>
      <c r="F13" s="184">
        <f>SUM(F5:F12)</f>
        <v>17776</v>
      </c>
    </row>
    <row r="15" spans="1:8" ht="15.5" x14ac:dyDescent="0.35">
      <c r="A15" s="458" t="s">
        <v>2247</v>
      </c>
      <c r="B15" s="411"/>
      <c r="C15" s="411"/>
      <c r="D15" s="411"/>
      <c r="E15" s="411"/>
      <c r="F15" s="411"/>
      <c r="G15" s="411"/>
    </row>
    <row r="16" spans="1:8" ht="15.5" x14ac:dyDescent="0.35">
      <c r="A16" s="174"/>
      <c r="B16" s="174" t="s">
        <v>590</v>
      </c>
      <c r="C16" s="175">
        <v>5</v>
      </c>
      <c r="D16" s="181">
        <f>C16*ราคาวัสดุ!D4</f>
        <v>6100</v>
      </c>
      <c r="E16" s="175">
        <v>5</v>
      </c>
      <c r="F16" s="181">
        <f>E16*ราคาวัสดุ!D4</f>
        <v>6100</v>
      </c>
      <c r="G16" s="182" t="s">
        <v>489</v>
      </c>
    </row>
    <row r="17" spans="1:7" ht="15.5" x14ac:dyDescent="0.35">
      <c r="A17" s="174"/>
      <c r="B17" s="174" t="s">
        <v>2241</v>
      </c>
      <c r="C17" s="175">
        <v>2</v>
      </c>
      <c r="D17" s="181">
        <f>C17*ราคาวัสดุ!D5</f>
        <v>1540</v>
      </c>
      <c r="E17" s="175">
        <v>0</v>
      </c>
      <c r="F17" s="181">
        <v>0</v>
      </c>
      <c r="G17" s="182" t="s">
        <v>489</v>
      </c>
    </row>
    <row r="18" spans="1:7" ht="15.5" x14ac:dyDescent="0.35">
      <c r="A18" s="174"/>
      <c r="B18" s="174" t="s">
        <v>2242</v>
      </c>
      <c r="C18" s="175">
        <v>0</v>
      </c>
      <c r="D18" s="181">
        <f>C18*ราคาวัสดุ!D6</f>
        <v>0</v>
      </c>
      <c r="E18" s="175">
        <v>4</v>
      </c>
      <c r="F18" s="181">
        <f>E18*ราคาวัสดุ!D6</f>
        <v>1572</v>
      </c>
      <c r="G18" s="182" t="s">
        <v>489</v>
      </c>
    </row>
    <row r="19" spans="1:7" ht="15.5" x14ac:dyDescent="0.35">
      <c r="A19" s="174"/>
      <c r="B19" s="174" t="s">
        <v>387</v>
      </c>
      <c r="C19" s="175">
        <v>1</v>
      </c>
      <c r="D19" s="181">
        <f>C19*ราคาวัสดุ!D7</f>
        <v>140</v>
      </c>
      <c r="E19" s="175">
        <v>1</v>
      </c>
      <c r="F19" s="181">
        <f>E19*ราคาวัสดุ!D7</f>
        <v>140</v>
      </c>
      <c r="G19" s="182" t="s">
        <v>489</v>
      </c>
    </row>
    <row r="20" spans="1:7" ht="15.5" x14ac:dyDescent="0.35">
      <c r="A20" s="174"/>
      <c r="B20" s="174" t="s">
        <v>597</v>
      </c>
      <c r="C20" s="175">
        <v>1</v>
      </c>
      <c r="D20" s="181">
        <f>C20*ราคาวัสดุ!D8</f>
        <v>140</v>
      </c>
      <c r="E20" s="175">
        <v>1</v>
      </c>
      <c r="F20" s="181">
        <f>E20*ราคาวัสดุ!D8</f>
        <v>140</v>
      </c>
      <c r="G20" s="182" t="s">
        <v>489</v>
      </c>
    </row>
    <row r="21" spans="1:7" ht="15.5" x14ac:dyDescent="0.35">
      <c r="A21" s="174"/>
      <c r="B21" s="174" t="s">
        <v>599</v>
      </c>
      <c r="C21" s="175">
        <v>4</v>
      </c>
      <c r="D21" s="181">
        <f>C21*ราคาวัสดุ!D9</f>
        <v>440</v>
      </c>
      <c r="E21" s="175">
        <v>4</v>
      </c>
      <c r="F21" s="181">
        <f>E21*ราคาวัสดุ!D9</f>
        <v>440</v>
      </c>
      <c r="G21" s="182" t="s">
        <v>489</v>
      </c>
    </row>
    <row r="22" spans="1:7" ht="15.5" x14ac:dyDescent="0.35">
      <c r="A22" s="174"/>
      <c r="B22" s="174" t="s">
        <v>2243</v>
      </c>
      <c r="C22" s="175">
        <v>14</v>
      </c>
      <c r="D22" s="181">
        <f>C22*ราคาวัสดุ!D10</f>
        <v>210</v>
      </c>
      <c r="E22" s="175">
        <v>14</v>
      </c>
      <c r="F22" s="181">
        <f>E22*ราคาวัสดุ!D10</f>
        <v>210</v>
      </c>
      <c r="G22" s="182" t="s">
        <v>487</v>
      </c>
    </row>
    <row r="23" spans="1:7" ht="16.5" x14ac:dyDescent="0.55000000000000004">
      <c r="B23" s="174" t="s">
        <v>620</v>
      </c>
      <c r="C23" s="175">
        <v>9</v>
      </c>
      <c r="D23" s="183">
        <f>C23*ราคาวัสดุ!D19</f>
        <v>25200</v>
      </c>
      <c r="E23" s="175">
        <v>9</v>
      </c>
      <c r="F23" s="183">
        <f>E23*ราคาวัสดุ!D19</f>
        <v>25200</v>
      </c>
      <c r="G23" s="182" t="s">
        <v>621</v>
      </c>
    </row>
    <row r="24" spans="1:7" ht="15.5" x14ac:dyDescent="0.35">
      <c r="A24" s="457" t="s">
        <v>2248</v>
      </c>
      <c r="B24" s="411"/>
      <c r="C24" s="411"/>
      <c r="D24" s="184">
        <f>SUM(D16:D23)</f>
        <v>33770</v>
      </c>
      <c r="E24" s="456"/>
      <c r="F24" s="184">
        <f>SUM(F16:F23)</f>
        <v>33802</v>
      </c>
    </row>
    <row r="26" spans="1:7" ht="15.5" x14ac:dyDescent="0.35">
      <c r="A26" s="458" t="s">
        <v>2249</v>
      </c>
      <c r="B26" s="411"/>
      <c r="C26" s="411"/>
      <c r="D26" s="411"/>
      <c r="E26" s="411"/>
      <c r="F26" s="411"/>
      <c r="G26" s="411"/>
    </row>
    <row r="27" spans="1:7" ht="15.5" x14ac:dyDescent="0.35">
      <c r="A27" s="174"/>
      <c r="B27" s="174" t="s">
        <v>590</v>
      </c>
      <c r="C27" s="175">
        <v>7</v>
      </c>
      <c r="D27" s="181">
        <f>C27*ราคาวัสดุ!D4</f>
        <v>8540</v>
      </c>
      <c r="E27" s="175">
        <v>7</v>
      </c>
      <c r="F27" s="181">
        <f>E27*ราคาวัสดุ!D4</f>
        <v>8540</v>
      </c>
      <c r="G27" s="182" t="s">
        <v>489</v>
      </c>
    </row>
    <row r="28" spans="1:7" ht="15.5" x14ac:dyDescent="0.35">
      <c r="A28" s="174"/>
      <c r="B28" s="174" t="s">
        <v>2241</v>
      </c>
      <c r="C28" s="175">
        <v>3</v>
      </c>
      <c r="D28" s="181">
        <f>C28*ราคาวัสดุ!D5</f>
        <v>2310</v>
      </c>
      <c r="E28" s="175">
        <v>0</v>
      </c>
      <c r="F28" s="181">
        <v>0</v>
      </c>
      <c r="G28" s="182" t="s">
        <v>489</v>
      </c>
    </row>
    <row r="29" spans="1:7" ht="15.5" x14ac:dyDescent="0.35">
      <c r="A29" s="174"/>
      <c r="B29" s="174" t="s">
        <v>2242</v>
      </c>
      <c r="C29" s="175">
        <v>0</v>
      </c>
      <c r="D29" s="181">
        <f>C29*ราคาวัสดุ!D6</f>
        <v>0</v>
      </c>
      <c r="E29" s="175">
        <v>6</v>
      </c>
      <c r="F29" s="181">
        <f>E29*ราคาวัสดุ!D6</f>
        <v>2358</v>
      </c>
      <c r="G29" s="182" t="s">
        <v>489</v>
      </c>
    </row>
    <row r="30" spans="1:7" ht="15.5" x14ac:dyDescent="0.35">
      <c r="A30" s="174"/>
      <c r="B30" s="174" t="s">
        <v>387</v>
      </c>
      <c r="C30" s="175">
        <v>1</v>
      </c>
      <c r="D30" s="181">
        <f>C30*ราคาวัสดุ!D7</f>
        <v>140</v>
      </c>
      <c r="E30" s="175">
        <v>1</v>
      </c>
      <c r="F30" s="181">
        <f>E30*ราคาวัสดุ!D7</f>
        <v>140</v>
      </c>
      <c r="G30" s="182" t="s">
        <v>489</v>
      </c>
    </row>
    <row r="31" spans="1:7" ht="15.5" x14ac:dyDescent="0.35">
      <c r="A31" s="174"/>
      <c r="B31" s="174" t="s">
        <v>597</v>
      </c>
      <c r="C31" s="175">
        <v>2</v>
      </c>
      <c r="D31" s="181">
        <f>C31*ราคาวัสดุ!D8</f>
        <v>280</v>
      </c>
      <c r="E31" s="175">
        <v>2</v>
      </c>
      <c r="F31" s="181">
        <f>E31*ราคาวัสดุ!D8</f>
        <v>280</v>
      </c>
      <c r="G31" s="182" t="s">
        <v>489</v>
      </c>
    </row>
    <row r="32" spans="1:7" ht="15.5" x14ac:dyDescent="0.35">
      <c r="A32" s="174"/>
      <c r="B32" s="174" t="s">
        <v>599</v>
      </c>
      <c r="C32" s="175">
        <v>6</v>
      </c>
      <c r="D32" s="181">
        <f>C32*ราคาวัสดุ!D9</f>
        <v>660</v>
      </c>
      <c r="E32" s="175">
        <v>6</v>
      </c>
      <c r="F32" s="181">
        <f>E32*ราคาวัสดุ!D9</f>
        <v>660</v>
      </c>
      <c r="G32" s="182" t="s">
        <v>489</v>
      </c>
    </row>
    <row r="33" spans="1:7" ht="15.5" x14ac:dyDescent="0.35">
      <c r="A33" s="174"/>
      <c r="B33" s="174" t="s">
        <v>2243</v>
      </c>
      <c r="C33" s="175">
        <v>12</v>
      </c>
      <c r="D33" s="181">
        <f>C33*ราคาวัสดุ!D10</f>
        <v>180</v>
      </c>
      <c r="E33" s="175">
        <v>12</v>
      </c>
      <c r="F33" s="181">
        <f>E33*ราคาวัสดุ!D10</f>
        <v>180</v>
      </c>
      <c r="G33" s="182" t="s">
        <v>487</v>
      </c>
    </row>
    <row r="34" spans="1:7" ht="16.5" x14ac:dyDescent="0.55000000000000004">
      <c r="B34" s="174" t="s">
        <v>620</v>
      </c>
      <c r="C34" s="175">
        <v>13.5</v>
      </c>
      <c r="D34" s="183">
        <f>C34*ราคาวัสดุ!D19</f>
        <v>37800</v>
      </c>
      <c r="E34" s="175">
        <v>13.5</v>
      </c>
      <c r="F34" s="183">
        <f>E34*ราคาวัสดุ!D19</f>
        <v>37800</v>
      </c>
      <c r="G34" s="182" t="s">
        <v>621</v>
      </c>
    </row>
    <row r="35" spans="1:7" ht="15.5" x14ac:dyDescent="0.35">
      <c r="A35" s="457" t="s">
        <v>2250</v>
      </c>
      <c r="B35" s="411"/>
      <c r="C35" s="411"/>
      <c r="D35" s="184">
        <f>SUM(D27:D34)</f>
        <v>49910</v>
      </c>
      <c r="E35" s="456"/>
      <c r="F35" s="184">
        <f>SUM(F27:F34)</f>
        <v>49958</v>
      </c>
    </row>
    <row r="37" spans="1:7" ht="15.5" x14ac:dyDescent="0.35">
      <c r="A37" s="458" t="s">
        <v>2251</v>
      </c>
      <c r="B37" s="411"/>
      <c r="C37" s="411"/>
      <c r="D37" s="411"/>
      <c r="E37" s="411"/>
      <c r="F37" s="411"/>
      <c r="G37" s="411"/>
    </row>
    <row r="38" spans="1:7" ht="15.5" x14ac:dyDescent="0.35">
      <c r="A38" s="174"/>
      <c r="B38" s="174" t="s">
        <v>590</v>
      </c>
      <c r="C38" s="175">
        <v>10</v>
      </c>
      <c r="D38" s="181">
        <f>C38*ราคาวัสดุ!D4</f>
        <v>12200</v>
      </c>
      <c r="E38" s="175">
        <v>10</v>
      </c>
      <c r="F38" s="181">
        <f>E38*ราคาวัสดุ!D4</f>
        <v>12200</v>
      </c>
      <c r="G38" s="182" t="s">
        <v>489</v>
      </c>
    </row>
    <row r="39" spans="1:7" ht="15.5" x14ac:dyDescent="0.35">
      <c r="A39" s="174"/>
      <c r="B39" s="174" t="s">
        <v>2241</v>
      </c>
      <c r="C39" s="175">
        <v>4</v>
      </c>
      <c r="D39" s="181">
        <f>C39*ราคาวัสดุ!D5</f>
        <v>3080</v>
      </c>
      <c r="E39" s="175">
        <v>0</v>
      </c>
      <c r="F39" s="181">
        <v>0</v>
      </c>
      <c r="G39" s="182" t="s">
        <v>489</v>
      </c>
    </row>
    <row r="40" spans="1:7" ht="15.5" x14ac:dyDescent="0.35">
      <c r="A40" s="174"/>
      <c r="B40" s="174" t="s">
        <v>2242</v>
      </c>
      <c r="C40" s="175">
        <v>0</v>
      </c>
      <c r="D40" s="181">
        <f>C40*ราคาวัสดุ!D6</f>
        <v>0</v>
      </c>
      <c r="E40" s="175">
        <v>8</v>
      </c>
      <c r="F40" s="181">
        <f>E40*ราคาวัสดุ!D6</f>
        <v>3144</v>
      </c>
      <c r="G40" s="182" t="s">
        <v>489</v>
      </c>
    </row>
    <row r="41" spans="1:7" ht="15.5" x14ac:dyDescent="0.35">
      <c r="A41" s="174"/>
      <c r="B41" s="174" t="s">
        <v>387</v>
      </c>
      <c r="C41" s="175">
        <v>1</v>
      </c>
      <c r="D41" s="181">
        <f>C41*ราคาวัสดุ!D7</f>
        <v>140</v>
      </c>
      <c r="E41" s="175">
        <v>1</v>
      </c>
      <c r="F41" s="181">
        <f>E41*ราคาวัสดุ!D7</f>
        <v>140</v>
      </c>
      <c r="G41" s="182" t="s">
        <v>489</v>
      </c>
    </row>
    <row r="42" spans="1:7" ht="15.5" x14ac:dyDescent="0.35">
      <c r="A42" s="174"/>
      <c r="B42" s="174" t="s">
        <v>597</v>
      </c>
      <c r="C42" s="175">
        <v>2</v>
      </c>
      <c r="D42" s="181">
        <f>C42*ราคาวัสดุ!D8</f>
        <v>280</v>
      </c>
      <c r="E42" s="175">
        <v>2</v>
      </c>
      <c r="F42" s="181">
        <f>E42*ราคาวัสดุ!D8</f>
        <v>280</v>
      </c>
      <c r="G42" s="182" t="s">
        <v>489</v>
      </c>
    </row>
    <row r="43" spans="1:7" ht="15.5" x14ac:dyDescent="0.35">
      <c r="A43" s="174"/>
      <c r="B43" s="174" t="s">
        <v>599</v>
      </c>
      <c r="C43" s="175">
        <v>8</v>
      </c>
      <c r="D43" s="181">
        <f>C43*ราคาวัสดุ!D9</f>
        <v>880</v>
      </c>
      <c r="E43" s="175">
        <v>8</v>
      </c>
      <c r="F43" s="181">
        <f>E43*ราคาวัสดุ!D9</f>
        <v>880</v>
      </c>
      <c r="G43" s="182" t="s">
        <v>489</v>
      </c>
    </row>
    <row r="44" spans="1:7" ht="15.5" x14ac:dyDescent="0.35">
      <c r="A44" s="174"/>
      <c r="B44" s="174" t="s">
        <v>2243</v>
      </c>
      <c r="C44" s="175">
        <v>13</v>
      </c>
      <c r="D44" s="181">
        <f>C44*ราคาวัสดุ!D10</f>
        <v>195</v>
      </c>
      <c r="E44" s="175">
        <v>13</v>
      </c>
      <c r="F44" s="181">
        <f>E44*ราคาวัสดุ!D10</f>
        <v>195</v>
      </c>
      <c r="G44" s="182" t="s">
        <v>487</v>
      </c>
    </row>
    <row r="45" spans="1:7" ht="16.5" x14ac:dyDescent="0.55000000000000004">
      <c r="B45" s="174" t="s">
        <v>620</v>
      </c>
      <c r="C45" s="175">
        <v>18</v>
      </c>
      <c r="D45" s="183">
        <f>C45*ราคาวัสดุ!D19</f>
        <v>50400</v>
      </c>
      <c r="E45" s="175">
        <v>18</v>
      </c>
      <c r="F45" s="183">
        <f>E45*ราคาวัสดุ!D19</f>
        <v>50400</v>
      </c>
      <c r="G45" s="182" t="s">
        <v>621</v>
      </c>
    </row>
    <row r="46" spans="1:7" ht="15.5" x14ac:dyDescent="0.35">
      <c r="A46" s="457" t="s">
        <v>2252</v>
      </c>
      <c r="B46" s="411"/>
      <c r="C46" s="411"/>
      <c r="D46" s="184">
        <f>SUM(D38:D45)</f>
        <v>67175</v>
      </c>
      <c r="E46" s="456"/>
      <c r="F46" s="184">
        <f>SUM(F38:F45)</f>
        <v>67239</v>
      </c>
    </row>
    <row r="48" spans="1:7" ht="15.5" x14ac:dyDescent="0.35">
      <c r="A48" s="458" t="s">
        <v>2253</v>
      </c>
      <c r="B48" s="411"/>
      <c r="C48" s="411"/>
      <c r="D48" s="411"/>
      <c r="E48" s="411"/>
      <c r="F48" s="411"/>
      <c r="G48" s="411"/>
    </row>
    <row r="49" spans="1:7" ht="15.5" x14ac:dyDescent="0.35">
      <c r="A49" s="174"/>
      <c r="B49" s="174" t="s">
        <v>590</v>
      </c>
      <c r="C49" s="175">
        <v>13</v>
      </c>
      <c r="D49" s="181">
        <f>C49*ราคาวัสดุ!D4</f>
        <v>15860</v>
      </c>
      <c r="E49" s="175">
        <v>13</v>
      </c>
      <c r="F49" s="181">
        <f>E49*ราคาวัสดุ!D4</f>
        <v>15860</v>
      </c>
      <c r="G49" s="182" t="s">
        <v>489</v>
      </c>
    </row>
    <row r="50" spans="1:7" ht="15.5" x14ac:dyDescent="0.35">
      <c r="A50" s="174"/>
      <c r="B50" s="174" t="s">
        <v>2241</v>
      </c>
      <c r="C50" s="175">
        <v>6</v>
      </c>
      <c r="D50" s="181">
        <f>C50*ราคาวัสดุ!D5</f>
        <v>4620</v>
      </c>
      <c r="E50" s="175">
        <v>0</v>
      </c>
      <c r="F50" s="181">
        <v>0</v>
      </c>
      <c r="G50" s="182" t="s">
        <v>489</v>
      </c>
    </row>
    <row r="51" spans="1:7" ht="15.5" x14ac:dyDescent="0.35">
      <c r="A51" s="174"/>
      <c r="B51" s="174" t="s">
        <v>2242</v>
      </c>
      <c r="C51" s="175">
        <v>0</v>
      </c>
      <c r="D51" s="181">
        <f>C51*ราคาวัสดุ!D6</f>
        <v>0</v>
      </c>
      <c r="E51" s="175">
        <v>11</v>
      </c>
      <c r="F51" s="181">
        <f>E51*ราคาวัสดุ!D6</f>
        <v>4323</v>
      </c>
      <c r="G51" s="182" t="s">
        <v>489</v>
      </c>
    </row>
    <row r="52" spans="1:7" ht="15.5" x14ac:dyDescent="0.35">
      <c r="A52" s="174"/>
      <c r="B52" s="174" t="s">
        <v>387</v>
      </c>
      <c r="C52" s="175">
        <v>1</v>
      </c>
      <c r="D52" s="181">
        <f>C52*ราคาวัสดุ!D7</f>
        <v>140</v>
      </c>
      <c r="E52" s="175">
        <v>1</v>
      </c>
      <c r="F52" s="181">
        <f>E52*ราคาวัสดุ!D7</f>
        <v>140</v>
      </c>
      <c r="G52" s="182" t="s">
        <v>489</v>
      </c>
    </row>
    <row r="53" spans="1:7" ht="15.5" x14ac:dyDescent="0.35">
      <c r="A53" s="174"/>
      <c r="B53" s="174" t="s">
        <v>597</v>
      </c>
      <c r="C53" s="175">
        <v>3</v>
      </c>
      <c r="D53" s="181">
        <f>C53*ราคาวัสดุ!D8</f>
        <v>420</v>
      </c>
      <c r="E53" s="175">
        <v>3</v>
      </c>
      <c r="F53" s="181">
        <f>E53*ราคาวัสดุ!D8</f>
        <v>420</v>
      </c>
      <c r="G53" s="182" t="s">
        <v>489</v>
      </c>
    </row>
    <row r="54" spans="1:7" ht="15.5" x14ac:dyDescent="0.35">
      <c r="A54" s="174"/>
      <c r="B54" s="174" t="s">
        <v>599</v>
      </c>
      <c r="C54" s="175">
        <v>10</v>
      </c>
      <c r="D54" s="181">
        <f>C54*ราคาวัสดุ!D9</f>
        <v>1100</v>
      </c>
      <c r="E54" s="175">
        <v>10</v>
      </c>
      <c r="F54" s="181">
        <f>E54*ราคาวัสดุ!D9</f>
        <v>1100</v>
      </c>
      <c r="G54" s="182" t="s">
        <v>489</v>
      </c>
    </row>
    <row r="55" spans="1:7" ht="15.5" x14ac:dyDescent="0.35">
      <c r="A55" s="174"/>
      <c r="B55" s="174" t="s">
        <v>2243</v>
      </c>
      <c r="C55" s="175">
        <v>17</v>
      </c>
      <c r="D55" s="181">
        <f>C55*ราคาวัสดุ!D10</f>
        <v>255</v>
      </c>
      <c r="E55" s="175">
        <v>17</v>
      </c>
      <c r="F55" s="181">
        <f>E55*ราคาวัสดุ!D10</f>
        <v>255</v>
      </c>
      <c r="G55" s="182" t="s">
        <v>487</v>
      </c>
    </row>
    <row r="56" spans="1:7" ht="16.5" x14ac:dyDescent="0.55000000000000004">
      <c r="B56" s="174" t="s">
        <v>620</v>
      </c>
      <c r="C56" s="175">
        <v>24</v>
      </c>
      <c r="D56" s="183">
        <f>C56*ราคาวัสดุ!D19</f>
        <v>67200</v>
      </c>
      <c r="E56" s="175">
        <v>24</v>
      </c>
      <c r="F56" s="183">
        <f>E56*ราคาวัสดุ!D19</f>
        <v>67200</v>
      </c>
      <c r="G56" s="182" t="s">
        <v>621</v>
      </c>
    </row>
    <row r="57" spans="1:7" ht="15.5" x14ac:dyDescent="0.35">
      <c r="A57" s="457" t="s">
        <v>2254</v>
      </c>
      <c r="B57" s="411"/>
      <c r="C57" s="411"/>
      <c r="D57" s="184">
        <f>SUM(D49:D56)</f>
        <v>89595</v>
      </c>
      <c r="E57" s="456"/>
      <c r="F57" s="184">
        <f>SUM(F49:F56)</f>
        <v>89298</v>
      </c>
    </row>
    <row r="59" spans="1:7" ht="15.5" x14ac:dyDescent="0.35">
      <c r="A59" s="458" t="s">
        <v>2255</v>
      </c>
      <c r="B59" s="411"/>
      <c r="C59" s="411"/>
      <c r="D59" s="411"/>
      <c r="E59" s="411"/>
      <c r="F59" s="411"/>
      <c r="G59" s="411"/>
    </row>
    <row r="60" spans="1:7" ht="15.5" x14ac:dyDescent="0.35">
      <c r="A60" s="174"/>
      <c r="B60" s="174" t="s">
        <v>590</v>
      </c>
      <c r="C60" s="175">
        <v>16</v>
      </c>
      <c r="D60" s="181">
        <f>C60*ราคาวัสดุ!D4</f>
        <v>19520</v>
      </c>
      <c r="E60" s="175">
        <v>16</v>
      </c>
      <c r="F60" s="181">
        <f>E60*ราคาวัสดุ!D4</f>
        <v>19520</v>
      </c>
      <c r="G60" s="182" t="s">
        <v>489</v>
      </c>
    </row>
    <row r="61" spans="1:7" ht="15.5" x14ac:dyDescent="0.35">
      <c r="A61" s="174"/>
      <c r="B61" s="174" t="s">
        <v>2241</v>
      </c>
      <c r="C61" s="175">
        <v>7</v>
      </c>
      <c r="D61" s="181">
        <f>C61*ราคาวัสดุ!D5</f>
        <v>5390</v>
      </c>
      <c r="E61" s="175">
        <v>0</v>
      </c>
      <c r="F61" s="181">
        <v>0</v>
      </c>
      <c r="G61" s="182" t="s">
        <v>489</v>
      </c>
    </row>
    <row r="62" spans="1:7" ht="15.5" x14ac:dyDescent="0.35">
      <c r="A62" s="174"/>
      <c r="B62" s="174" t="s">
        <v>2242</v>
      </c>
      <c r="C62" s="175">
        <v>0</v>
      </c>
      <c r="D62" s="181">
        <f>C62*ราคาวัสดุ!D6</f>
        <v>0</v>
      </c>
      <c r="E62" s="175">
        <v>14</v>
      </c>
      <c r="F62" s="181">
        <f>E62*ราคาวัสดุ!D6</f>
        <v>5502</v>
      </c>
      <c r="G62" s="182" t="s">
        <v>489</v>
      </c>
    </row>
    <row r="63" spans="1:7" ht="15.5" x14ac:dyDescent="0.35">
      <c r="A63" s="174"/>
      <c r="B63" s="174" t="s">
        <v>387</v>
      </c>
      <c r="C63" s="175">
        <v>1</v>
      </c>
      <c r="D63" s="181">
        <f>C63*ราคาวัสดุ!D7</f>
        <v>140</v>
      </c>
      <c r="E63" s="175">
        <v>1</v>
      </c>
      <c r="F63" s="181">
        <f>E63*ราคาวัสดุ!D7</f>
        <v>140</v>
      </c>
      <c r="G63" s="182" t="s">
        <v>489</v>
      </c>
    </row>
    <row r="64" spans="1:7" ht="15.5" x14ac:dyDescent="0.35">
      <c r="A64" s="174"/>
      <c r="B64" s="174" t="s">
        <v>597</v>
      </c>
      <c r="C64" s="175">
        <v>4</v>
      </c>
      <c r="D64" s="181">
        <f>C64*ราคาวัสดุ!D8</f>
        <v>560</v>
      </c>
      <c r="E64" s="175">
        <v>4</v>
      </c>
      <c r="F64" s="181">
        <f>E64*ราคาวัสดุ!D8</f>
        <v>560</v>
      </c>
      <c r="G64" s="182" t="s">
        <v>489</v>
      </c>
    </row>
    <row r="65" spans="1:7" ht="15.5" x14ac:dyDescent="0.35">
      <c r="A65" s="174"/>
      <c r="B65" s="174" t="s">
        <v>599</v>
      </c>
      <c r="C65" s="175">
        <v>13</v>
      </c>
      <c r="D65" s="181">
        <f>C65*ราคาวัสดุ!D9</f>
        <v>1430</v>
      </c>
      <c r="E65" s="175">
        <v>13</v>
      </c>
      <c r="F65" s="181">
        <f>E65*ราคาวัสดุ!D9</f>
        <v>1430</v>
      </c>
      <c r="G65" s="182" t="s">
        <v>489</v>
      </c>
    </row>
    <row r="66" spans="1:7" ht="15.5" x14ac:dyDescent="0.35">
      <c r="A66" s="174"/>
      <c r="B66" s="174" t="s">
        <v>2243</v>
      </c>
      <c r="C66" s="175">
        <v>21</v>
      </c>
      <c r="D66" s="181">
        <f>C66*ราคาวัสดุ!D10</f>
        <v>315</v>
      </c>
      <c r="E66" s="175">
        <v>21</v>
      </c>
      <c r="F66" s="181">
        <f>E66*ราคาวัสดุ!D10</f>
        <v>315</v>
      </c>
      <c r="G66" s="182" t="s">
        <v>487</v>
      </c>
    </row>
    <row r="67" spans="1:7" ht="16.5" x14ac:dyDescent="0.55000000000000004">
      <c r="B67" s="174" t="s">
        <v>620</v>
      </c>
      <c r="C67" s="175">
        <v>30</v>
      </c>
      <c r="D67" s="183">
        <f>C67*ราคาวัสดุ!D19</f>
        <v>84000</v>
      </c>
      <c r="E67" s="175">
        <v>30</v>
      </c>
      <c r="F67" s="183">
        <f>E67*ราคาวัสดุ!D19</f>
        <v>84000</v>
      </c>
      <c r="G67" s="182" t="s">
        <v>621</v>
      </c>
    </row>
    <row r="68" spans="1:7" ht="15.5" x14ac:dyDescent="0.35">
      <c r="A68" s="457" t="s">
        <v>2256</v>
      </c>
      <c r="B68" s="411"/>
      <c r="C68" s="411"/>
      <c r="D68" s="184">
        <f>SUM(D60:D67)</f>
        <v>111355</v>
      </c>
      <c r="E68" s="456"/>
      <c r="F68" s="184">
        <f>SUM(F60:F67)</f>
        <v>111467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E57"/>
    <mergeCell ref="A46:C46"/>
    <mergeCell ref="A4:G4"/>
    <mergeCell ref="B2:B3"/>
    <mergeCell ref="A57:C57"/>
    <mergeCell ref="A48:G48"/>
  </mergeCells>
  <hyperlinks>
    <hyperlink ref="G1" location="'สารบัญ'!A1" display="🏠 สารบัญ" xr:uid="{00000000-0004-0000-3100-000000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A6A6A6"/>
  </sheetPr>
  <dimension ref="A1:H68"/>
  <sheetViews>
    <sheetView workbookViewId="0"/>
  </sheetViews>
  <sheetFormatPr defaultRowHeight="14.5" x14ac:dyDescent="0.35"/>
  <cols>
    <col min="1" max="1" width="46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2263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623</v>
      </c>
      <c r="C12" s="175">
        <v>4.5</v>
      </c>
      <c r="D12" s="183">
        <f>C12*ราคาวัสดุ!D20</f>
        <v>9450</v>
      </c>
      <c r="E12" s="175">
        <v>4.5</v>
      </c>
      <c r="F12" s="183">
        <f>E12*ราคาวัสดุ!D20</f>
        <v>9450</v>
      </c>
      <c r="G12" s="182" t="s">
        <v>621</v>
      </c>
    </row>
    <row r="13" spans="1:8" ht="15.5" x14ac:dyDescent="0.35">
      <c r="A13" s="457" t="s">
        <v>2246</v>
      </c>
      <c r="B13" s="411"/>
      <c r="C13" s="411"/>
      <c r="D13" s="184">
        <f>SUM(D5:D12)</f>
        <v>14610</v>
      </c>
      <c r="E13" s="456"/>
      <c r="F13" s="184">
        <f>SUM(F5:F12)</f>
        <v>14626</v>
      </c>
    </row>
    <row r="15" spans="1:8" ht="15.5" x14ac:dyDescent="0.35">
      <c r="A15" s="458" t="s">
        <v>2247</v>
      </c>
      <c r="B15" s="411"/>
      <c r="C15" s="411"/>
      <c r="D15" s="411"/>
      <c r="E15" s="411"/>
      <c r="F15" s="411"/>
      <c r="G15" s="411"/>
    </row>
    <row r="16" spans="1:8" ht="15.5" x14ac:dyDescent="0.35">
      <c r="A16" s="174"/>
      <c r="B16" s="174" t="s">
        <v>590</v>
      </c>
      <c r="C16" s="175">
        <v>5</v>
      </c>
      <c r="D16" s="181">
        <f>C16*ราคาวัสดุ!D4</f>
        <v>6100</v>
      </c>
      <c r="E16" s="175">
        <v>5</v>
      </c>
      <c r="F16" s="181">
        <f>E16*ราคาวัสดุ!D4</f>
        <v>6100</v>
      </c>
      <c r="G16" s="182" t="s">
        <v>489</v>
      </c>
    </row>
    <row r="17" spans="1:7" ht="15.5" x14ac:dyDescent="0.35">
      <c r="A17" s="174"/>
      <c r="B17" s="174" t="s">
        <v>2241</v>
      </c>
      <c r="C17" s="175">
        <v>2</v>
      </c>
      <c r="D17" s="181">
        <f>C17*ราคาวัสดุ!D5</f>
        <v>1540</v>
      </c>
      <c r="E17" s="175">
        <v>0</v>
      </c>
      <c r="F17" s="181">
        <v>0</v>
      </c>
      <c r="G17" s="182" t="s">
        <v>489</v>
      </c>
    </row>
    <row r="18" spans="1:7" ht="15.5" x14ac:dyDescent="0.35">
      <c r="A18" s="174"/>
      <c r="B18" s="174" t="s">
        <v>2242</v>
      </c>
      <c r="C18" s="175">
        <v>0</v>
      </c>
      <c r="D18" s="181">
        <f>C18*ราคาวัสดุ!D6</f>
        <v>0</v>
      </c>
      <c r="E18" s="175">
        <v>4</v>
      </c>
      <c r="F18" s="181">
        <f>E18*ราคาวัสดุ!D6</f>
        <v>1572</v>
      </c>
      <c r="G18" s="182" t="s">
        <v>489</v>
      </c>
    </row>
    <row r="19" spans="1:7" ht="15.5" x14ac:dyDescent="0.35">
      <c r="A19" s="174"/>
      <c r="B19" s="174" t="s">
        <v>387</v>
      </c>
      <c r="C19" s="175">
        <v>1</v>
      </c>
      <c r="D19" s="181">
        <f>C19*ราคาวัสดุ!D7</f>
        <v>140</v>
      </c>
      <c r="E19" s="175">
        <v>1</v>
      </c>
      <c r="F19" s="181">
        <f>E19*ราคาวัสดุ!D7</f>
        <v>140</v>
      </c>
      <c r="G19" s="182" t="s">
        <v>489</v>
      </c>
    </row>
    <row r="20" spans="1:7" ht="15.5" x14ac:dyDescent="0.35">
      <c r="A20" s="174"/>
      <c r="B20" s="174" t="s">
        <v>597</v>
      </c>
      <c r="C20" s="175">
        <v>1</v>
      </c>
      <c r="D20" s="181">
        <f>C20*ราคาวัสดุ!D8</f>
        <v>140</v>
      </c>
      <c r="E20" s="175">
        <v>1</v>
      </c>
      <c r="F20" s="181">
        <f>E20*ราคาวัสดุ!D8</f>
        <v>140</v>
      </c>
      <c r="G20" s="182" t="s">
        <v>489</v>
      </c>
    </row>
    <row r="21" spans="1:7" ht="15.5" x14ac:dyDescent="0.35">
      <c r="A21" s="174"/>
      <c r="B21" s="174" t="s">
        <v>599</v>
      </c>
      <c r="C21" s="175">
        <v>4</v>
      </c>
      <c r="D21" s="181">
        <f>C21*ราคาวัสดุ!D9</f>
        <v>440</v>
      </c>
      <c r="E21" s="175">
        <v>4</v>
      </c>
      <c r="F21" s="181">
        <f>E21*ราคาวัสดุ!D9</f>
        <v>440</v>
      </c>
      <c r="G21" s="182" t="s">
        <v>489</v>
      </c>
    </row>
    <row r="22" spans="1:7" ht="15.5" x14ac:dyDescent="0.35">
      <c r="A22" s="174"/>
      <c r="B22" s="174" t="s">
        <v>2243</v>
      </c>
      <c r="C22" s="175">
        <v>14</v>
      </c>
      <c r="D22" s="181">
        <f>C22*ราคาวัสดุ!D10</f>
        <v>210</v>
      </c>
      <c r="E22" s="175">
        <v>14</v>
      </c>
      <c r="F22" s="181">
        <f>E22*ราคาวัสดุ!D10</f>
        <v>210</v>
      </c>
      <c r="G22" s="182" t="s">
        <v>487</v>
      </c>
    </row>
    <row r="23" spans="1:7" ht="16.5" x14ac:dyDescent="0.55000000000000004">
      <c r="B23" s="174" t="s">
        <v>623</v>
      </c>
      <c r="C23" s="175">
        <v>9</v>
      </c>
      <c r="D23" s="183">
        <f>C23*ราคาวัสดุ!D20</f>
        <v>18900</v>
      </c>
      <c r="E23" s="175">
        <v>9</v>
      </c>
      <c r="F23" s="183">
        <f>E23*ราคาวัสดุ!D20</f>
        <v>18900</v>
      </c>
      <c r="G23" s="182" t="s">
        <v>621</v>
      </c>
    </row>
    <row r="24" spans="1:7" ht="15.5" x14ac:dyDescent="0.35">
      <c r="A24" s="457" t="s">
        <v>2248</v>
      </c>
      <c r="B24" s="411"/>
      <c r="C24" s="411"/>
      <c r="D24" s="184">
        <f>SUM(D16:D23)</f>
        <v>27470</v>
      </c>
      <c r="E24" s="456"/>
      <c r="F24" s="184">
        <f>SUM(F16:F23)</f>
        <v>27502</v>
      </c>
    </row>
    <row r="26" spans="1:7" ht="15.5" x14ac:dyDescent="0.35">
      <c r="A26" s="458" t="s">
        <v>2249</v>
      </c>
      <c r="B26" s="411"/>
      <c r="C26" s="411"/>
      <c r="D26" s="411"/>
      <c r="E26" s="411"/>
      <c r="F26" s="411"/>
      <c r="G26" s="411"/>
    </row>
    <row r="27" spans="1:7" ht="15.5" x14ac:dyDescent="0.35">
      <c r="A27" s="174"/>
      <c r="B27" s="174" t="s">
        <v>590</v>
      </c>
      <c r="C27" s="175">
        <v>7</v>
      </c>
      <c r="D27" s="181">
        <f>C27*ราคาวัสดุ!D4</f>
        <v>8540</v>
      </c>
      <c r="E27" s="175">
        <v>7</v>
      </c>
      <c r="F27" s="181">
        <f>E27*ราคาวัสดุ!D4</f>
        <v>8540</v>
      </c>
      <c r="G27" s="182" t="s">
        <v>489</v>
      </c>
    </row>
    <row r="28" spans="1:7" ht="15.5" x14ac:dyDescent="0.35">
      <c r="A28" s="174"/>
      <c r="B28" s="174" t="s">
        <v>2241</v>
      </c>
      <c r="C28" s="175">
        <v>3</v>
      </c>
      <c r="D28" s="181">
        <f>C28*ราคาวัสดุ!D5</f>
        <v>2310</v>
      </c>
      <c r="E28" s="175">
        <v>0</v>
      </c>
      <c r="F28" s="181">
        <v>0</v>
      </c>
      <c r="G28" s="182" t="s">
        <v>489</v>
      </c>
    </row>
    <row r="29" spans="1:7" ht="15.5" x14ac:dyDescent="0.35">
      <c r="A29" s="174"/>
      <c r="B29" s="174" t="s">
        <v>2242</v>
      </c>
      <c r="C29" s="175">
        <v>0</v>
      </c>
      <c r="D29" s="181">
        <f>C29*ราคาวัสดุ!D6</f>
        <v>0</v>
      </c>
      <c r="E29" s="175">
        <v>6</v>
      </c>
      <c r="F29" s="181">
        <f>E29*ราคาวัสดุ!D6</f>
        <v>2358</v>
      </c>
      <c r="G29" s="182" t="s">
        <v>489</v>
      </c>
    </row>
    <row r="30" spans="1:7" ht="15.5" x14ac:dyDescent="0.35">
      <c r="A30" s="174"/>
      <c r="B30" s="174" t="s">
        <v>387</v>
      </c>
      <c r="C30" s="175">
        <v>1</v>
      </c>
      <c r="D30" s="181">
        <f>C30*ราคาวัสดุ!D7</f>
        <v>140</v>
      </c>
      <c r="E30" s="175">
        <v>1</v>
      </c>
      <c r="F30" s="181">
        <f>E30*ราคาวัสดุ!D7</f>
        <v>140</v>
      </c>
      <c r="G30" s="182" t="s">
        <v>489</v>
      </c>
    </row>
    <row r="31" spans="1:7" ht="15.5" x14ac:dyDescent="0.35">
      <c r="A31" s="174"/>
      <c r="B31" s="174" t="s">
        <v>597</v>
      </c>
      <c r="C31" s="175">
        <v>2</v>
      </c>
      <c r="D31" s="181">
        <f>C31*ราคาวัสดุ!D8</f>
        <v>280</v>
      </c>
      <c r="E31" s="175">
        <v>2</v>
      </c>
      <c r="F31" s="181">
        <f>E31*ราคาวัสดุ!D8</f>
        <v>280</v>
      </c>
      <c r="G31" s="182" t="s">
        <v>489</v>
      </c>
    </row>
    <row r="32" spans="1:7" ht="15.5" x14ac:dyDescent="0.35">
      <c r="A32" s="174"/>
      <c r="B32" s="174" t="s">
        <v>599</v>
      </c>
      <c r="C32" s="175">
        <v>6</v>
      </c>
      <c r="D32" s="181">
        <f>C32*ราคาวัสดุ!D9</f>
        <v>660</v>
      </c>
      <c r="E32" s="175">
        <v>6</v>
      </c>
      <c r="F32" s="181">
        <f>E32*ราคาวัสดุ!D9</f>
        <v>660</v>
      </c>
      <c r="G32" s="182" t="s">
        <v>489</v>
      </c>
    </row>
    <row r="33" spans="1:7" ht="15.5" x14ac:dyDescent="0.35">
      <c r="A33" s="174"/>
      <c r="B33" s="174" t="s">
        <v>2243</v>
      </c>
      <c r="C33" s="175">
        <v>12</v>
      </c>
      <c r="D33" s="181">
        <f>C33*ราคาวัสดุ!D10</f>
        <v>180</v>
      </c>
      <c r="E33" s="175">
        <v>12</v>
      </c>
      <c r="F33" s="181">
        <f>E33*ราคาวัสดุ!D10</f>
        <v>180</v>
      </c>
      <c r="G33" s="182" t="s">
        <v>487</v>
      </c>
    </row>
    <row r="34" spans="1:7" ht="16.5" x14ac:dyDescent="0.55000000000000004">
      <c r="B34" s="174" t="s">
        <v>623</v>
      </c>
      <c r="C34" s="175">
        <v>13.5</v>
      </c>
      <c r="D34" s="183">
        <f>C34*ราคาวัสดุ!D20</f>
        <v>28350</v>
      </c>
      <c r="E34" s="175">
        <v>13.5</v>
      </c>
      <c r="F34" s="183">
        <f>E34*ราคาวัสดุ!D20</f>
        <v>28350</v>
      </c>
      <c r="G34" s="182" t="s">
        <v>621</v>
      </c>
    </row>
    <row r="35" spans="1:7" ht="15.5" x14ac:dyDescent="0.35">
      <c r="A35" s="457" t="s">
        <v>2250</v>
      </c>
      <c r="B35" s="411"/>
      <c r="C35" s="411"/>
      <c r="D35" s="184">
        <f>SUM(D27:D34)</f>
        <v>40460</v>
      </c>
      <c r="E35" s="456"/>
      <c r="F35" s="184">
        <f>SUM(F27:F34)</f>
        <v>40508</v>
      </c>
    </row>
    <row r="37" spans="1:7" ht="15.5" x14ac:dyDescent="0.35">
      <c r="A37" s="458" t="s">
        <v>2251</v>
      </c>
      <c r="B37" s="411"/>
      <c r="C37" s="411"/>
      <c r="D37" s="411"/>
      <c r="E37" s="411"/>
      <c r="F37" s="411"/>
      <c r="G37" s="411"/>
    </row>
    <row r="38" spans="1:7" ht="15.5" x14ac:dyDescent="0.35">
      <c r="A38" s="174"/>
      <c r="B38" s="174" t="s">
        <v>590</v>
      </c>
      <c r="C38" s="175">
        <v>10</v>
      </c>
      <c r="D38" s="181">
        <f>C38*ราคาวัสดุ!D4</f>
        <v>12200</v>
      </c>
      <c r="E38" s="175">
        <v>10</v>
      </c>
      <c r="F38" s="181">
        <f>E38*ราคาวัสดุ!D4</f>
        <v>12200</v>
      </c>
      <c r="G38" s="182" t="s">
        <v>489</v>
      </c>
    </row>
    <row r="39" spans="1:7" ht="15.5" x14ac:dyDescent="0.35">
      <c r="A39" s="174"/>
      <c r="B39" s="174" t="s">
        <v>2241</v>
      </c>
      <c r="C39" s="175">
        <v>4</v>
      </c>
      <c r="D39" s="181">
        <f>C39*ราคาวัสดุ!D5</f>
        <v>3080</v>
      </c>
      <c r="E39" s="175">
        <v>0</v>
      </c>
      <c r="F39" s="181">
        <v>0</v>
      </c>
      <c r="G39" s="182" t="s">
        <v>489</v>
      </c>
    </row>
    <row r="40" spans="1:7" ht="15.5" x14ac:dyDescent="0.35">
      <c r="A40" s="174"/>
      <c r="B40" s="174" t="s">
        <v>2242</v>
      </c>
      <c r="C40" s="175">
        <v>0</v>
      </c>
      <c r="D40" s="181">
        <f>C40*ราคาวัสดุ!D6</f>
        <v>0</v>
      </c>
      <c r="E40" s="175">
        <v>8</v>
      </c>
      <c r="F40" s="181">
        <f>E40*ราคาวัสดุ!D6</f>
        <v>3144</v>
      </c>
      <c r="G40" s="182" t="s">
        <v>489</v>
      </c>
    </row>
    <row r="41" spans="1:7" ht="15.5" x14ac:dyDescent="0.35">
      <c r="A41" s="174"/>
      <c r="B41" s="174" t="s">
        <v>387</v>
      </c>
      <c r="C41" s="175">
        <v>1</v>
      </c>
      <c r="D41" s="181">
        <f>C41*ราคาวัสดุ!D7</f>
        <v>140</v>
      </c>
      <c r="E41" s="175">
        <v>1</v>
      </c>
      <c r="F41" s="181">
        <f>E41*ราคาวัสดุ!D7</f>
        <v>140</v>
      </c>
      <c r="G41" s="182" t="s">
        <v>489</v>
      </c>
    </row>
    <row r="42" spans="1:7" ht="15.5" x14ac:dyDescent="0.35">
      <c r="A42" s="174"/>
      <c r="B42" s="174" t="s">
        <v>597</v>
      </c>
      <c r="C42" s="175">
        <v>2</v>
      </c>
      <c r="D42" s="181">
        <f>C42*ราคาวัสดุ!D8</f>
        <v>280</v>
      </c>
      <c r="E42" s="175">
        <v>2</v>
      </c>
      <c r="F42" s="181">
        <f>E42*ราคาวัสดุ!D8</f>
        <v>280</v>
      </c>
      <c r="G42" s="182" t="s">
        <v>489</v>
      </c>
    </row>
    <row r="43" spans="1:7" ht="15.5" x14ac:dyDescent="0.35">
      <c r="A43" s="174"/>
      <c r="B43" s="174" t="s">
        <v>599</v>
      </c>
      <c r="C43" s="175">
        <v>8</v>
      </c>
      <c r="D43" s="181">
        <f>C43*ราคาวัสดุ!D9</f>
        <v>880</v>
      </c>
      <c r="E43" s="175">
        <v>8</v>
      </c>
      <c r="F43" s="181">
        <f>E43*ราคาวัสดุ!D9</f>
        <v>880</v>
      </c>
      <c r="G43" s="182" t="s">
        <v>489</v>
      </c>
    </row>
    <row r="44" spans="1:7" ht="15.5" x14ac:dyDescent="0.35">
      <c r="A44" s="174"/>
      <c r="B44" s="174" t="s">
        <v>2243</v>
      </c>
      <c r="C44" s="175">
        <v>13</v>
      </c>
      <c r="D44" s="181">
        <f>C44*ราคาวัสดุ!D10</f>
        <v>195</v>
      </c>
      <c r="E44" s="175">
        <v>13</v>
      </c>
      <c r="F44" s="181">
        <f>E44*ราคาวัสดุ!D10</f>
        <v>195</v>
      </c>
      <c r="G44" s="182" t="s">
        <v>487</v>
      </c>
    </row>
    <row r="45" spans="1:7" ht="16.5" x14ac:dyDescent="0.55000000000000004">
      <c r="B45" s="174" t="s">
        <v>623</v>
      </c>
      <c r="C45" s="175">
        <v>18</v>
      </c>
      <c r="D45" s="183">
        <f>C45*ราคาวัสดุ!D20</f>
        <v>37800</v>
      </c>
      <c r="E45" s="175">
        <v>18</v>
      </c>
      <c r="F45" s="183">
        <f>E45*ราคาวัสดุ!D20</f>
        <v>37800</v>
      </c>
      <c r="G45" s="182" t="s">
        <v>621</v>
      </c>
    </row>
    <row r="46" spans="1:7" ht="15.5" x14ac:dyDescent="0.35">
      <c r="A46" s="457" t="s">
        <v>2252</v>
      </c>
      <c r="B46" s="411"/>
      <c r="C46" s="411"/>
      <c r="D46" s="184">
        <f>SUM(D38:D45)</f>
        <v>54575</v>
      </c>
      <c r="E46" s="456"/>
      <c r="F46" s="184">
        <f>SUM(F38:F45)</f>
        <v>54639</v>
      </c>
    </row>
    <row r="48" spans="1:7" ht="15.5" x14ac:dyDescent="0.35">
      <c r="A48" s="458" t="s">
        <v>2253</v>
      </c>
      <c r="B48" s="411"/>
      <c r="C48" s="411"/>
      <c r="D48" s="411"/>
      <c r="E48" s="411"/>
      <c r="F48" s="411"/>
      <c r="G48" s="411"/>
    </row>
    <row r="49" spans="1:7" ht="15.5" x14ac:dyDescent="0.35">
      <c r="A49" s="174"/>
      <c r="B49" s="174" t="s">
        <v>590</v>
      </c>
      <c r="C49" s="175">
        <v>13</v>
      </c>
      <c r="D49" s="181">
        <f>C49*ราคาวัสดุ!D4</f>
        <v>15860</v>
      </c>
      <c r="E49" s="175">
        <v>13</v>
      </c>
      <c r="F49" s="181">
        <f>E49*ราคาวัสดุ!D4</f>
        <v>15860</v>
      </c>
      <c r="G49" s="182" t="s">
        <v>489</v>
      </c>
    </row>
    <row r="50" spans="1:7" ht="15.5" x14ac:dyDescent="0.35">
      <c r="A50" s="174"/>
      <c r="B50" s="174" t="s">
        <v>2241</v>
      </c>
      <c r="C50" s="175">
        <v>6</v>
      </c>
      <c r="D50" s="181">
        <f>C50*ราคาวัสดุ!D5</f>
        <v>4620</v>
      </c>
      <c r="E50" s="175">
        <v>0</v>
      </c>
      <c r="F50" s="181">
        <v>0</v>
      </c>
      <c r="G50" s="182" t="s">
        <v>489</v>
      </c>
    </row>
    <row r="51" spans="1:7" ht="15.5" x14ac:dyDescent="0.35">
      <c r="A51" s="174"/>
      <c r="B51" s="174" t="s">
        <v>2242</v>
      </c>
      <c r="C51" s="175">
        <v>0</v>
      </c>
      <c r="D51" s="181">
        <f>C51*ราคาวัสดุ!D6</f>
        <v>0</v>
      </c>
      <c r="E51" s="175">
        <v>11</v>
      </c>
      <c r="F51" s="181">
        <f>E51*ราคาวัสดุ!D6</f>
        <v>4323</v>
      </c>
      <c r="G51" s="182" t="s">
        <v>489</v>
      </c>
    </row>
    <row r="52" spans="1:7" ht="15.5" x14ac:dyDescent="0.35">
      <c r="A52" s="174"/>
      <c r="B52" s="174" t="s">
        <v>387</v>
      </c>
      <c r="C52" s="175">
        <v>1</v>
      </c>
      <c r="D52" s="181">
        <f>C52*ราคาวัสดุ!D7</f>
        <v>140</v>
      </c>
      <c r="E52" s="175">
        <v>1</v>
      </c>
      <c r="F52" s="181">
        <f>E52*ราคาวัสดุ!D7</f>
        <v>140</v>
      </c>
      <c r="G52" s="182" t="s">
        <v>489</v>
      </c>
    </row>
    <row r="53" spans="1:7" ht="15.5" x14ac:dyDescent="0.35">
      <c r="A53" s="174"/>
      <c r="B53" s="174" t="s">
        <v>597</v>
      </c>
      <c r="C53" s="175">
        <v>3</v>
      </c>
      <c r="D53" s="181">
        <f>C53*ราคาวัสดุ!D8</f>
        <v>420</v>
      </c>
      <c r="E53" s="175">
        <v>3</v>
      </c>
      <c r="F53" s="181">
        <f>E53*ราคาวัสดุ!D8</f>
        <v>420</v>
      </c>
      <c r="G53" s="182" t="s">
        <v>489</v>
      </c>
    </row>
    <row r="54" spans="1:7" ht="15.5" x14ac:dyDescent="0.35">
      <c r="A54" s="174"/>
      <c r="B54" s="174" t="s">
        <v>599</v>
      </c>
      <c r="C54" s="175">
        <v>10</v>
      </c>
      <c r="D54" s="181">
        <f>C54*ราคาวัสดุ!D9</f>
        <v>1100</v>
      </c>
      <c r="E54" s="175">
        <v>10</v>
      </c>
      <c r="F54" s="181">
        <f>E54*ราคาวัสดุ!D9</f>
        <v>1100</v>
      </c>
      <c r="G54" s="182" t="s">
        <v>489</v>
      </c>
    </row>
    <row r="55" spans="1:7" ht="15.5" x14ac:dyDescent="0.35">
      <c r="A55" s="174"/>
      <c r="B55" s="174" t="s">
        <v>2243</v>
      </c>
      <c r="C55" s="175">
        <v>17</v>
      </c>
      <c r="D55" s="181">
        <f>C55*ราคาวัสดุ!D10</f>
        <v>255</v>
      </c>
      <c r="E55" s="175">
        <v>17</v>
      </c>
      <c r="F55" s="181">
        <f>E55*ราคาวัสดุ!D10</f>
        <v>255</v>
      </c>
      <c r="G55" s="182" t="s">
        <v>487</v>
      </c>
    </row>
    <row r="56" spans="1:7" ht="16.5" x14ac:dyDescent="0.55000000000000004">
      <c r="B56" s="174" t="s">
        <v>623</v>
      </c>
      <c r="C56" s="175">
        <v>24</v>
      </c>
      <c r="D56" s="183">
        <f>C56*ราคาวัสดุ!D20</f>
        <v>50400</v>
      </c>
      <c r="E56" s="175">
        <v>24</v>
      </c>
      <c r="F56" s="183">
        <f>E56*ราคาวัสดุ!D20</f>
        <v>50400</v>
      </c>
      <c r="G56" s="182" t="s">
        <v>621</v>
      </c>
    </row>
    <row r="57" spans="1:7" ht="15.5" x14ac:dyDescent="0.35">
      <c r="A57" s="457" t="s">
        <v>2254</v>
      </c>
      <c r="B57" s="411"/>
      <c r="C57" s="411"/>
      <c r="D57" s="184">
        <f>SUM(D49:D56)</f>
        <v>72795</v>
      </c>
      <c r="E57" s="456"/>
      <c r="F57" s="184">
        <f>SUM(F49:F56)</f>
        <v>72498</v>
      </c>
    </row>
    <row r="59" spans="1:7" ht="15.5" x14ac:dyDescent="0.35">
      <c r="A59" s="458" t="s">
        <v>2255</v>
      </c>
      <c r="B59" s="411"/>
      <c r="C59" s="411"/>
      <c r="D59" s="411"/>
      <c r="E59" s="411"/>
      <c r="F59" s="411"/>
      <c r="G59" s="411"/>
    </row>
    <row r="60" spans="1:7" ht="15.5" x14ac:dyDescent="0.35">
      <c r="A60" s="174"/>
      <c r="B60" s="174" t="s">
        <v>590</v>
      </c>
      <c r="C60" s="175">
        <v>16</v>
      </c>
      <c r="D60" s="181">
        <f>C60*ราคาวัสดุ!D4</f>
        <v>19520</v>
      </c>
      <c r="E60" s="175">
        <v>16</v>
      </c>
      <c r="F60" s="181">
        <f>E60*ราคาวัสดุ!D4</f>
        <v>19520</v>
      </c>
      <c r="G60" s="182" t="s">
        <v>489</v>
      </c>
    </row>
    <row r="61" spans="1:7" ht="15.5" x14ac:dyDescent="0.35">
      <c r="A61" s="174"/>
      <c r="B61" s="174" t="s">
        <v>2241</v>
      </c>
      <c r="C61" s="175">
        <v>7</v>
      </c>
      <c r="D61" s="181">
        <f>C61*ราคาวัสดุ!D5</f>
        <v>5390</v>
      </c>
      <c r="E61" s="175">
        <v>0</v>
      </c>
      <c r="F61" s="181">
        <v>0</v>
      </c>
      <c r="G61" s="182" t="s">
        <v>489</v>
      </c>
    </row>
    <row r="62" spans="1:7" ht="15.5" x14ac:dyDescent="0.35">
      <c r="A62" s="174"/>
      <c r="B62" s="174" t="s">
        <v>2242</v>
      </c>
      <c r="C62" s="175">
        <v>0</v>
      </c>
      <c r="D62" s="181">
        <f>C62*ราคาวัสดุ!D6</f>
        <v>0</v>
      </c>
      <c r="E62" s="175">
        <v>14</v>
      </c>
      <c r="F62" s="181">
        <f>E62*ราคาวัสดุ!D6</f>
        <v>5502</v>
      </c>
      <c r="G62" s="182" t="s">
        <v>489</v>
      </c>
    </row>
    <row r="63" spans="1:7" ht="15.5" x14ac:dyDescent="0.35">
      <c r="A63" s="174"/>
      <c r="B63" s="174" t="s">
        <v>387</v>
      </c>
      <c r="C63" s="175">
        <v>1</v>
      </c>
      <c r="D63" s="181">
        <f>C63*ราคาวัสดุ!D7</f>
        <v>140</v>
      </c>
      <c r="E63" s="175">
        <v>1</v>
      </c>
      <c r="F63" s="181">
        <f>E63*ราคาวัสดุ!D7</f>
        <v>140</v>
      </c>
      <c r="G63" s="182" t="s">
        <v>489</v>
      </c>
    </row>
    <row r="64" spans="1:7" ht="15.5" x14ac:dyDescent="0.35">
      <c r="A64" s="174"/>
      <c r="B64" s="174" t="s">
        <v>597</v>
      </c>
      <c r="C64" s="175">
        <v>4</v>
      </c>
      <c r="D64" s="181">
        <f>C64*ราคาวัสดุ!D8</f>
        <v>560</v>
      </c>
      <c r="E64" s="175">
        <v>4</v>
      </c>
      <c r="F64" s="181">
        <f>E64*ราคาวัสดุ!D8</f>
        <v>560</v>
      </c>
      <c r="G64" s="182" t="s">
        <v>489</v>
      </c>
    </row>
    <row r="65" spans="1:7" ht="15.5" x14ac:dyDescent="0.35">
      <c r="A65" s="174"/>
      <c r="B65" s="174" t="s">
        <v>599</v>
      </c>
      <c r="C65" s="175">
        <v>13</v>
      </c>
      <c r="D65" s="181">
        <f>C65*ราคาวัสดุ!D9</f>
        <v>1430</v>
      </c>
      <c r="E65" s="175">
        <v>13</v>
      </c>
      <c r="F65" s="181">
        <f>E65*ราคาวัสดุ!D9</f>
        <v>1430</v>
      </c>
      <c r="G65" s="182" t="s">
        <v>489</v>
      </c>
    </row>
    <row r="66" spans="1:7" ht="15.5" x14ac:dyDescent="0.35">
      <c r="A66" s="174"/>
      <c r="B66" s="174" t="s">
        <v>2243</v>
      </c>
      <c r="C66" s="175">
        <v>21</v>
      </c>
      <c r="D66" s="181">
        <f>C66*ราคาวัสดุ!D10</f>
        <v>315</v>
      </c>
      <c r="E66" s="175">
        <v>21</v>
      </c>
      <c r="F66" s="181">
        <f>E66*ราคาวัสดุ!D10</f>
        <v>315</v>
      </c>
      <c r="G66" s="182" t="s">
        <v>487</v>
      </c>
    </row>
    <row r="67" spans="1:7" ht="16.5" x14ac:dyDescent="0.55000000000000004">
      <c r="B67" s="174" t="s">
        <v>623</v>
      </c>
      <c r="C67" s="175">
        <v>30</v>
      </c>
      <c r="D67" s="183">
        <f>C67*ราคาวัสดุ!D20</f>
        <v>63000</v>
      </c>
      <c r="E67" s="175">
        <v>30</v>
      </c>
      <c r="F67" s="183">
        <f>E67*ราคาวัสดุ!D20</f>
        <v>63000</v>
      </c>
      <c r="G67" s="182" t="s">
        <v>621</v>
      </c>
    </row>
    <row r="68" spans="1:7" ht="15.5" x14ac:dyDescent="0.35">
      <c r="A68" s="457" t="s">
        <v>2256</v>
      </c>
      <c r="B68" s="411"/>
      <c r="C68" s="411"/>
      <c r="D68" s="184">
        <f>SUM(D60:D67)</f>
        <v>90355</v>
      </c>
      <c r="E68" s="456"/>
      <c r="F68" s="184">
        <f>SUM(F60:F67)</f>
        <v>90467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E57"/>
    <mergeCell ref="A46:C46"/>
    <mergeCell ref="A4:G4"/>
    <mergeCell ref="B2:B3"/>
    <mergeCell ref="A57:C57"/>
    <mergeCell ref="A48:G48"/>
  </mergeCells>
  <hyperlinks>
    <hyperlink ref="G1" location="'สารบัญ'!A1" display="🏠 สารบัญ" xr:uid="{00000000-0004-0000-3200-000000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A6A6A6"/>
  </sheetPr>
  <dimension ref="A1:H68"/>
  <sheetViews>
    <sheetView workbookViewId="0"/>
  </sheetViews>
  <sheetFormatPr defaultRowHeight="14.5" x14ac:dyDescent="0.35"/>
  <cols>
    <col min="1" max="1" width="46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2264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2265</v>
      </c>
      <c r="C12" s="175">
        <v>4.5</v>
      </c>
      <c r="D12" s="183">
        <f>C12*ราคาวัสดุ!D21</f>
        <v>9900</v>
      </c>
      <c r="E12" s="175">
        <v>4.5</v>
      </c>
      <c r="F12" s="183">
        <f>E12*ราคาวัสดุ!D21</f>
        <v>9900</v>
      </c>
      <c r="G12" s="182" t="s">
        <v>621</v>
      </c>
    </row>
    <row r="13" spans="1:8" ht="15.5" x14ac:dyDescent="0.35">
      <c r="A13" s="457" t="s">
        <v>2246</v>
      </c>
      <c r="B13" s="411"/>
      <c r="C13" s="411"/>
      <c r="D13" s="184">
        <f>SUM(D5:D12)</f>
        <v>15060</v>
      </c>
      <c r="E13" s="456"/>
      <c r="F13" s="184">
        <f>SUM(F5:F12)</f>
        <v>15076</v>
      </c>
    </row>
    <row r="15" spans="1:8" ht="15.5" x14ac:dyDescent="0.35">
      <c r="A15" s="458" t="s">
        <v>2247</v>
      </c>
      <c r="B15" s="411"/>
      <c r="C15" s="411"/>
      <c r="D15" s="411"/>
      <c r="E15" s="411"/>
      <c r="F15" s="411"/>
      <c r="G15" s="411"/>
    </row>
    <row r="16" spans="1:8" ht="15.5" x14ac:dyDescent="0.35">
      <c r="A16" s="174"/>
      <c r="B16" s="174" t="s">
        <v>590</v>
      </c>
      <c r="C16" s="175">
        <v>5</v>
      </c>
      <c r="D16" s="181">
        <f>C16*ราคาวัสดุ!D4</f>
        <v>6100</v>
      </c>
      <c r="E16" s="175">
        <v>5</v>
      </c>
      <c r="F16" s="181">
        <f>E16*ราคาวัสดุ!D4</f>
        <v>6100</v>
      </c>
      <c r="G16" s="182" t="s">
        <v>489</v>
      </c>
    </row>
    <row r="17" spans="1:7" ht="15.5" x14ac:dyDescent="0.35">
      <c r="A17" s="174"/>
      <c r="B17" s="174" t="s">
        <v>2241</v>
      </c>
      <c r="C17" s="175">
        <v>2</v>
      </c>
      <c r="D17" s="181">
        <f>C17*ราคาวัสดุ!D5</f>
        <v>1540</v>
      </c>
      <c r="E17" s="175">
        <v>0</v>
      </c>
      <c r="F17" s="181">
        <v>0</v>
      </c>
      <c r="G17" s="182" t="s">
        <v>489</v>
      </c>
    </row>
    <row r="18" spans="1:7" ht="15.5" x14ac:dyDescent="0.35">
      <c r="A18" s="174"/>
      <c r="B18" s="174" t="s">
        <v>2242</v>
      </c>
      <c r="C18" s="175">
        <v>0</v>
      </c>
      <c r="D18" s="181">
        <f>C18*ราคาวัสดุ!D6</f>
        <v>0</v>
      </c>
      <c r="E18" s="175">
        <v>4</v>
      </c>
      <c r="F18" s="181">
        <f>E18*ราคาวัสดุ!D6</f>
        <v>1572</v>
      </c>
      <c r="G18" s="182" t="s">
        <v>489</v>
      </c>
    </row>
    <row r="19" spans="1:7" ht="15.5" x14ac:dyDescent="0.35">
      <c r="A19" s="174"/>
      <c r="B19" s="174" t="s">
        <v>387</v>
      </c>
      <c r="C19" s="175">
        <v>1</v>
      </c>
      <c r="D19" s="181">
        <f>C19*ราคาวัสดุ!D7</f>
        <v>140</v>
      </c>
      <c r="E19" s="175">
        <v>1</v>
      </c>
      <c r="F19" s="181">
        <f>E19*ราคาวัสดุ!D7</f>
        <v>140</v>
      </c>
      <c r="G19" s="182" t="s">
        <v>489</v>
      </c>
    </row>
    <row r="20" spans="1:7" ht="15.5" x14ac:dyDescent="0.35">
      <c r="A20" s="174"/>
      <c r="B20" s="174" t="s">
        <v>597</v>
      </c>
      <c r="C20" s="175">
        <v>1</v>
      </c>
      <c r="D20" s="181">
        <f>C20*ราคาวัสดุ!D8</f>
        <v>140</v>
      </c>
      <c r="E20" s="175">
        <v>1</v>
      </c>
      <c r="F20" s="181">
        <f>E20*ราคาวัสดุ!D8</f>
        <v>140</v>
      </c>
      <c r="G20" s="182" t="s">
        <v>489</v>
      </c>
    </row>
    <row r="21" spans="1:7" ht="15.5" x14ac:dyDescent="0.35">
      <c r="A21" s="174"/>
      <c r="B21" s="174" t="s">
        <v>599</v>
      </c>
      <c r="C21" s="175">
        <v>4</v>
      </c>
      <c r="D21" s="181">
        <f>C21*ราคาวัสดุ!D9</f>
        <v>440</v>
      </c>
      <c r="E21" s="175">
        <v>4</v>
      </c>
      <c r="F21" s="181">
        <f>E21*ราคาวัสดุ!D9</f>
        <v>440</v>
      </c>
      <c r="G21" s="182" t="s">
        <v>489</v>
      </c>
    </row>
    <row r="22" spans="1:7" ht="15.5" x14ac:dyDescent="0.35">
      <c r="A22" s="174"/>
      <c r="B22" s="174" t="s">
        <v>2243</v>
      </c>
      <c r="C22" s="175">
        <v>14</v>
      </c>
      <c r="D22" s="181">
        <f>C22*ราคาวัสดุ!D10</f>
        <v>210</v>
      </c>
      <c r="E22" s="175">
        <v>14</v>
      </c>
      <c r="F22" s="181">
        <f>E22*ราคาวัสดุ!D10</f>
        <v>210</v>
      </c>
      <c r="G22" s="182" t="s">
        <v>487</v>
      </c>
    </row>
    <row r="23" spans="1:7" ht="16.5" x14ac:dyDescent="0.55000000000000004">
      <c r="B23" s="174" t="s">
        <v>2265</v>
      </c>
      <c r="C23" s="175">
        <v>9</v>
      </c>
      <c r="D23" s="183">
        <f>C23*ราคาวัสดุ!D21</f>
        <v>19800</v>
      </c>
      <c r="E23" s="175">
        <v>9</v>
      </c>
      <c r="F23" s="183">
        <f>E23*ราคาวัสดุ!D21</f>
        <v>19800</v>
      </c>
      <c r="G23" s="182" t="s">
        <v>621</v>
      </c>
    </row>
    <row r="24" spans="1:7" ht="15.5" x14ac:dyDescent="0.35">
      <c r="A24" s="457" t="s">
        <v>2248</v>
      </c>
      <c r="B24" s="411"/>
      <c r="C24" s="411"/>
      <c r="D24" s="184">
        <f>SUM(D16:D23)</f>
        <v>28370</v>
      </c>
      <c r="E24" s="456"/>
      <c r="F24" s="184">
        <f>SUM(F16:F23)</f>
        <v>28402</v>
      </c>
    </row>
    <row r="26" spans="1:7" ht="15.5" x14ac:dyDescent="0.35">
      <c r="A26" s="458" t="s">
        <v>2249</v>
      </c>
      <c r="B26" s="411"/>
      <c r="C26" s="411"/>
      <c r="D26" s="411"/>
      <c r="E26" s="411"/>
      <c r="F26" s="411"/>
      <c r="G26" s="411"/>
    </row>
    <row r="27" spans="1:7" ht="15.5" x14ac:dyDescent="0.35">
      <c r="A27" s="174"/>
      <c r="B27" s="174" t="s">
        <v>590</v>
      </c>
      <c r="C27" s="175">
        <v>7</v>
      </c>
      <c r="D27" s="181">
        <f>C27*ราคาวัสดุ!D4</f>
        <v>8540</v>
      </c>
      <c r="E27" s="175">
        <v>7</v>
      </c>
      <c r="F27" s="181">
        <f>E27*ราคาวัสดุ!D4</f>
        <v>8540</v>
      </c>
      <c r="G27" s="182" t="s">
        <v>489</v>
      </c>
    </row>
    <row r="28" spans="1:7" ht="15.5" x14ac:dyDescent="0.35">
      <c r="A28" s="174"/>
      <c r="B28" s="174" t="s">
        <v>2241</v>
      </c>
      <c r="C28" s="175">
        <v>3</v>
      </c>
      <c r="D28" s="181">
        <f>C28*ราคาวัสดุ!D5</f>
        <v>2310</v>
      </c>
      <c r="E28" s="175">
        <v>0</v>
      </c>
      <c r="F28" s="181">
        <v>0</v>
      </c>
      <c r="G28" s="182" t="s">
        <v>489</v>
      </c>
    </row>
    <row r="29" spans="1:7" ht="15.5" x14ac:dyDescent="0.35">
      <c r="A29" s="174"/>
      <c r="B29" s="174" t="s">
        <v>2242</v>
      </c>
      <c r="C29" s="175">
        <v>0</v>
      </c>
      <c r="D29" s="181">
        <f>C29*ราคาวัสดุ!D6</f>
        <v>0</v>
      </c>
      <c r="E29" s="175">
        <v>6</v>
      </c>
      <c r="F29" s="181">
        <f>E29*ราคาวัสดุ!D6</f>
        <v>2358</v>
      </c>
      <c r="G29" s="182" t="s">
        <v>489</v>
      </c>
    </row>
    <row r="30" spans="1:7" ht="15.5" x14ac:dyDescent="0.35">
      <c r="A30" s="174"/>
      <c r="B30" s="174" t="s">
        <v>387</v>
      </c>
      <c r="C30" s="175">
        <v>1</v>
      </c>
      <c r="D30" s="181">
        <f>C30*ราคาวัสดุ!D7</f>
        <v>140</v>
      </c>
      <c r="E30" s="175">
        <v>1</v>
      </c>
      <c r="F30" s="181">
        <f>E30*ราคาวัสดุ!D7</f>
        <v>140</v>
      </c>
      <c r="G30" s="182" t="s">
        <v>489</v>
      </c>
    </row>
    <row r="31" spans="1:7" ht="15.5" x14ac:dyDescent="0.35">
      <c r="A31" s="174"/>
      <c r="B31" s="174" t="s">
        <v>597</v>
      </c>
      <c r="C31" s="175">
        <v>2</v>
      </c>
      <c r="D31" s="181">
        <f>C31*ราคาวัสดุ!D8</f>
        <v>280</v>
      </c>
      <c r="E31" s="175">
        <v>2</v>
      </c>
      <c r="F31" s="181">
        <f>E31*ราคาวัสดุ!D8</f>
        <v>280</v>
      </c>
      <c r="G31" s="182" t="s">
        <v>489</v>
      </c>
    </row>
    <row r="32" spans="1:7" ht="15.5" x14ac:dyDescent="0.35">
      <c r="A32" s="174"/>
      <c r="B32" s="174" t="s">
        <v>599</v>
      </c>
      <c r="C32" s="175">
        <v>6</v>
      </c>
      <c r="D32" s="181">
        <f>C32*ราคาวัสดุ!D9</f>
        <v>660</v>
      </c>
      <c r="E32" s="175">
        <v>6</v>
      </c>
      <c r="F32" s="181">
        <f>E32*ราคาวัสดุ!D9</f>
        <v>660</v>
      </c>
      <c r="G32" s="182" t="s">
        <v>489</v>
      </c>
    </row>
    <row r="33" spans="1:7" ht="15.5" x14ac:dyDescent="0.35">
      <c r="A33" s="174"/>
      <c r="B33" s="174" t="s">
        <v>2243</v>
      </c>
      <c r="C33" s="175">
        <v>12</v>
      </c>
      <c r="D33" s="181">
        <f>C33*ราคาวัสดุ!D10</f>
        <v>180</v>
      </c>
      <c r="E33" s="175">
        <v>12</v>
      </c>
      <c r="F33" s="181">
        <f>E33*ราคาวัสดุ!D10</f>
        <v>180</v>
      </c>
      <c r="G33" s="182" t="s">
        <v>487</v>
      </c>
    </row>
    <row r="34" spans="1:7" ht="16.5" x14ac:dyDescent="0.55000000000000004">
      <c r="B34" s="174" t="s">
        <v>2265</v>
      </c>
      <c r="C34" s="175">
        <v>13.5</v>
      </c>
      <c r="D34" s="183">
        <f>C34*ราคาวัสดุ!D21</f>
        <v>29700</v>
      </c>
      <c r="E34" s="175">
        <v>13.5</v>
      </c>
      <c r="F34" s="183">
        <f>E34*ราคาวัสดุ!D21</f>
        <v>29700</v>
      </c>
      <c r="G34" s="182" t="s">
        <v>621</v>
      </c>
    </row>
    <row r="35" spans="1:7" ht="15.5" x14ac:dyDescent="0.35">
      <c r="A35" s="457" t="s">
        <v>2250</v>
      </c>
      <c r="B35" s="411"/>
      <c r="C35" s="411"/>
      <c r="D35" s="184">
        <f>SUM(D27:D34)</f>
        <v>41810</v>
      </c>
      <c r="E35" s="456"/>
      <c r="F35" s="184">
        <f>SUM(F27:F34)</f>
        <v>41858</v>
      </c>
    </row>
    <row r="37" spans="1:7" ht="15.5" x14ac:dyDescent="0.35">
      <c r="A37" s="458" t="s">
        <v>2251</v>
      </c>
      <c r="B37" s="411"/>
      <c r="C37" s="411"/>
      <c r="D37" s="411"/>
      <c r="E37" s="411"/>
      <c r="F37" s="411"/>
      <c r="G37" s="411"/>
    </row>
    <row r="38" spans="1:7" ht="15.5" x14ac:dyDescent="0.35">
      <c r="A38" s="174"/>
      <c r="B38" s="174" t="s">
        <v>590</v>
      </c>
      <c r="C38" s="175">
        <v>10</v>
      </c>
      <c r="D38" s="181">
        <f>C38*ราคาวัสดุ!D4</f>
        <v>12200</v>
      </c>
      <c r="E38" s="175">
        <v>10</v>
      </c>
      <c r="F38" s="181">
        <f>E38*ราคาวัสดุ!D4</f>
        <v>12200</v>
      </c>
      <c r="G38" s="182" t="s">
        <v>489</v>
      </c>
    </row>
    <row r="39" spans="1:7" ht="15.5" x14ac:dyDescent="0.35">
      <c r="A39" s="174"/>
      <c r="B39" s="174" t="s">
        <v>2241</v>
      </c>
      <c r="C39" s="175">
        <v>4</v>
      </c>
      <c r="D39" s="181">
        <f>C39*ราคาวัสดุ!D5</f>
        <v>3080</v>
      </c>
      <c r="E39" s="175">
        <v>0</v>
      </c>
      <c r="F39" s="181">
        <v>0</v>
      </c>
      <c r="G39" s="182" t="s">
        <v>489</v>
      </c>
    </row>
    <row r="40" spans="1:7" ht="15.5" x14ac:dyDescent="0.35">
      <c r="A40" s="174"/>
      <c r="B40" s="174" t="s">
        <v>2242</v>
      </c>
      <c r="C40" s="175">
        <v>0</v>
      </c>
      <c r="D40" s="181">
        <f>C40*ราคาวัสดุ!D6</f>
        <v>0</v>
      </c>
      <c r="E40" s="175">
        <v>8</v>
      </c>
      <c r="F40" s="181">
        <f>E40*ราคาวัสดุ!D6</f>
        <v>3144</v>
      </c>
      <c r="G40" s="182" t="s">
        <v>489</v>
      </c>
    </row>
    <row r="41" spans="1:7" ht="15.5" x14ac:dyDescent="0.35">
      <c r="A41" s="174"/>
      <c r="B41" s="174" t="s">
        <v>387</v>
      </c>
      <c r="C41" s="175">
        <v>1</v>
      </c>
      <c r="D41" s="181">
        <f>C41*ราคาวัสดุ!D7</f>
        <v>140</v>
      </c>
      <c r="E41" s="175">
        <v>1</v>
      </c>
      <c r="F41" s="181">
        <f>E41*ราคาวัสดุ!D7</f>
        <v>140</v>
      </c>
      <c r="G41" s="182" t="s">
        <v>489</v>
      </c>
    </row>
    <row r="42" spans="1:7" ht="15.5" x14ac:dyDescent="0.35">
      <c r="A42" s="174"/>
      <c r="B42" s="174" t="s">
        <v>597</v>
      </c>
      <c r="C42" s="175">
        <v>2</v>
      </c>
      <c r="D42" s="181">
        <f>C42*ราคาวัสดุ!D8</f>
        <v>280</v>
      </c>
      <c r="E42" s="175">
        <v>2</v>
      </c>
      <c r="F42" s="181">
        <f>E42*ราคาวัสดุ!D8</f>
        <v>280</v>
      </c>
      <c r="G42" s="182" t="s">
        <v>489</v>
      </c>
    </row>
    <row r="43" spans="1:7" ht="15.5" x14ac:dyDescent="0.35">
      <c r="A43" s="174"/>
      <c r="B43" s="174" t="s">
        <v>599</v>
      </c>
      <c r="C43" s="175">
        <v>8</v>
      </c>
      <c r="D43" s="181">
        <f>C43*ราคาวัสดุ!D9</f>
        <v>880</v>
      </c>
      <c r="E43" s="175">
        <v>8</v>
      </c>
      <c r="F43" s="181">
        <f>E43*ราคาวัสดุ!D9</f>
        <v>880</v>
      </c>
      <c r="G43" s="182" t="s">
        <v>489</v>
      </c>
    </row>
    <row r="44" spans="1:7" ht="15.5" x14ac:dyDescent="0.35">
      <c r="A44" s="174"/>
      <c r="B44" s="174" t="s">
        <v>2243</v>
      </c>
      <c r="C44" s="175">
        <v>13</v>
      </c>
      <c r="D44" s="181">
        <f>C44*ราคาวัสดุ!D10</f>
        <v>195</v>
      </c>
      <c r="E44" s="175">
        <v>13</v>
      </c>
      <c r="F44" s="181">
        <f>E44*ราคาวัสดุ!D10</f>
        <v>195</v>
      </c>
      <c r="G44" s="182" t="s">
        <v>487</v>
      </c>
    </row>
    <row r="45" spans="1:7" ht="16.5" x14ac:dyDescent="0.55000000000000004">
      <c r="B45" s="174" t="s">
        <v>2265</v>
      </c>
      <c r="C45" s="175">
        <v>18</v>
      </c>
      <c r="D45" s="183">
        <f>C45*ราคาวัสดุ!D21</f>
        <v>39600</v>
      </c>
      <c r="E45" s="175">
        <v>18</v>
      </c>
      <c r="F45" s="183">
        <f>E45*ราคาวัสดุ!D21</f>
        <v>39600</v>
      </c>
      <c r="G45" s="182" t="s">
        <v>621</v>
      </c>
    </row>
    <row r="46" spans="1:7" ht="15.5" x14ac:dyDescent="0.35">
      <c r="A46" s="457" t="s">
        <v>2252</v>
      </c>
      <c r="B46" s="411"/>
      <c r="C46" s="411"/>
      <c r="D46" s="184">
        <f>SUM(D38:D45)</f>
        <v>56375</v>
      </c>
      <c r="E46" s="456"/>
      <c r="F46" s="184">
        <f>SUM(F38:F45)</f>
        <v>56439</v>
      </c>
    </row>
    <row r="48" spans="1:7" ht="15.5" x14ac:dyDescent="0.35">
      <c r="A48" s="458" t="s">
        <v>2253</v>
      </c>
      <c r="B48" s="411"/>
      <c r="C48" s="411"/>
      <c r="D48" s="411"/>
      <c r="E48" s="411"/>
      <c r="F48" s="411"/>
      <c r="G48" s="411"/>
    </row>
    <row r="49" spans="1:7" ht="15.5" x14ac:dyDescent="0.35">
      <c r="A49" s="174"/>
      <c r="B49" s="174" t="s">
        <v>590</v>
      </c>
      <c r="C49" s="175">
        <v>13</v>
      </c>
      <c r="D49" s="181">
        <f>C49*ราคาวัสดุ!D4</f>
        <v>15860</v>
      </c>
      <c r="E49" s="175">
        <v>13</v>
      </c>
      <c r="F49" s="181">
        <f>E49*ราคาวัสดุ!D4</f>
        <v>15860</v>
      </c>
      <c r="G49" s="182" t="s">
        <v>489</v>
      </c>
    </row>
    <row r="50" spans="1:7" ht="15.5" x14ac:dyDescent="0.35">
      <c r="A50" s="174"/>
      <c r="B50" s="174" t="s">
        <v>2241</v>
      </c>
      <c r="C50" s="175">
        <v>6</v>
      </c>
      <c r="D50" s="181">
        <f>C50*ราคาวัสดุ!D5</f>
        <v>4620</v>
      </c>
      <c r="E50" s="175">
        <v>0</v>
      </c>
      <c r="F50" s="181">
        <v>0</v>
      </c>
      <c r="G50" s="182" t="s">
        <v>489</v>
      </c>
    </row>
    <row r="51" spans="1:7" ht="15.5" x14ac:dyDescent="0.35">
      <c r="A51" s="174"/>
      <c r="B51" s="174" t="s">
        <v>2242</v>
      </c>
      <c r="C51" s="175">
        <v>0</v>
      </c>
      <c r="D51" s="181">
        <f>C51*ราคาวัสดุ!D6</f>
        <v>0</v>
      </c>
      <c r="E51" s="175">
        <v>11</v>
      </c>
      <c r="F51" s="181">
        <f>E51*ราคาวัสดุ!D6</f>
        <v>4323</v>
      </c>
      <c r="G51" s="182" t="s">
        <v>489</v>
      </c>
    </row>
    <row r="52" spans="1:7" ht="15.5" x14ac:dyDescent="0.35">
      <c r="A52" s="174"/>
      <c r="B52" s="174" t="s">
        <v>387</v>
      </c>
      <c r="C52" s="175">
        <v>1</v>
      </c>
      <c r="D52" s="181">
        <f>C52*ราคาวัสดุ!D7</f>
        <v>140</v>
      </c>
      <c r="E52" s="175">
        <v>1</v>
      </c>
      <c r="F52" s="181">
        <f>E52*ราคาวัสดุ!D7</f>
        <v>140</v>
      </c>
      <c r="G52" s="182" t="s">
        <v>489</v>
      </c>
    </row>
    <row r="53" spans="1:7" ht="15.5" x14ac:dyDescent="0.35">
      <c r="A53" s="174"/>
      <c r="B53" s="174" t="s">
        <v>597</v>
      </c>
      <c r="C53" s="175">
        <v>3</v>
      </c>
      <c r="D53" s="181">
        <f>C53*ราคาวัสดุ!D8</f>
        <v>420</v>
      </c>
      <c r="E53" s="175">
        <v>3</v>
      </c>
      <c r="F53" s="181">
        <f>E53*ราคาวัสดุ!D8</f>
        <v>420</v>
      </c>
      <c r="G53" s="182" t="s">
        <v>489</v>
      </c>
    </row>
    <row r="54" spans="1:7" ht="15.5" x14ac:dyDescent="0.35">
      <c r="A54" s="174"/>
      <c r="B54" s="174" t="s">
        <v>599</v>
      </c>
      <c r="C54" s="175">
        <v>10</v>
      </c>
      <c r="D54" s="181">
        <f>C54*ราคาวัสดุ!D9</f>
        <v>1100</v>
      </c>
      <c r="E54" s="175">
        <v>10</v>
      </c>
      <c r="F54" s="181">
        <f>E54*ราคาวัสดุ!D9</f>
        <v>1100</v>
      </c>
      <c r="G54" s="182" t="s">
        <v>489</v>
      </c>
    </row>
    <row r="55" spans="1:7" ht="15.5" x14ac:dyDescent="0.35">
      <c r="A55" s="174"/>
      <c r="B55" s="174" t="s">
        <v>2243</v>
      </c>
      <c r="C55" s="175">
        <v>17</v>
      </c>
      <c r="D55" s="181">
        <f>C55*ราคาวัสดุ!D10</f>
        <v>255</v>
      </c>
      <c r="E55" s="175">
        <v>17</v>
      </c>
      <c r="F55" s="181">
        <f>E55*ราคาวัสดุ!D10</f>
        <v>255</v>
      </c>
      <c r="G55" s="182" t="s">
        <v>487</v>
      </c>
    </row>
    <row r="56" spans="1:7" ht="16.5" x14ac:dyDescent="0.55000000000000004">
      <c r="B56" s="174" t="s">
        <v>2265</v>
      </c>
      <c r="C56" s="175">
        <v>24</v>
      </c>
      <c r="D56" s="183">
        <f>C56*ราคาวัสดุ!D21</f>
        <v>52800</v>
      </c>
      <c r="E56" s="175">
        <v>24</v>
      </c>
      <c r="F56" s="183">
        <f>E56*ราคาวัสดุ!D21</f>
        <v>52800</v>
      </c>
      <c r="G56" s="182" t="s">
        <v>621</v>
      </c>
    </row>
    <row r="57" spans="1:7" ht="15.5" x14ac:dyDescent="0.35">
      <c r="A57" s="457" t="s">
        <v>2254</v>
      </c>
      <c r="B57" s="411"/>
      <c r="C57" s="411"/>
      <c r="D57" s="184">
        <f>SUM(D49:D56)</f>
        <v>75195</v>
      </c>
      <c r="E57" s="456"/>
      <c r="F57" s="184">
        <f>SUM(F49:F56)</f>
        <v>74898</v>
      </c>
    </row>
    <row r="59" spans="1:7" ht="15.5" x14ac:dyDescent="0.35">
      <c r="A59" s="458" t="s">
        <v>2255</v>
      </c>
      <c r="B59" s="411"/>
      <c r="C59" s="411"/>
      <c r="D59" s="411"/>
      <c r="E59" s="411"/>
      <c r="F59" s="411"/>
      <c r="G59" s="411"/>
    </row>
    <row r="60" spans="1:7" ht="15.5" x14ac:dyDescent="0.35">
      <c r="A60" s="174"/>
      <c r="B60" s="174" t="s">
        <v>590</v>
      </c>
      <c r="C60" s="175">
        <v>16</v>
      </c>
      <c r="D60" s="181">
        <f>C60*ราคาวัสดุ!D4</f>
        <v>19520</v>
      </c>
      <c r="E60" s="175">
        <v>16</v>
      </c>
      <c r="F60" s="181">
        <f>E60*ราคาวัสดุ!D4</f>
        <v>19520</v>
      </c>
      <c r="G60" s="182" t="s">
        <v>489</v>
      </c>
    </row>
    <row r="61" spans="1:7" ht="15.5" x14ac:dyDescent="0.35">
      <c r="A61" s="174"/>
      <c r="B61" s="174" t="s">
        <v>2241</v>
      </c>
      <c r="C61" s="175">
        <v>7</v>
      </c>
      <c r="D61" s="181">
        <f>C61*ราคาวัสดุ!D5</f>
        <v>5390</v>
      </c>
      <c r="E61" s="175">
        <v>0</v>
      </c>
      <c r="F61" s="181">
        <v>0</v>
      </c>
      <c r="G61" s="182" t="s">
        <v>489</v>
      </c>
    </row>
    <row r="62" spans="1:7" ht="15.5" x14ac:dyDescent="0.35">
      <c r="A62" s="174"/>
      <c r="B62" s="174" t="s">
        <v>2242</v>
      </c>
      <c r="C62" s="175">
        <v>0</v>
      </c>
      <c r="D62" s="181">
        <f>C62*ราคาวัสดุ!D6</f>
        <v>0</v>
      </c>
      <c r="E62" s="175">
        <v>14</v>
      </c>
      <c r="F62" s="181">
        <f>E62*ราคาวัสดุ!D6</f>
        <v>5502</v>
      </c>
      <c r="G62" s="182" t="s">
        <v>489</v>
      </c>
    </row>
    <row r="63" spans="1:7" ht="15.5" x14ac:dyDescent="0.35">
      <c r="A63" s="174"/>
      <c r="B63" s="174" t="s">
        <v>387</v>
      </c>
      <c r="C63" s="175">
        <v>1</v>
      </c>
      <c r="D63" s="181">
        <f>C63*ราคาวัสดุ!D7</f>
        <v>140</v>
      </c>
      <c r="E63" s="175">
        <v>1</v>
      </c>
      <c r="F63" s="181">
        <f>E63*ราคาวัสดุ!D7</f>
        <v>140</v>
      </c>
      <c r="G63" s="182" t="s">
        <v>489</v>
      </c>
    </row>
    <row r="64" spans="1:7" ht="15.5" x14ac:dyDescent="0.35">
      <c r="A64" s="174"/>
      <c r="B64" s="174" t="s">
        <v>597</v>
      </c>
      <c r="C64" s="175">
        <v>4</v>
      </c>
      <c r="D64" s="181">
        <f>C64*ราคาวัสดุ!D8</f>
        <v>560</v>
      </c>
      <c r="E64" s="175">
        <v>4</v>
      </c>
      <c r="F64" s="181">
        <f>E64*ราคาวัสดุ!D8</f>
        <v>560</v>
      </c>
      <c r="G64" s="182" t="s">
        <v>489</v>
      </c>
    </row>
    <row r="65" spans="1:7" ht="15.5" x14ac:dyDescent="0.35">
      <c r="A65" s="174"/>
      <c r="B65" s="174" t="s">
        <v>599</v>
      </c>
      <c r="C65" s="175">
        <v>13</v>
      </c>
      <c r="D65" s="181">
        <f>C65*ราคาวัสดุ!D9</f>
        <v>1430</v>
      </c>
      <c r="E65" s="175">
        <v>13</v>
      </c>
      <c r="F65" s="181">
        <f>E65*ราคาวัสดุ!D9</f>
        <v>1430</v>
      </c>
      <c r="G65" s="182" t="s">
        <v>489</v>
      </c>
    </row>
    <row r="66" spans="1:7" ht="15.5" x14ac:dyDescent="0.35">
      <c r="A66" s="174"/>
      <c r="B66" s="174" t="s">
        <v>2243</v>
      </c>
      <c r="C66" s="175">
        <v>21</v>
      </c>
      <c r="D66" s="181">
        <f>C66*ราคาวัสดุ!D10</f>
        <v>315</v>
      </c>
      <c r="E66" s="175">
        <v>21</v>
      </c>
      <c r="F66" s="181">
        <f>E66*ราคาวัสดุ!D10</f>
        <v>315</v>
      </c>
      <c r="G66" s="182" t="s">
        <v>487</v>
      </c>
    </row>
    <row r="67" spans="1:7" ht="16.5" x14ac:dyDescent="0.55000000000000004">
      <c r="B67" s="174" t="s">
        <v>2265</v>
      </c>
      <c r="C67" s="175">
        <v>30</v>
      </c>
      <c r="D67" s="183">
        <f>C67*ราคาวัสดุ!D21</f>
        <v>66000</v>
      </c>
      <c r="E67" s="175">
        <v>30</v>
      </c>
      <c r="F67" s="183">
        <f>E67*ราคาวัสดุ!D21</f>
        <v>66000</v>
      </c>
      <c r="G67" s="182" t="s">
        <v>621</v>
      </c>
    </row>
    <row r="68" spans="1:7" ht="15.5" x14ac:dyDescent="0.35">
      <c r="A68" s="457" t="s">
        <v>2256</v>
      </c>
      <c r="B68" s="411"/>
      <c r="C68" s="411"/>
      <c r="D68" s="184">
        <f>SUM(D60:D67)</f>
        <v>93355</v>
      </c>
      <c r="E68" s="456"/>
      <c r="F68" s="184">
        <f>SUM(F60:F67)</f>
        <v>93467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E57"/>
    <mergeCell ref="A46:C46"/>
    <mergeCell ref="A4:G4"/>
    <mergeCell ref="B2:B3"/>
    <mergeCell ref="A57:C57"/>
    <mergeCell ref="A48:G48"/>
  </mergeCells>
  <hyperlinks>
    <hyperlink ref="G1" location="'สารบัญ'!A1" display="🏠 สารบัญ" xr:uid="{00000000-0004-0000-3300-000000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A6A6A6"/>
  </sheetPr>
  <dimension ref="A1:H68"/>
  <sheetViews>
    <sheetView workbookViewId="0"/>
  </sheetViews>
  <sheetFormatPr defaultRowHeight="14.5" x14ac:dyDescent="0.35"/>
  <cols>
    <col min="1" max="1" width="46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2266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2267</v>
      </c>
      <c r="C12" s="175">
        <v>4.5</v>
      </c>
      <c r="D12" s="183">
        <f>C12*ราคาวัสดุ!D22</f>
        <v>4792.5</v>
      </c>
      <c r="E12" s="175">
        <v>4.5</v>
      </c>
      <c r="F12" s="183">
        <f>E12*ราคาวัสดุ!D22</f>
        <v>4792.5</v>
      </c>
      <c r="G12" s="182" t="s">
        <v>621</v>
      </c>
    </row>
    <row r="13" spans="1:8" ht="15.5" x14ac:dyDescent="0.35">
      <c r="A13" s="457" t="s">
        <v>2246</v>
      </c>
      <c r="B13" s="411"/>
      <c r="C13" s="411"/>
      <c r="D13" s="184">
        <f>SUM(D5:D12)</f>
        <v>9952.5</v>
      </c>
      <c r="E13" s="456"/>
      <c r="F13" s="184">
        <f>SUM(F5:F12)</f>
        <v>9968.5</v>
      </c>
    </row>
    <row r="15" spans="1:8" ht="15.5" x14ac:dyDescent="0.35">
      <c r="A15" s="458" t="s">
        <v>2247</v>
      </c>
      <c r="B15" s="411"/>
      <c r="C15" s="411"/>
      <c r="D15" s="411"/>
      <c r="E15" s="411"/>
      <c r="F15" s="411"/>
      <c r="G15" s="411"/>
    </row>
    <row r="16" spans="1:8" ht="15.5" x14ac:dyDescent="0.35">
      <c r="A16" s="174"/>
      <c r="B16" s="174" t="s">
        <v>590</v>
      </c>
      <c r="C16" s="175">
        <v>5</v>
      </c>
      <c r="D16" s="181">
        <f>C16*ราคาวัสดุ!D4</f>
        <v>6100</v>
      </c>
      <c r="E16" s="175">
        <v>5</v>
      </c>
      <c r="F16" s="181">
        <f>E16*ราคาวัสดุ!D4</f>
        <v>6100</v>
      </c>
      <c r="G16" s="182" t="s">
        <v>489</v>
      </c>
    </row>
    <row r="17" spans="1:7" ht="15.5" x14ac:dyDescent="0.35">
      <c r="A17" s="174"/>
      <c r="B17" s="174" t="s">
        <v>2241</v>
      </c>
      <c r="C17" s="175">
        <v>2</v>
      </c>
      <c r="D17" s="181">
        <f>C17*ราคาวัสดุ!D5</f>
        <v>1540</v>
      </c>
      <c r="E17" s="175">
        <v>0</v>
      </c>
      <c r="F17" s="181">
        <v>0</v>
      </c>
      <c r="G17" s="182" t="s">
        <v>489</v>
      </c>
    </row>
    <row r="18" spans="1:7" ht="15.5" x14ac:dyDescent="0.35">
      <c r="A18" s="174"/>
      <c r="B18" s="174" t="s">
        <v>2242</v>
      </c>
      <c r="C18" s="175">
        <v>0</v>
      </c>
      <c r="D18" s="181">
        <f>C18*ราคาวัสดุ!D6</f>
        <v>0</v>
      </c>
      <c r="E18" s="175">
        <v>4</v>
      </c>
      <c r="F18" s="181">
        <f>E18*ราคาวัสดุ!D6</f>
        <v>1572</v>
      </c>
      <c r="G18" s="182" t="s">
        <v>489</v>
      </c>
    </row>
    <row r="19" spans="1:7" ht="15.5" x14ac:dyDescent="0.35">
      <c r="A19" s="174"/>
      <c r="B19" s="174" t="s">
        <v>387</v>
      </c>
      <c r="C19" s="175">
        <v>1</v>
      </c>
      <c r="D19" s="181">
        <f>C19*ราคาวัสดุ!D7</f>
        <v>140</v>
      </c>
      <c r="E19" s="175">
        <v>1</v>
      </c>
      <c r="F19" s="181">
        <f>E19*ราคาวัสดุ!D7</f>
        <v>140</v>
      </c>
      <c r="G19" s="182" t="s">
        <v>489</v>
      </c>
    </row>
    <row r="20" spans="1:7" ht="15.5" x14ac:dyDescent="0.35">
      <c r="A20" s="174"/>
      <c r="B20" s="174" t="s">
        <v>597</v>
      </c>
      <c r="C20" s="175">
        <v>1</v>
      </c>
      <c r="D20" s="181">
        <f>C20*ราคาวัสดุ!D8</f>
        <v>140</v>
      </c>
      <c r="E20" s="175">
        <v>1</v>
      </c>
      <c r="F20" s="181">
        <f>E20*ราคาวัสดุ!D8</f>
        <v>140</v>
      </c>
      <c r="G20" s="182" t="s">
        <v>489</v>
      </c>
    </row>
    <row r="21" spans="1:7" ht="15.5" x14ac:dyDescent="0.35">
      <c r="A21" s="174"/>
      <c r="B21" s="174" t="s">
        <v>599</v>
      </c>
      <c r="C21" s="175">
        <v>4</v>
      </c>
      <c r="D21" s="181">
        <f>C21*ราคาวัสดุ!D9</f>
        <v>440</v>
      </c>
      <c r="E21" s="175">
        <v>4</v>
      </c>
      <c r="F21" s="181">
        <f>E21*ราคาวัสดุ!D9</f>
        <v>440</v>
      </c>
      <c r="G21" s="182" t="s">
        <v>489</v>
      </c>
    </row>
    <row r="22" spans="1:7" ht="15.5" x14ac:dyDescent="0.35">
      <c r="A22" s="174"/>
      <c r="B22" s="174" t="s">
        <v>2243</v>
      </c>
      <c r="C22" s="175">
        <v>14</v>
      </c>
      <c r="D22" s="181">
        <f>C22*ราคาวัสดุ!D10</f>
        <v>210</v>
      </c>
      <c r="E22" s="175">
        <v>14</v>
      </c>
      <c r="F22" s="181">
        <f>E22*ราคาวัสดุ!D10</f>
        <v>210</v>
      </c>
      <c r="G22" s="182" t="s">
        <v>487</v>
      </c>
    </row>
    <row r="23" spans="1:7" ht="16.5" x14ac:dyDescent="0.55000000000000004">
      <c r="B23" s="174" t="s">
        <v>2267</v>
      </c>
      <c r="C23" s="175">
        <v>9</v>
      </c>
      <c r="D23" s="183">
        <f>C23*ราคาวัสดุ!D22</f>
        <v>9585</v>
      </c>
      <c r="E23" s="175">
        <v>9</v>
      </c>
      <c r="F23" s="183">
        <f>E23*ราคาวัสดุ!D22</f>
        <v>9585</v>
      </c>
      <c r="G23" s="182" t="s">
        <v>621</v>
      </c>
    </row>
    <row r="24" spans="1:7" ht="15.5" x14ac:dyDescent="0.35">
      <c r="A24" s="457" t="s">
        <v>2248</v>
      </c>
      <c r="B24" s="411"/>
      <c r="C24" s="411"/>
      <c r="D24" s="184">
        <f>SUM(D16:D23)</f>
        <v>18155</v>
      </c>
      <c r="E24" s="456"/>
      <c r="F24" s="184">
        <f>SUM(F16:F23)</f>
        <v>18187</v>
      </c>
    </row>
    <row r="26" spans="1:7" ht="15.5" x14ac:dyDescent="0.35">
      <c r="A26" s="458" t="s">
        <v>2249</v>
      </c>
      <c r="B26" s="411"/>
      <c r="C26" s="411"/>
      <c r="D26" s="411"/>
      <c r="E26" s="411"/>
      <c r="F26" s="411"/>
      <c r="G26" s="411"/>
    </row>
    <row r="27" spans="1:7" ht="15.5" x14ac:dyDescent="0.35">
      <c r="A27" s="174"/>
      <c r="B27" s="174" t="s">
        <v>590</v>
      </c>
      <c r="C27" s="175">
        <v>7</v>
      </c>
      <c r="D27" s="181">
        <f>C27*ราคาวัสดุ!D4</f>
        <v>8540</v>
      </c>
      <c r="E27" s="175">
        <v>7</v>
      </c>
      <c r="F27" s="181">
        <f>E27*ราคาวัสดุ!D4</f>
        <v>8540</v>
      </c>
      <c r="G27" s="182" t="s">
        <v>489</v>
      </c>
    </row>
    <row r="28" spans="1:7" ht="15.5" x14ac:dyDescent="0.35">
      <c r="A28" s="174"/>
      <c r="B28" s="174" t="s">
        <v>2241</v>
      </c>
      <c r="C28" s="175">
        <v>3</v>
      </c>
      <c r="D28" s="181">
        <f>C28*ราคาวัสดุ!D5</f>
        <v>2310</v>
      </c>
      <c r="E28" s="175">
        <v>0</v>
      </c>
      <c r="F28" s="181">
        <v>0</v>
      </c>
      <c r="G28" s="182" t="s">
        <v>489</v>
      </c>
    </row>
    <row r="29" spans="1:7" ht="15.5" x14ac:dyDescent="0.35">
      <c r="A29" s="174"/>
      <c r="B29" s="174" t="s">
        <v>2242</v>
      </c>
      <c r="C29" s="175">
        <v>0</v>
      </c>
      <c r="D29" s="181">
        <f>C29*ราคาวัสดุ!D6</f>
        <v>0</v>
      </c>
      <c r="E29" s="175">
        <v>6</v>
      </c>
      <c r="F29" s="181">
        <f>E29*ราคาวัสดุ!D6</f>
        <v>2358</v>
      </c>
      <c r="G29" s="182" t="s">
        <v>489</v>
      </c>
    </row>
    <row r="30" spans="1:7" ht="15.5" x14ac:dyDescent="0.35">
      <c r="A30" s="174"/>
      <c r="B30" s="174" t="s">
        <v>387</v>
      </c>
      <c r="C30" s="175">
        <v>1</v>
      </c>
      <c r="D30" s="181">
        <f>C30*ราคาวัสดุ!D7</f>
        <v>140</v>
      </c>
      <c r="E30" s="175">
        <v>1</v>
      </c>
      <c r="F30" s="181">
        <f>E30*ราคาวัสดุ!D7</f>
        <v>140</v>
      </c>
      <c r="G30" s="182" t="s">
        <v>489</v>
      </c>
    </row>
    <row r="31" spans="1:7" ht="15.5" x14ac:dyDescent="0.35">
      <c r="A31" s="174"/>
      <c r="B31" s="174" t="s">
        <v>597</v>
      </c>
      <c r="C31" s="175">
        <v>2</v>
      </c>
      <c r="D31" s="181">
        <f>C31*ราคาวัสดุ!D8</f>
        <v>280</v>
      </c>
      <c r="E31" s="175">
        <v>2</v>
      </c>
      <c r="F31" s="181">
        <f>E31*ราคาวัสดุ!D8</f>
        <v>280</v>
      </c>
      <c r="G31" s="182" t="s">
        <v>489</v>
      </c>
    </row>
    <row r="32" spans="1:7" ht="15.5" x14ac:dyDescent="0.35">
      <c r="A32" s="174"/>
      <c r="B32" s="174" t="s">
        <v>599</v>
      </c>
      <c r="C32" s="175">
        <v>6</v>
      </c>
      <c r="D32" s="181">
        <f>C32*ราคาวัสดุ!D9</f>
        <v>660</v>
      </c>
      <c r="E32" s="175">
        <v>6</v>
      </c>
      <c r="F32" s="181">
        <f>E32*ราคาวัสดุ!D9</f>
        <v>660</v>
      </c>
      <c r="G32" s="182" t="s">
        <v>489</v>
      </c>
    </row>
    <row r="33" spans="1:7" ht="15.5" x14ac:dyDescent="0.35">
      <c r="A33" s="174"/>
      <c r="B33" s="174" t="s">
        <v>2243</v>
      </c>
      <c r="C33" s="175">
        <v>12</v>
      </c>
      <c r="D33" s="181">
        <f>C33*ราคาวัสดุ!D10</f>
        <v>180</v>
      </c>
      <c r="E33" s="175">
        <v>12</v>
      </c>
      <c r="F33" s="181">
        <f>E33*ราคาวัสดุ!D10</f>
        <v>180</v>
      </c>
      <c r="G33" s="182" t="s">
        <v>487</v>
      </c>
    </row>
    <row r="34" spans="1:7" ht="16.5" x14ac:dyDescent="0.55000000000000004">
      <c r="B34" s="174" t="s">
        <v>2267</v>
      </c>
      <c r="C34" s="175">
        <v>13.5</v>
      </c>
      <c r="D34" s="183">
        <f>C34*ราคาวัสดุ!D22</f>
        <v>14377.5</v>
      </c>
      <c r="E34" s="175">
        <v>13.5</v>
      </c>
      <c r="F34" s="183">
        <f>E34*ราคาวัสดุ!D22</f>
        <v>14377.5</v>
      </c>
      <c r="G34" s="182" t="s">
        <v>621</v>
      </c>
    </row>
    <row r="35" spans="1:7" ht="15.5" x14ac:dyDescent="0.35">
      <c r="A35" s="457" t="s">
        <v>2250</v>
      </c>
      <c r="B35" s="411"/>
      <c r="C35" s="411"/>
      <c r="D35" s="184">
        <f>SUM(D27:D34)</f>
        <v>26487.5</v>
      </c>
      <c r="E35" s="456"/>
      <c r="F35" s="184">
        <f>SUM(F27:F34)</f>
        <v>26535.5</v>
      </c>
    </row>
    <row r="37" spans="1:7" ht="15.5" x14ac:dyDescent="0.35">
      <c r="A37" s="458" t="s">
        <v>2251</v>
      </c>
      <c r="B37" s="411"/>
      <c r="C37" s="411"/>
      <c r="D37" s="411"/>
      <c r="E37" s="411"/>
      <c r="F37" s="411"/>
      <c r="G37" s="411"/>
    </row>
    <row r="38" spans="1:7" ht="15.5" x14ac:dyDescent="0.35">
      <c r="A38" s="174"/>
      <c r="B38" s="174" t="s">
        <v>590</v>
      </c>
      <c r="C38" s="175">
        <v>10</v>
      </c>
      <c r="D38" s="181">
        <f>C38*ราคาวัสดุ!D4</f>
        <v>12200</v>
      </c>
      <c r="E38" s="175">
        <v>10</v>
      </c>
      <c r="F38" s="181">
        <f>E38*ราคาวัสดุ!D4</f>
        <v>12200</v>
      </c>
      <c r="G38" s="182" t="s">
        <v>489</v>
      </c>
    </row>
    <row r="39" spans="1:7" ht="15.5" x14ac:dyDescent="0.35">
      <c r="A39" s="174"/>
      <c r="B39" s="174" t="s">
        <v>2241</v>
      </c>
      <c r="C39" s="175">
        <v>4</v>
      </c>
      <c r="D39" s="181">
        <f>C39*ราคาวัสดุ!D5</f>
        <v>3080</v>
      </c>
      <c r="E39" s="175">
        <v>0</v>
      </c>
      <c r="F39" s="181">
        <v>0</v>
      </c>
      <c r="G39" s="182" t="s">
        <v>489</v>
      </c>
    </row>
    <row r="40" spans="1:7" ht="15.5" x14ac:dyDescent="0.35">
      <c r="A40" s="174"/>
      <c r="B40" s="174" t="s">
        <v>2242</v>
      </c>
      <c r="C40" s="175">
        <v>0</v>
      </c>
      <c r="D40" s="181">
        <f>C40*ราคาวัสดุ!D6</f>
        <v>0</v>
      </c>
      <c r="E40" s="175">
        <v>8</v>
      </c>
      <c r="F40" s="181">
        <f>E40*ราคาวัสดุ!D6</f>
        <v>3144</v>
      </c>
      <c r="G40" s="182" t="s">
        <v>489</v>
      </c>
    </row>
    <row r="41" spans="1:7" ht="15.5" x14ac:dyDescent="0.35">
      <c r="A41" s="174"/>
      <c r="B41" s="174" t="s">
        <v>387</v>
      </c>
      <c r="C41" s="175">
        <v>1</v>
      </c>
      <c r="D41" s="181">
        <f>C41*ราคาวัสดุ!D7</f>
        <v>140</v>
      </c>
      <c r="E41" s="175">
        <v>1</v>
      </c>
      <c r="F41" s="181">
        <f>E41*ราคาวัสดุ!D7</f>
        <v>140</v>
      </c>
      <c r="G41" s="182" t="s">
        <v>489</v>
      </c>
    </row>
    <row r="42" spans="1:7" ht="15.5" x14ac:dyDescent="0.35">
      <c r="A42" s="174"/>
      <c r="B42" s="174" t="s">
        <v>597</v>
      </c>
      <c r="C42" s="175">
        <v>2</v>
      </c>
      <c r="D42" s="181">
        <f>C42*ราคาวัสดุ!D8</f>
        <v>280</v>
      </c>
      <c r="E42" s="175">
        <v>2</v>
      </c>
      <c r="F42" s="181">
        <f>E42*ราคาวัสดุ!D8</f>
        <v>280</v>
      </c>
      <c r="G42" s="182" t="s">
        <v>489</v>
      </c>
    </row>
    <row r="43" spans="1:7" ht="15.5" x14ac:dyDescent="0.35">
      <c r="A43" s="174"/>
      <c r="B43" s="174" t="s">
        <v>599</v>
      </c>
      <c r="C43" s="175">
        <v>8</v>
      </c>
      <c r="D43" s="181">
        <f>C43*ราคาวัสดุ!D9</f>
        <v>880</v>
      </c>
      <c r="E43" s="175">
        <v>8</v>
      </c>
      <c r="F43" s="181">
        <f>E43*ราคาวัสดุ!D9</f>
        <v>880</v>
      </c>
      <c r="G43" s="182" t="s">
        <v>489</v>
      </c>
    </row>
    <row r="44" spans="1:7" ht="15.5" x14ac:dyDescent="0.35">
      <c r="A44" s="174"/>
      <c r="B44" s="174" t="s">
        <v>2243</v>
      </c>
      <c r="C44" s="175">
        <v>13</v>
      </c>
      <c r="D44" s="181">
        <f>C44*ราคาวัสดุ!D10</f>
        <v>195</v>
      </c>
      <c r="E44" s="175">
        <v>13</v>
      </c>
      <c r="F44" s="181">
        <f>E44*ราคาวัสดุ!D10</f>
        <v>195</v>
      </c>
      <c r="G44" s="182" t="s">
        <v>487</v>
      </c>
    </row>
    <row r="45" spans="1:7" ht="16.5" x14ac:dyDescent="0.55000000000000004">
      <c r="B45" s="174" t="s">
        <v>2267</v>
      </c>
      <c r="C45" s="175">
        <v>18</v>
      </c>
      <c r="D45" s="183">
        <f>C45*ราคาวัสดุ!D22</f>
        <v>19170</v>
      </c>
      <c r="E45" s="175">
        <v>18</v>
      </c>
      <c r="F45" s="183">
        <f>E45*ราคาวัสดุ!D22</f>
        <v>19170</v>
      </c>
      <c r="G45" s="182" t="s">
        <v>621</v>
      </c>
    </row>
    <row r="46" spans="1:7" ht="15.5" x14ac:dyDescent="0.35">
      <c r="A46" s="457" t="s">
        <v>2252</v>
      </c>
      <c r="B46" s="411"/>
      <c r="C46" s="411"/>
      <c r="D46" s="184">
        <f>SUM(D38:D45)</f>
        <v>35945</v>
      </c>
      <c r="E46" s="456"/>
      <c r="F46" s="184">
        <f>SUM(F38:F45)</f>
        <v>36009</v>
      </c>
    </row>
    <row r="48" spans="1:7" ht="15.5" x14ac:dyDescent="0.35">
      <c r="A48" s="458" t="s">
        <v>2253</v>
      </c>
      <c r="B48" s="411"/>
      <c r="C48" s="411"/>
      <c r="D48" s="411"/>
      <c r="E48" s="411"/>
      <c r="F48" s="411"/>
      <c r="G48" s="411"/>
    </row>
    <row r="49" spans="1:7" ht="15.5" x14ac:dyDescent="0.35">
      <c r="A49" s="174"/>
      <c r="B49" s="174" t="s">
        <v>590</v>
      </c>
      <c r="C49" s="175">
        <v>13</v>
      </c>
      <c r="D49" s="181">
        <f>C49*ราคาวัสดุ!D4</f>
        <v>15860</v>
      </c>
      <c r="E49" s="175">
        <v>13</v>
      </c>
      <c r="F49" s="181">
        <f>E49*ราคาวัสดุ!D4</f>
        <v>15860</v>
      </c>
      <c r="G49" s="182" t="s">
        <v>489</v>
      </c>
    </row>
    <row r="50" spans="1:7" ht="15.5" x14ac:dyDescent="0.35">
      <c r="A50" s="174"/>
      <c r="B50" s="174" t="s">
        <v>2241</v>
      </c>
      <c r="C50" s="175">
        <v>6</v>
      </c>
      <c r="D50" s="181">
        <f>C50*ราคาวัสดุ!D5</f>
        <v>4620</v>
      </c>
      <c r="E50" s="175">
        <v>0</v>
      </c>
      <c r="F50" s="181">
        <v>0</v>
      </c>
      <c r="G50" s="182" t="s">
        <v>489</v>
      </c>
    </row>
    <row r="51" spans="1:7" ht="15.5" x14ac:dyDescent="0.35">
      <c r="A51" s="174"/>
      <c r="B51" s="174" t="s">
        <v>2242</v>
      </c>
      <c r="C51" s="175">
        <v>0</v>
      </c>
      <c r="D51" s="181">
        <f>C51*ราคาวัสดุ!D6</f>
        <v>0</v>
      </c>
      <c r="E51" s="175">
        <v>11</v>
      </c>
      <c r="F51" s="181">
        <f>E51*ราคาวัสดุ!D6</f>
        <v>4323</v>
      </c>
      <c r="G51" s="182" t="s">
        <v>489</v>
      </c>
    </row>
    <row r="52" spans="1:7" ht="15.5" x14ac:dyDescent="0.35">
      <c r="A52" s="174"/>
      <c r="B52" s="174" t="s">
        <v>387</v>
      </c>
      <c r="C52" s="175">
        <v>1</v>
      </c>
      <c r="D52" s="181">
        <f>C52*ราคาวัสดุ!D7</f>
        <v>140</v>
      </c>
      <c r="E52" s="175">
        <v>1</v>
      </c>
      <c r="F52" s="181">
        <f>E52*ราคาวัสดุ!D7</f>
        <v>140</v>
      </c>
      <c r="G52" s="182" t="s">
        <v>489</v>
      </c>
    </row>
    <row r="53" spans="1:7" ht="15.5" x14ac:dyDescent="0.35">
      <c r="A53" s="174"/>
      <c r="B53" s="174" t="s">
        <v>597</v>
      </c>
      <c r="C53" s="175">
        <v>3</v>
      </c>
      <c r="D53" s="181">
        <f>C53*ราคาวัสดุ!D8</f>
        <v>420</v>
      </c>
      <c r="E53" s="175">
        <v>3</v>
      </c>
      <c r="F53" s="181">
        <f>E53*ราคาวัสดุ!D8</f>
        <v>420</v>
      </c>
      <c r="G53" s="182" t="s">
        <v>489</v>
      </c>
    </row>
    <row r="54" spans="1:7" ht="15.5" x14ac:dyDescent="0.35">
      <c r="A54" s="174"/>
      <c r="B54" s="174" t="s">
        <v>599</v>
      </c>
      <c r="C54" s="175">
        <v>10</v>
      </c>
      <c r="D54" s="181">
        <f>C54*ราคาวัสดุ!D9</f>
        <v>1100</v>
      </c>
      <c r="E54" s="175">
        <v>10</v>
      </c>
      <c r="F54" s="181">
        <f>E54*ราคาวัสดุ!D9</f>
        <v>1100</v>
      </c>
      <c r="G54" s="182" t="s">
        <v>489</v>
      </c>
    </row>
    <row r="55" spans="1:7" ht="15.5" x14ac:dyDescent="0.35">
      <c r="A55" s="174"/>
      <c r="B55" s="174" t="s">
        <v>2243</v>
      </c>
      <c r="C55" s="175">
        <v>17</v>
      </c>
      <c r="D55" s="181">
        <f>C55*ราคาวัสดุ!D10</f>
        <v>255</v>
      </c>
      <c r="E55" s="175">
        <v>17</v>
      </c>
      <c r="F55" s="181">
        <f>E55*ราคาวัสดุ!D10</f>
        <v>255</v>
      </c>
      <c r="G55" s="182" t="s">
        <v>487</v>
      </c>
    </row>
    <row r="56" spans="1:7" ht="16.5" x14ac:dyDescent="0.55000000000000004">
      <c r="B56" s="174" t="s">
        <v>2267</v>
      </c>
      <c r="C56" s="175">
        <v>24</v>
      </c>
      <c r="D56" s="183">
        <f>C56*ราคาวัสดุ!D22</f>
        <v>25560</v>
      </c>
      <c r="E56" s="175">
        <v>24</v>
      </c>
      <c r="F56" s="183">
        <f>E56*ราคาวัสดุ!D22</f>
        <v>25560</v>
      </c>
      <c r="G56" s="182" t="s">
        <v>621</v>
      </c>
    </row>
    <row r="57" spans="1:7" ht="15.5" x14ac:dyDescent="0.35">
      <c r="A57" s="457" t="s">
        <v>2254</v>
      </c>
      <c r="B57" s="411"/>
      <c r="C57" s="411"/>
      <c r="D57" s="184">
        <f>SUM(D49:D56)</f>
        <v>47955</v>
      </c>
      <c r="E57" s="456"/>
      <c r="F57" s="184">
        <f>SUM(F49:F56)</f>
        <v>47658</v>
      </c>
    </row>
    <row r="59" spans="1:7" ht="15.5" x14ac:dyDescent="0.35">
      <c r="A59" s="458" t="s">
        <v>2255</v>
      </c>
      <c r="B59" s="411"/>
      <c r="C59" s="411"/>
      <c r="D59" s="411"/>
      <c r="E59" s="411"/>
      <c r="F59" s="411"/>
      <c r="G59" s="411"/>
    </row>
    <row r="60" spans="1:7" ht="15.5" x14ac:dyDescent="0.35">
      <c r="A60" s="174"/>
      <c r="B60" s="174" t="s">
        <v>590</v>
      </c>
      <c r="C60" s="175">
        <v>16</v>
      </c>
      <c r="D60" s="181">
        <f>C60*ราคาวัสดุ!D4</f>
        <v>19520</v>
      </c>
      <c r="E60" s="175">
        <v>16</v>
      </c>
      <c r="F60" s="181">
        <f>E60*ราคาวัสดุ!D4</f>
        <v>19520</v>
      </c>
      <c r="G60" s="182" t="s">
        <v>489</v>
      </c>
    </row>
    <row r="61" spans="1:7" ht="15.5" x14ac:dyDescent="0.35">
      <c r="A61" s="174"/>
      <c r="B61" s="174" t="s">
        <v>2241</v>
      </c>
      <c r="C61" s="175">
        <v>7</v>
      </c>
      <c r="D61" s="181">
        <f>C61*ราคาวัสดุ!D5</f>
        <v>5390</v>
      </c>
      <c r="E61" s="175">
        <v>0</v>
      </c>
      <c r="F61" s="181">
        <v>0</v>
      </c>
      <c r="G61" s="182" t="s">
        <v>489</v>
      </c>
    </row>
    <row r="62" spans="1:7" ht="15.5" x14ac:dyDescent="0.35">
      <c r="A62" s="174"/>
      <c r="B62" s="174" t="s">
        <v>2242</v>
      </c>
      <c r="C62" s="175">
        <v>0</v>
      </c>
      <c r="D62" s="181">
        <f>C62*ราคาวัสดุ!D6</f>
        <v>0</v>
      </c>
      <c r="E62" s="175">
        <v>14</v>
      </c>
      <c r="F62" s="181">
        <f>E62*ราคาวัสดุ!D6</f>
        <v>5502</v>
      </c>
      <c r="G62" s="182" t="s">
        <v>489</v>
      </c>
    </row>
    <row r="63" spans="1:7" ht="15.5" x14ac:dyDescent="0.35">
      <c r="A63" s="174"/>
      <c r="B63" s="174" t="s">
        <v>387</v>
      </c>
      <c r="C63" s="175">
        <v>1</v>
      </c>
      <c r="D63" s="181">
        <f>C63*ราคาวัสดุ!D7</f>
        <v>140</v>
      </c>
      <c r="E63" s="175">
        <v>1</v>
      </c>
      <c r="F63" s="181">
        <f>E63*ราคาวัสดุ!D7</f>
        <v>140</v>
      </c>
      <c r="G63" s="182" t="s">
        <v>489</v>
      </c>
    </row>
    <row r="64" spans="1:7" ht="15.5" x14ac:dyDescent="0.35">
      <c r="A64" s="174"/>
      <c r="B64" s="174" t="s">
        <v>597</v>
      </c>
      <c r="C64" s="175">
        <v>4</v>
      </c>
      <c r="D64" s="181">
        <f>C64*ราคาวัสดุ!D8</f>
        <v>560</v>
      </c>
      <c r="E64" s="175">
        <v>4</v>
      </c>
      <c r="F64" s="181">
        <f>E64*ราคาวัสดุ!D8</f>
        <v>560</v>
      </c>
      <c r="G64" s="182" t="s">
        <v>489</v>
      </c>
    </row>
    <row r="65" spans="1:7" ht="15.5" x14ac:dyDescent="0.35">
      <c r="A65" s="174"/>
      <c r="B65" s="174" t="s">
        <v>599</v>
      </c>
      <c r="C65" s="175">
        <v>13</v>
      </c>
      <c r="D65" s="181">
        <f>C65*ราคาวัสดุ!D9</f>
        <v>1430</v>
      </c>
      <c r="E65" s="175">
        <v>13</v>
      </c>
      <c r="F65" s="181">
        <f>E65*ราคาวัสดุ!D9</f>
        <v>1430</v>
      </c>
      <c r="G65" s="182" t="s">
        <v>489</v>
      </c>
    </row>
    <row r="66" spans="1:7" ht="15.5" x14ac:dyDescent="0.35">
      <c r="A66" s="174"/>
      <c r="B66" s="174" t="s">
        <v>2243</v>
      </c>
      <c r="C66" s="175">
        <v>21</v>
      </c>
      <c r="D66" s="181">
        <f>C66*ราคาวัสดุ!D10</f>
        <v>315</v>
      </c>
      <c r="E66" s="175">
        <v>21</v>
      </c>
      <c r="F66" s="181">
        <f>E66*ราคาวัสดุ!D10</f>
        <v>315</v>
      </c>
      <c r="G66" s="182" t="s">
        <v>487</v>
      </c>
    </row>
    <row r="67" spans="1:7" ht="16.5" x14ac:dyDescent="0.55000000000000004">
      <c r="B67" s="174" t="s">
        <v>2267</v>
      </c>
      <c r="C67" s="175">
        <v>30</v>
      </c>
      <c r="D67" s="183">
        <f>C67*ราคาวัสดุ!D22</f>
        <v>31950</v>
      </c>
      <c r="E67" s="175">
        <v>30</v>
      </c>
      <c r="F67" s="183">
        <f>E67*ราคาวัสดุ!D22</f>
        <v>31950</v>
      </c>
      <c r="G67" s="182" t="s">
        <v>621</v>
      </c>
    </row>
    <row r="68" spans="1:7" ht="15.5" x14ac:dyDescent="0.35">
      <c r="A68" s="457" t="s">
        <v>2256</v>
      </c>
      <c r="B68" s="411"/>
      <c r="C68" s="411"/>
      <c r="D68" s="184">
        <f>SUM(D60:D67)</f>
        <v>59305</v>
      </c>
      <c r="E68" s="456"/>
      <c r="F68" s="184">
        <f>SUM(F60:F67)</f>
        <v>59417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E57"/>
    <mergeCell ref="A46:C46"/>
    <mergeCell ref="A4:G4"/>
    <mergeCell ref="B2:B3"/>
    <mergeCell ref="A57:C57"/>
    <mergeCell ref="A48:G48"/>
  </mergeCells>
  <hyperlinks>
    <hyperlink ref="G1" location="'สารบัญ'!A1" display="🏠 สารบัญ" xr:uid="{00000000-0004-0000-3400-000000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A6A6A6"/>
  </sheetPr>
  <dimension ref="A1:H68"/>
  <sheetViews>
    <sheetView workbookViewId="0"/>
  </sheetViews>
  <sheetFormatPr defaultRowHeight="14.5" x14ac:dyDescent="0.35"/>
  <cols>
    <col min="1" max="1" width="46" customWidth="1"/>
    <col min="2" max="2" width="35.26953125" customWidth="1"/>
    <col min="3" max="3" width="14.26953125" customWidth="1"/>
    <col min="4" max="5" width="12" customWidth="1"/>
    <col min="6" max="7" width="13" customWidth="1"/>
  </cols>
  <sheetData>
    <row r="1" spans="1:8" ht="19.5" x14ac:dyDescent="0.35">
      <c r="A1" s="462" t="s">
        <v>2268</v>
      </c>
      <c r="B1" s="411"/>
      <c r="C1" s="411"/>
      <c r="D1" s="411"/>
      <c r="E1" s="411"/>
      <c r="F1" s="411"/>
      <c r="G1" s="388" t="s">
        <v>78</v>
      </c>
      <c r="H1" s="394"/>
    </row>
    <row r="2" spans="1:8" x14ac:dyDescent="0.35">
      <c r="A2" s="459" t="s">
        <v>2237</v>
      </c>
      <c r="B2" s="459" t="s">
        <v>2238</v>
      </c>
      <c r="C2" s="459" t="s">
        <v>2001</v>
      </c>
      <c r="D2" s="461"/>
      <c r="E2" s="459" t="s">
        <v>2239</v>
      </c>
      <c r="F2" s="461"/>
      <c r="G2" s="459" t="s">
        <v>483</v>
      </c>
    </row>
    <row r="3" spans="1:8" ht="15.5" x14ac:dyDescent="0.35">
      <c r="A3" s="460"/>
      <c r="B3" s="460"/>
      <c r="C3" s="180" t="s">
        <v>1255</v>
      </c>
      <c r="D3" s="180" t="s">
        <v>533</v>
      </c>
      <c r="E3" s="180" t="s">
        <v>1255</v>
      </c>
      <c r="F3" s="180" t="s">
        <v>533</v>
      </c>
      <c r="G3" s="460"/>
    </row>
    <row r="4" spans="1:8" ht="15.5" x14ac:dyDescent="0.35">
      <c r="A4" s="458" t="s">
        <v>2240</v>
      </c>
      <c r="B4" s="411"/>
      <c r="C4" s="411"/>
      <c r="D4" s="411"/>
      <c r="E4" s="411"/>
      <c r="F4" s="411"/>
      <c r="G4" s="411"/>
    </row>
    <row r="5" spans="1:8" ht="15.5" x14ac:dyDescent="0.35">
      <c r="A5" s="174"/>
      <c r="B5" s="174" t="s">
        <v>590</v>
      </c>
      <c r="C5" s="175">
        <v>3</v>
      </c>
      <c r="D5" s="181">
        <f>C5*ราคาวัสดุ!D4</f>
        <v>3660</v>
      </c>
      <c r="E5" s="175">
        <v>3</v>
      </c>
      <c r="F5" s="181">
        <f>E5*ราคาวัสดุ!D4</f>
        <v>3660</v>
      </c>
      <c r="G5" s="182" t="s">
        <v>489</v>
      </c>
    </row>
    <row r="6" spans="1:8" ht="15.5" x14ac:dyDescent="0.35">
      <c r="A6" s="174"/>
      <c r="B6" s="174" t="s">
        <v>2241</v>
      </c>
      <c r="C6" s="175">
        <v>1</v>
      </c>
      <c r="D6" s="181">
        <f>C6*ราคาวัสดุ!D5</f>
        <v>770</v>
      </c>
      <c r="E6" s="175">
        <v>0</v>
      </c>
      <c r="F6" s="181">
        <v>0</v>
      </c>
      <c r="G6" s="182" t="s">
        <v>489</v>
      </c>
    </row>
    <row r="7" spans="1:8" ht="15.5" x14ac:dyDescent="0.35">
      <c r="A7" s="174"/>
      <c r="B7" s="174" t="s">
        <v>2242</v>
      </c>
      <c r="C7" s="175">
        <v>0</v>
      </c>
      <c r="D7" s="181">
        <f>C7*ราคาวัสดุ!D6</f>
        <v>0</v>
      </c>
      <c r="E7" s="175">
        <v>2</v>
      </c>
      <c r="F7" s="181">
        <f>E7*ราคาวัสดุ!D6</f>
        <v>786</v>
      </c>
      <c r="G7" s="182" t="s">
        <v>489</v>
      </c>
    </row>
    <row r="8" spans="1:8" ht="15.5" x14ac:dyDescent="0.35">
      <c r="A8" s="174"/>
      <c r="B8" s="174" t="s">
        <v>387</v>
      </c>
      <c r="C8" s="175">
        <v>1</v>
      </c>
      <c r="D8" s="181">
        <f>C8*ราคาวัสดุ!D7</f>
        <v>140</v>
      </c>
      <c r="E8" s="175">
        <v>1</v>
      </c>
      <c r="F8" s="181">
        <f>E8*ราคาวัสดุ!D7</f>
        <v>140</v>
      </c>
      <c r="G8" s="182" t="s">
        <v>489</v>
      </c>
    </row>
    <row r="9" spans="1:8" ht="15.5" x14ac:dyDescent="0.35">
      <c r="A9" s="174"/>
      <c r="B9" s="174" t="s">
        <v>597</v>
      </c>
      <c r="C9" s="175">
        <v>1</v>
      </c>
      <c r="D9" s="181">
        <f>C9*ราคาวัสดุ!D8</f>
        <v>140</v>
      </c>
      <c r="E9" s="175">
        <v>1</v>
      </c>
      <c r="F9" s="181">
        <f>E9*ราคาวัสดุ!D8</f>
        <v>140</v>
      </c>
      <c r="G9" s="182" t="s">
        <v>489</v>
      </c>
    </row>
    <row r="10" spans="1:8" ht="15.5" x14ac:dyDescent="0.35">
      <c r="A10" s="174"/>
      <c r="B10" s="174" t="s">
        <v>599</v>
      </c>
      <c r="C10" s="175">
        <v>3</v>
      </c>
      <c r="D10" s="181">
        <f>C10*ราคาวัสดุ!D9</f>
        <v>330</v>
      </c>
      <c r="E10" s="175">
        <v>3</v>
      </c>
      <c r="F10" s="181">
        <f>E10*ราคาวัสดุ!D9</f>
        <v>330</v>
      </c>
      <c r="G10" s="182" t="s">
        <v>489</v>
      </c>
    </row>
    <row r="11" spans="1:8" ht="15.5" x14ac:dyDescent="0.35">
      <c r="A11" s="174"/>
      <c r="B11" s="174" t="s">
        <v>2243</v>
      </c>
      <c r="C11" s="175">
        <v>8</v>
      </c>
      <c r="D11" s="181">
        <f>C11*ราคาวัสดุ!D10</f>
        <v>120</v>
      </c>
      <c r="E11" s="175">
        <v>8</v>
      </c>
      <c r="F11" s="181">
        <f>E11*ราคาวัสดุ!D10</f>
        <v>120</v>
      </c>
      <c r="G11" s="182" t="s">
        <v>487</v>
      </c>
    </row>
    <row r="12" spans="1:8" ht="16.5" x14ac:dyDescent="0.55000000000000004">
      <c r="B12" s="174" t="s">
        <v>2269</v>
      </c>
      <c r="C12" s="175">
        <v>4.5</v>
      </c>
      <c r="D12" s="183">
        <f>C12*ราคาวัสดุ!D23</f>
        <v>5715</v>
      </c>
      <c r="E12" s="175">
        <v>4.5</v>
      </c>
      <c r="F12" s="183">
        <f>E12*ราคาวัสดุ!D23</f>
        <v>5715</v>
      </c>
      <c r="G12" s="182" t="s">
        <v>621</v>
      </c>
    </row>
    <row r="13" spans="1:8" ht="15.5" x14ac:dyDescent="0.35">
      <c r="A13" s="457" t="s">
        <v>2246</v>
      </c>
      <c r="B13" s="411"/>
      <c r="C13" s="411"/>
      <c r="D13" s="184">
        <f>SUM(D5:D12)</f>
        <v>10875</v>
      </c>
      <c r="E13" s="456"/>
      <c r="F13" s="184">
        <f>SUM(F5:F12)</f>
        <v>10891</v>
      </c>
    </row>
    <row r="15" spans="1:8" ht="15.5" x14ac:dyDescent="0.35">
      <c r="A15" s="458" t="s">
        <v>2247</v>
      </c>
      <c r="B15" s="411"/>
      <c r="C15" s="411"/>
      <c r="D15" s="411"/>
      <c r="E15" s="411"/>
      <c r="F15" s="411"/>
      <c r="G15" s="411"/>
    </row>
    <row r="16" spans="1:8" ht="15.5" x14ac:dyDescent="0.35">
      <c r="A16" s="174"/>
      <c r="B16" s="174" t="s">
        <v>590</v>
      </c>
      <c r="C16" s="175">
        <v>5</v>
      </c>
      <c r="D16" s="181">
        <f>C16*ราคาวัสดุ!D4</f>
        <v>6100</v>
      </c>
      <c r="E16" s="175">
        <v>5</v>
      </c>
      <c r="F16" s="181">
        <f>E16*ราคาวัสดุ!D4</f>
        <v>6100</v>
      </c>
      <c r="G16" s="182" t="s">
        <v>489</v>
      </c>
    </row>
    <row r="17" spans="1:7" ht="15.5" x14ac:dyDescent="0.35">
      <c r="A17" s="174"/>
      <c r="B17" s="174" t="s">
        <v>2241</v>
      </c>
      <c r="C17" s="175">
        <v>2</v>
      </c>
      <c r="D17" s="181">
        <f>C17*ราคาวัสดุ!D5</f>
        <v>1540</v>
      </c>
      <c r="E17" s="175">
        <v>0</v>
      </c>
      <c r="F17" s="181">
        <v>0</v>
      </c>
      <c r="G17" s="182" t="s">
        <v>489</v>
      </c>
    </row>
    <row r="18" spans="1:7" ht="15.5" x14ac:dyDescent="0.35">
      <c r="A18" s="174"/>
      <c r="B18" s="174" t="s">
        <v>2242</v>
      </c>
      <c r="C18" s="175">
        <v>0</v>
      </c>
      <c r="D18" s="181">
        <f>C18*ราคาวัสดุ!D6</f>
        <v>0</v>
      </c>
      <c r="E18" s="175">
        <v>4</v>
      </c>
      <c r="F18" s="181">
        <f>E18*ราคาวัสดุ!D6</f>
        <v>1572</v>
      </c>
      <c r="G18" s="182" t="s">
        <v>489</v>
      </c>
    </row>
    <row r="19" spans="1:7" ht="15.5" x14ac:dyDescent="0.35">
      <c r="A19" s="174"/>
      <c r="B19" s="174" t="s">
        <v>387</v>
      </c>
      <c r="C19" s="175">
        <v>1</v>
      </c>
      <c r="D19" s="181">
        <f>C19*ราคาวัสดุ!D7</f>
        <v>140</v>
      </c>
      <c r="E19" s="175">
        <v>1</v>
      </c>
      <c r="F19" s="181">
        <f>E19*ราคาวัสดุ!D7</f>
        <v>140</v>
      </c>
      <c r="G19" s="182" t="s">
        <v>489</v>
      </c>
    </row>
    <row r="20" spans="1:7" ht="15.5" x14ac:dyDescent="0.35">
      <c r="A20" s="174"/>
      <c r="B20" s="174" t="s">
        <v>597</v>
      </c>
      <c r="C20" s="175">
        <v>1</v>
      </c>
      <c r="D20" s="181">
        <f>C20*ราคาวัสดุ!D8</f>
        <v>140</v>
      </c>
      <c r="E20" s="175">
        <v>1</v>
      </c>
      <c r="F20" s="181">
        <f>E20*ราคาวัสดุ!D8</f>
        <v>140</v>
      </c>
      <c r="G20" s="182" t="s">
        <v>489</v>
      </c>
    </row>
    <row r="21" spans="1:7" ht="15.5" x14ac:dyDescent="0.35">
      <c r="A21" s="174"/>
      <c r="B21" s="174" t="s">
        <v>599</v>
      </c>
      <c r="C21" s="175">
        <v>4</v>
      </c>
      <c r="D21" s="181">
        <f>C21*ราคาวัสดุ!D9</f>
        <v>440</v>
      </c>
      <c r="E21" s="175">
        <v>4</v>
      </c>
      <c r="F21" s="181">
        <f>E21*ราคาวัสดุ!D9</f>
        <v>440</v>
      </c>
      <c r="G21" s="182" t="s">
        <v>489</v>
      </c>
    </row>
    <row r="22" spans="1:7" ht="15.5" x14ac:dyDescent="0.35">
      <c r="A22" s="174"/>
      <c r="B22" s="174" t="s">
        <v>2243</v>
      </c>
      <c r="C22" s="175">
        <v>14</v>
      </c>
      <c r="D22" s="181">
        <f>C22*ราคาวัสดุ!D10</f>
        <v>210</v>
      </c>
      <c r="E22" s="175">
        <v>14</v>
      </c>
      <c r="F22" s="181">
        <f>E22*ราคาวัสดุ!D10</f>
        <v>210</v>
      </c>
      <c r="G22" s="182" t="s">
        <v>487</v>
      </c>
    </row>
    <row r="23" spans="1:7" ht="16.5" x14ac:dyDescent="0.55000000000000004">
      <c r="B23" s="174" t="s">
        <v>2269</v>
      </c>
      <c r="C23" s="175">
        <v>9</v>
      </c>
      <c r="D23" s="183">
        <f>C23*ราคาวัสดุ!D23</f>
        <v>11430</v>
      </c>
      <c r="E23" s="175">
        <v>9</v>
      </c>
      <c r="F23" s="183">
        <f>E23*ราคาวัสดุ!D23</f>
        <v>11430</v>
      </c>
      <c r="G23" s="182" t="s">
        <v>621</v>
      </c>
    </row>
    <row r="24" spans="1:7" ht="15.5" x14ac:dyDescent="0.35">
      <c r="A24" s="457" t="s">
        <v>2248</v>
      </c>
      <c r="B24" s="411"/>
      <c r="C24" s="411"/>
      <c r="D24" s="184">
        <f>SUM(D16:D23)</f>
        <v>20000</v>
      </c>
      <c r="E24" s="456"/>
      <c r="F24" s="184">
        <f>SUM(F16:F23)</f>
        <v>20032</v>
      </c>
    </row>
    <row r="26" spans="1:7" ht="15.5" x14ac:dyDescent="0.35">
      <c r="A26" s="458" t="s">
        <v>2249</v>
      </c>
      <c r="B26" s="411"/>
      <c r="C26" s="411"/>
      <c r="D26" s="411"/>
      <c r="E26" s="411"/>
      <c r="F26" s="411"/>
      <c r="G26" s="411"/>
    </row>
    <row r="27" spans="1:7" ht="15.5" x14ac:dyDescent="0.35">
      <c r="A27" s="174"/>
      <c r="B27" s="174" t="s">
        <v>590</v>
      </c>
      <c r="C27" s="175">
        <v>7</v>
      </c>
      <c r="D27" s="181">
        <f>C27*ราคาวัสดุ!D4</f>
        <v>8540</v>
      </c>
      <c r="E27" s="175">
        <v>7</v>
      </c>
      <c r="F27" s="181">
        <f>E27*ราคาวัสดุ!D4</f>
        <v>8540</v>
      </c>
      <c r="G27" s="182" t="s">
        <v>489</v>
      </c>
    </row>
    <row r="28" spans="1:7" ht="15.5" x14ac:dyDescent="0.35">
      <c r="A28" s="174"/>
      <c r="B28" s="174" t="s">
        <v>2241</v>
      </c>
      <c r="C28" s="175">
        <v>3</v>
      </c>
      <c r="D28" s="181">
        <f>C28*ราคาวัสดุ!D5</f>
        <v>2310</v>
      </c>
      <c r="E28" s="175">
        <v>0</v>
      </c>
      <c r="F28" s="181">
        <v>0</v>
      </c>
      <c r="G28" s="182" t="s">
        <v>489</v>
      </c>
    </row>
    <row r="29" spans="1:7" ht="15.5" x14ac:dyDescent="0.35">
      <c r="A29" s="174"/>
      <c r="B29" s="174" t="s">
        <v>2242</v>
      </c>
      <c r="C29" s="175">
        <v>0</v>
      </c>
      <c r="D29" s="181">
        <f>C29*ราคาวัสดุ!D6</f>
        <v>0</v>
      </c>
      <c r="E29" s="175">
        <v>6</v>
      </c>
      <c r="F29" s="181">
        <f>E29*ราคาวัสดุ!D6</f>
        <v>2358</v>
      </c>
      <c r="G29" s="182" t="s">
        <v>489</v>
      </c>
    </row>
    <row r="30" spans="1:7" ht="15.5" x14ac:dyDescent="0.35">
      <c r="A30" s="174"/>
      <c r="B30" s="174" t="s">
        <v>387</v>
      </c>
      <c r="C30" s="175">
        <v>1</v>
      </c>
      <c r="D30" s="181">
        <f>C30*ราคาวัสดุ!D7</f>
        <v>140</v>
      </c>
      <c r="E30" s="175">
        <v>1</v>
      </c>
      <c r="F30" s="181">
        <f>E30*ราคาวัสดุ!D7</f>
        <v>140</v>
      </c>
      <c r="G30" s="182" t="s">
        <v>489</v>
      </c>
    </row>
    <row r="31" spans="1:7" ht="15.5" x14ac:dyDescent="0.35">
      <c r="A31" s="174"/>
      <c r="B31" s="174" t="s">
        <v>597</v>
      </c>
      <c r="C31" s="175">
        <v>2</v>
      </c>
      <c r="D31" s="181">
        <f>C31*ราคาวัสดุ!D8</f>
        <v>280</v>
      </c>
      <c r="E31" s="175">
        <v>2</v>
      </c>
      <c r="F31" s="181">
        <f>E31*ราคาวัสดุ!D8</f>
        <v>280</v>
      </c>
      <c r="G31" s="182" t="s">
        <v>489</v>
      </c>
    </row>
    <row r="32" spans="1:7" ht="15.5" x14ac:dyDescent="0.35">
      <c r="A32" s="174"/>
      <c r="B32" s="174" t="s">
        <v>599</v>
      </c>
      <c r="C32" s="175">
        <v>6</v>
      </c>
      <c r="D32" s="181">
        <f>C32*ราคาวัสดุ!D9</f>
        <v>660</v>
      </c>
      <c r="E32" s="175">
        <v>6</v>
      </c>
      <c r="F32" s="181">
        <f>E32*ราคาวัสดุ!D9</f>
        <v>660</v>
      </c>
      <c r="G32" s="182" t="s">
        <v>489</v>
      </c>
    </row>
    <row r="33" spans="1:7" ht="15.5" x14ac:dyDescent="0.35">
      <c r="A33" s="174"/>
      <c r="B33" s="174" t="s">
        <v>2243</v>
      </c>
      <c r="C33" s="175">
        <v>12</v>
      </c>
      <c r="D33" s="181">
        <f>C33*ราคาวัสดุ!D10</f>
        <v>180</v>
      </c>
      <c r="E33" s="175">
        <v>12</v>
      </c>
      <c r="F33" s="181">
        <f>E33*ราคาวัสดุ!D10</f>
        <v>180</v>
      </c>
      <c r="G33" s="182" t="s">
        <v>487</v>
      </c>
    </row>
    <row r="34" spans="1:7" ht="16.5" x14ac:dyDescent="0.55000000000000004">
      <c r="B34" s="174" t="s">
        <v>2269</v>
      </c>
      <c r="C34" s="175">
        <v>13.5</v>
      </c>
      <c r="D34" s="183">
        <f>C34*ราคาวัสดุ!D23</f>
        <v>17145</v>
      </c>
      <c r="E34" s="175">
        <v>13.5</v>
      </c>
      <c r="F34" s="183">
        <f>E34*ราคาวัสดุ!D23</f>
        <v>17145</v>
      </c>
      <c r="G34" s="182" t="s">
        <v>621</v>
      </c>
    </row>
    <row r="35" spans="1:7" ht="15.5" x14ac:dyDescent="0.35">
      <c r="A35" s="457" t="s">
        <v>2250</v>
      </c>
      <c r="B35" s="411"/>
      <c r="C35" s="411"/>
      <c r="D35" s="184">
        <f>SUM(D27:D34)</f>
        <v>29255</v>
      </c>
      <c r="E35" s="456"/>
      <c r="F35" s="184">
        <f>SUM(F27:F34)</f>
        <v>29303</v>
      </c>
    </row>
    <row r="37" spans="1:7" ht="15.5" x14ac:dyDescent="0.35">
      <c r="A37" s="458" t="s">
        <v>2251</v>
      </c>
      <c r="B37" s="411"/>
      <c r="C37" s="411"/>
      <c r="D37" s="411"/>
      <c r="E37" s="411"/>
      <c r="F37" s="411"/>
      <c r="G37" s="411"/>
    </row>
    <row r="38" spans="1:7" ht="15.5" x14ac:dyDescent="0.35">
      <c r="A38" s="174"/>
      <c r="B38" s="174" t="s">
        <v>590</v>
      </c>
      <c r="C38" s="175">
        <v>10</v>
      </c>
      <c r="D38" s="181">
        <f>C38*ราคาวัสดุ!D4</f>
        <v>12200</v>
      </c>
      <c r="E38" s="175">
        <v>10</v>
      </c>
      <c r="F38" s="181">
        <f>E38*ราคาวัสดุ!D4</f>
        <v>12200</v>
      </c>
      <c r="G38" s="182" t="s">
        <v>489</v>
      </c>
    </row>
    <row r="39" spans="1:7" ht="15.5" x14ac:dyDescent="0.35">
      <c r="A39" s="174"/>
      <c r="B39" s="174" t="s">
        <v>2241</v>
      </c>
      <c r="C39" s="175">
        <v>4</v>
      </c>
      <c r="D39" s="181">
        <f>C39*ราคาวัสดุ!D5</f>
        <v>3080</v>
      </c>
      <c r="E39" s="175">
        <v>0</v>
      </c>
      <c r="F39" s="181">
        <v>0</v>
      </c>
      <c r="G39" s="182" t="s">
        <v>489</v>
      </c>
    </row>
    <row r="40" spans="1:7" ht="15.5" x14ac:dyDescent="0.35">
      <c r="A40" s="174"/>
      <c r="B40" s="174" t="s">
        <v>2242</v>
      </c>
      <c r="C40" s="175">
        <v>0</v>
      </c>
      <c r="D40" s="181">
        <f>C40*ราคาวัสดุ!D6</f>
        <v>0</v>
      </c>
      <c r="E40" s="175">
        <v>8</v>
      </c>
      <c r="F40" s="181">
        <f>E40*ราคาวัสดุ!D6</f>
        <v>3144</v>
      </c>
      <c r="G40" s="182" t="s">
        <v>489</v>
      </c>
    </row>
    <row r="41" spans="1:7" ht="15.5" x14ac:dyDescent="0.35">
      <c r="A41" s="174"/>
      <c r="B41" s="174" t="s">
        <v>387</v>
      </c>
      <c r="C41" s="175">
        <v>1</v>
      </c>
      <c r="D41" s="181">
        <f>C41*ราคาวัสดุ!D7</f>
        <v>140</v>
      </c>
      <c r="E41" s="175">
        <v>1</v>
      </c>
      <c r="F41" s="181">
        <f>E41*ราคาวัสดุ!D7</f>
        <v>140</v>
      </c>
      <c r="G41" s="182" t="s">
        <v>489</v>
      </c>
    </row>
    <row r="42" spans="1:7" ht="15.5" x14ac:dyDescent="0.35">
      <c r="A42" s="174"/>
      <c r="B42" s="174" t="s">
        <v>597</v>
      </c>
      <c r="C42" s="175">
        <v>2</v>
      </c>
      <c r="D42" s="181">
        <f>C42*ราคาวัสดุ!D8</f>
        <v>280</v>
      </c>
      <c r="E42" s="175">
        <v>2</v>
      </c>
      <c r="F42" s="181">
        <f>E42*ราคาวัสดุ!D8</f>
        <v>280</v>
      </c>
      <c r="G42" s="182" t="s">
        <v>489</v>
      </c>
    </row>
    <row r="43" spans="1:7" ht="15.5" x14ac:dyDescent="0.35">
      <c r="A43" s="174"/>
      <c r="B43" s="174" t="s">
        <v>599</v>
      </c>
      <c r="C43" s="175">
        <v>8</v>
      </c>
      <c r="D43" s="181">
        <f>C43*ราคาวัสดุ!D9</f>
        <v>880</v>
      </c>
      <c r="E43" s="175">
        <v>8</v>
      </c>
      <c r="F43" s="181">
        <f>E43*ราคาวัสดุ!D9</f>
        <v>880</v>
      </c>
      <c r="G43" s="182" t="s">
        <v>489</v>
      </c>
    </row>
    <row r="44" spans="1:7" ht="15.5" x14ac:dyDescent="0.35">
      <c r="A44" s="174"/>
      <c r="B44" s="174" t="s">
        <v>2243</v>
      </c>
      <c r="C44" s="175">
        <v>13</v>
      </c>
      <c r="D44" s="181">
        <f>C44*ราคาวัสดุ!D10</f>
        <v>195</v>
      </c>
      <c r="E44" s="175">
        <v>13</v>
      </c>
      <c r="F44" s="181">
        <f>E44*ราคาวัสดุ!D10</f>
        <v>195</v>
      </c>
      <c r="G44" s="182" t="s">
        <v>487</v>
      </c>
    </row>
    <row r="45" spans="1:7" ht="16.5" x14ac:dyDescent="0.55000000000000004">
      <c r="B45" s="174" t="s">
        <v>2269</v>
      </c>
      <c r="C45" s="175">
        <v>18</v>
      </c>
      <c r="D45" s="183">
        <f>C45*ราคาวัสดุ!D23</f>
        <v>22860</v>
      </c>
      <c r="E45" s="175">
        <v>18</v>
      </c>
      <c r="F45" s="183">
        <f>E45*ราคาวัสดุ!D23</f>
        <v>22860</v>
      </c>
      <c r="G45" s="182" t="s">
        <v>621</v>
      </c>
    </row>
    <row r="46" spans="1:7" ht="15.5" x14ac:dyDescent="0.35">
      <c r="A46" s="457" t="s">
        <v>2252</v>
      </c>
      <c r="B46" s="411"/>
      <c r="C46" s="411"/>
      <c r="D46" s="184">
        <f>SUM(D38:D45)</f>
        <v>39635</v>
      </c>
      <c r="E46" s="456"/>
      <c r="F46" s="184">
        <f>SUM(F38:F45)</f>
        <v>39699</v>
      </c>
    </row>
    <row r="48" spans="1:7" ht="15.5" x14ac:dyDescent="0.35">
      <c r="A48" s="458" t="s">
        <v>2253</v>
      </c>
      <c r="B48" s="411"/>
      <c r="C48" s="411"/>
      <c r="D48" s="411"/>
      <c r="E48" s="411"/>
      <c r="F48" s="411"/>
      <c r="G48" s="411"/>
    </row>
    <row r="49" spans="1:7" ht="15.5" x14ac:dyDescent="0.35">
      <c r="A49" s="174"/>
      <c r="B49" s="174" t="s">
        <v>590</v>
      </c>
      <c r="C49" s="175">
        <v>13</v>
      </c>
      <c r="D49" s="181">
        <f>C49*ราคาวัสดุ!D4</f>
        <v>15860</v>
      </c>
      <c r="E49" s="175">
        <v>13</v>
      </c>
      <c r="F49" s="181">
        <f>E49*ราคาวัสดุ!D4</f>
        <v>15860</v>
      </c>
      <c r="G49" s="182" t="s">
        <v>489</v>
      </c>
    </row>
    <row r="50" spans="1:7" ht="15.5" x14ac:dyDescent="0.35">
      <c r="A50" s="174"/>
      <c r="B50" s="174" t="s">
        <v>2241</v>
      </c>
      <c r="C50" s="175">
        <v>6</v>
      </c>
      <c r="D50" s="181">
        <f>C50*ราคาวัสดุ!D5</f>
        <v>4620</v>
      </c>
      <c r="E50" s="175">
        <v>0</v>
      </c>
      <c r="F50" s="181">
        <v>0</v>
      </c>
      <c r="G50" s="182" t="s">
        <v>489</v>
      </c>
    </row>
    <row r="51" spans="1:7" ht="15.5" x14ac:dyDescent="0.35">
      <c r="A51" s="174"/>
      <c r="B51" s="174" t="s">
        <v>2242</v>
      </c>
      <c r="C51" s="175">
        <v>0</v>
      </c>
      <c r="D51" s="181">
        <f>C51*ราคาวัสดุ!D6</f>
        <v>0</v>
      </c>
      <c r="E51" s="175">
        <v>11</v>
      </c>
      <c r="F51" s="181">
        <f>E51*ราคาวัสดุ!D6</f>
        <v>4323</v>
      </c>
      <c r="G51" s="182" t="s">
        <v>489</v>
      </c>
    </row>
    <row r="52" spans="1:7" ht="15.5" x14ac:dyDescent="0.35">
      <c r="A52" s="174"/>
      <c r="B52" s="174" t="s">
        <v>387</v>
      </c>
      <c r="C52" s="175">
        <v>1</v>
      </c>
      <c r="D52" s="181">
        <f>C52*ราคาวัสดุ!D7</f>
        <v>140</v>
      </c>
      <c r="E52" s="175">
        <v>1</v>
      </c>
      <c r="F52" s="181">
        <f>E52*ราคาวัสดุ!D7</f>
        <v>140</v>
      </c>
      <c r="G52" s="182" t="s">
        <v>489</v>
      </c>
    </row>
    <row r="53" spans="1:7" ht="15.5" x14ac:dyDescent="0.35">
      <c r="A53" s="174"/>
      <c r="B53" s="174" t="s">
        <v>597</v>
      </c>
      <c r="C53" s="175">
        <v>3</v>
      </c>
      <c r="D53" s="181">
        <f>C53*ราคาวัสดุ!D8</f>
        <v>420</v>
      </c>
      <c r="E53" s="175">
        <v>3</v>
      </c>
      <c r="F53" s="181">
        <f>E53*ราคาวัสดุ!D8</f>
        <v>420</v>
      </c>
      <c r="G53" s="182" t="s">
        <v>489</v>
      </c>
    </row>
    <row r="54" spans="1:7" ht="15.5" x14ac:dyDescent="0.35">
      <c r="A54" s="174"/>
      <c r="B54" s="174" t="s">
        <v>599</v>
      </c>
      <c r="C54" s="175">
        <v>10</v>
      </c>
      <c r="D54" s="181">
        <f>C54*ราคาวัสดุ!D9</f>
        <v>1100</v>
      </c>
      <c r="E54" s="175">
        <v>10</v>
      </c>
      <c r="F54" s="181">
        <f>E54*ราคาวัสดุ!D9</f>
        <v>1100</v>
      </c>
      <c r="G54" s="182" t="s">
        <v>489</v>
      </c>
    </row>
    <row r="55" spans="1:7" ht="15.5" x14ac:dyDescent="0.35">
      <c r="A55" s="174"/>
      <c r="B55" s="174" t="s">
        <v>2243</v>
      </c>
      <c r="C55" s="175">
        <v>17</v>
      </c>
      <c r="D55" s="181">
        <f>C55*ราคาวัสดุ!D10</f>
        <v>255</v>
      </c>
      <c r="E55" s="175">
        <v>17</v>
      </c>
      <c r="F55" s="181">
        <f>E55*ราคาวัสดุ!D10</f>
        <v>255</v>
      </c>
      <c r="G55" s="182" t="s">
        <v>487</v>
      </c>
    </row>
    <row r="56" spans="1:7" ht="16.5" x14ac:dyDescent="0.55000000000000004">
      <c r="B56" s="174" t="s">
        <v>2269</v>
      </c>
      <c r="C56" s="175">
        <v>24</v>
      </c>
      <c r="D56" s="183">
        <f>C56*ราคาวัสดุ!D23</f>
        <v>30480</v>
      </c>
      <c r="E56" s="175">
        <v>24</v>
      </c>
      <c r="F56" s="183">
        <f>E56*ราคาวัสดุ!D23</f>
        <v>30480</v>
      </c>
      <c r="G56" s="182" t="s">
        <v>621</v>
      </c>
    </row>
    <row r="57" spans="1:7" ht="15.5" x14ac:dyDescent="0.35">
      <c r="A57" s="457" t="s">
        <v>2254</v>
      </c>
      <c r="B57" s="411"/>
      <c r="C57" s="411"/>
      <c r="D57" s="184">
        <f>SUM(D49:D56)</f>
        <v>52875</v>
      </c>
      <c r="E57" s="456"/>
      <c r="F57" s="184">
        <f>SUM(F49:F56)</f>
        <v>52578</v>
      </c>
    </row>
    <row r="59" spans="1:7" ht="15.5" x14ac:dyDescent="0.35">
      <c r="A59" s="458" t="s">
        <v>2255</v>
      </c>
      <c r="B59" s="411"/>
      <c r="C59" s="411"/>
      <c r="D59" s="411"/>
      <c r="E59" s="411"/>
      <c r="F59" s="411"/>
      <c r="G59" s="411"/>
    </row>
    <row r="60" spans="1:7" ht="15.5" x14ac:dyDescent="0.35">
      <c r="A60" s="174"/>
      <c r="B60" s="174" t="s">
        <v>590</v>
      </c>
      <c r="C60" s="175">
        <v>16</v>
      </c>
      <c r="D60" s="181">
        <f>C60*ราคาวัสดุ!D4</f>
        <v>19520</v>
      </c>
      <c r="E60" s="175">
        <v>16</v>
      </c>
      <c r="F60" s="181">
        <f>E60*ราคาวัสดุ!D4</f>
        <v>19520</v>
      </c>
      <c r="G60" s="182" t="s">
        <v>489</v>
      </c>
    </row>
    <row r="61" spans="1:7" ht="15.5" x14ac:dyDescent="0.35">
      <c r="A61" s="174"/>
      <c r="B61" s="174" t="s">
        <v>2241</v>
      </c>
      <c r="C61" s="175">
        <v>7</v>
      </c>
      <c r="D61" s="181">
        <f>C61*ราคาวัสดุ!D5</f>
        <v>5390</v>
      </c>
      <c r="E61" s="175">
        <v>0</v>
      </c>
      <c r="F61" s="181">
        <v>0</v>
      </c>
      <c r="G61" s="182" t="s">
        <v>489</v>
      </c>
    </row>
    <row r="62" spans="1:7" ht="15.5" x14ac:dyDescent="0.35">
      <c r="A62" s="174"/>
      <c r="B62" s="174" t="s">
        <v>2242</v>
      </c>
      <c r="C62" s="175">
        <v>0</v>
      </c>
      <c r="D62" s="181">
        <f>C62*ราคาวัสดุ!D6</f>
        <v>0</v>
      </c>
      <c r="E62" s="175">
        <v>14</v>
      </c>
      <c r="F62" s="181">
        <f>E62*ราคาวัสดุ!D6</f>
        <v>5502</v>
      </c>
      <c r="G62" s="182" t="s">
        <v>489</v>
      </c>
    </row>
    <row r="63" spans="1:7" ht="15.5" x14ac:dyDescent="0.35">
      <c r="A63" s="174"/>
      <c r="B63" s="174" t="s">
        <v>387</v>
      </c>
      <c r="C63" s="175">
        <v>1</v>
      </c>
      <c r="D63" s="181">
        <f>C63*ราคาวัสดุ!D7</f>
        <v>140</v>
      </c>
      <c r="E63" s="175">
        <v>1</v>
      </c>
      <c r="F63" s="181">
        <f>E63*ราคาวัสดุ!D7</f>
        <v>140</v>
      </c>
      <c r="G63" s="182" t="s">
        <v>489</v>
      </c>
    </row>
    <row r="64" spans="1:7" ht="15.5" x14ac:dyDescent="0.35">
      <c r="A64" s="174"/>
      <c r="B64" s="174" t="s">
        <v>597</v>
      </c>
      <c r="C64" s="175">
        <v>4</v>
      </c>
      <c r="D64" s="181">
        <f>C64*ราคาวัสดุ!D8</f>
        <v>560</v>
      </c>
      <c r="E64" s="175">
        <v>4</v>
      </c>
      <c r="F64" s="181">
        <f>E64*ราคาวัสดุ!D8</f>
        <v>560</v>
      </c>
      <c r="G64" s="182" t="s">
        <v>489</v>
      </c>
    </row>
    <row r="65" spans="1:7" ht="15.5" x14ac:dyDescent="0.35">
      <c r="A65" s="174"/>
      <c r="B65" s="174" t="s">
        <v>599</v>
      </c>
      <c r="C65" s="175">
        <v>13</v>
      </c>
      <c r="D65" s="181">
        <f>C65*ราคาวัสดุ!D9</f>
        <v>1430</v>
      </c>
      <c r="E65" s="175">
        <v>13</v>
      </c>
      <c r="F65" s="181">
        <f>E65*ราคาวัสดุ!D9</f>
        <v>1430</v>
      </c>
      <c r="G65" s="182" t="s">
        <v>489</v>
      </c>
    </row>
    <row r="66" spans="1:7" ht="15.5" x14ac:dyDescent="0.35">
      <c r="A66" s="174"/>
      <c r="B66" s="174" t="s">
        <v>2243</v>
      </c>
      <c r="C66" s="175">
        <v>21</v>
      </c>
      <c r="D66" s="181">
        <f>C66*ราคาวัสดุ!D10</f>
        <v>315</v>
      </c>
      <c r="E66" s="175">
        <v>21</v>
      </c>
      <c r="F66" s="181">
        <f>E66*ราคาวัสดุ!D10</f>
        <v>315</v>
      </c>
      <c r="G66" s="182" t="s">
        <v>487</v>
      </c>
    </row>
    <row r="67" spans="1:7" ht="16.5" x14ac:dyDescent="0.55000000000000004">
      <c r="B67" s="174" t="s">
        <v>2269</v>
      </c>
      <c r="C67" s="175">
        <v>30</v>
      </c>
      <c r="D67" s="183">
        <f>C67*ราคาวัสดุ!D23</f>
        <v>38100</v>
      </c>
      <c r="E67" s="175">
        <v>30</v>
      </c>
      <c r="F67" s="183">
        <f>E67*ราคาวัสดุ!D23</f>
        <v>38100</v>
      </c>
      <c r="G67" s="182" t="s">
        <v>621</v>
      </c>
    </row>
    <row r="68" spans="1:7" ht="15.5" x14ac:dyDescent="0.35">
      <c r="A68" s="457" t="s">
        <v>2256</v>
      </c>
      <c r="B68" s="411"/>
      <c r="C68" s="411"/>
      <c r="D68" s="184">
        <f>SUM(D60:D67)</f>
        <v>65455</v>
      </c>
      <c r="E68" s="456"/>
      <c r="F68" s="184">
        <f>SUM(F60:F67)</f>
        <v>65567</v>
      </c>
    </row>
  </sheetData>
  <mergeCells count="24">
    <mergeCell ref="A1:F1"/>
    <mergeCell ref="A26:G26"/>
    <mergeCell ref="E46"/>
    <mergeCell ref="G2:G3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E57"/>
    <mergeCell ref="A46:C46"/>
    <mergeCell ref="A4:G4"/>
    <mergeCell ref="B2:B3"/>
    <mergeCell ref="A57:C57"/>
    <mergeCell ref="A48:G48"/>
  </mergeCells>
  <hyperlinks>
    <hyperlink ref="G1" location="'สารบัญ'!A1" display="🏠 สารบัญ" xr:uid="{00000000-0004-0000-3500-000000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A6A6A6"/>
  </sheetPr>
  <dimension ref="A1:N67"/>
  <sheetViews>
    <sheetView workbookViewId="0"/>
  </sheetViews>
  <sheetFormatPr defaultRowHeight="14.5" x14ac:dyDescent="0.35"/>
  <cols>
    <col min="1" max="1" width="46" customWidth="1"/>
    <col min="2" max="2" width="22.453125" customWidth="1"/>
    <col min="3" max="3" width="28.08984375" customWidth="1"/>
    <col min="4" max="4" width="27.90625" customWidth="1"/>
    <col min="5" max="5" width="20.08984375" customWidth="1"/>
    <col min="6" max="7" width="17.7265625" customWidth="1"/>
    <col min="8" max="8" width="20.08984375" customWidth="1"/>
    <col min="9" max="9" width="36.453125" customWidth="1"/>
    <col min="10" max="10" width="32.7265625" customWidth="1"/>
    <col min="11" max="11" width="23.26953125" customWidth="1"/>
    <col min="12" max="12" width="10" customWidth="1"/>
    <col min="13" max="13" width="17.453125" customWidth="1"/>
    <col min="14" max="14" width="22.26953125" customWidth="1"/>
  </cols>
  <sheetData>
    <row r="1" spans="1:14" ht="19.5" x14ac:dyDescent="0.35">
      <c r="A1" s="462" t="s">
        <v>2270</v>
      </c>
      <c r="B1" s="411"/>
      <c r="C1" s="411"/>
      <c r="D1" s="411"/>
      <c r="E1" s="411"/>
      <c r="F1" s="411"/>
      <c r="G1" s="388" t="s">
        <v>78</v>
      </c>
      <c r="H1" s="389"/>
      <c r="M1" s="319"/>
    </row>
    <row r="2" spans="1:14" ht="31" x14ac:dyDescent="0.35">
      <c r="A2" s="180" t="s">
        <v>482</v>
      </c>
      <c r="B2" s="180" t="s">
        <v>2271</v>
      </c>
      <c r="C2" s="180" t="s">
        <v>2272</v>
      </c>
      <c r="D2" s="180" t="s">
        <v>2273</v>
      </c>
      <c r="E2" s="180" t="s">
        <v>2274</v>
      </c>
      <c r="F2" s="180" t="s">
        <v>2275</v>
      </c>
      <c r="G2" s="180" t="s">
        <v>2276</v>
      </c>
      <c r="H2" s="180" t="s">
        <v>2277</v>
      </c>
      <c r="I2" s="186" t="s">
        <v>2278</v>
      </c>
      <c r="J2" s="186" t="s">
        <v>2279</v>
      </c>
      <c r="K2" s="180" t="s">
        <v>2280</v>
      </c>
      <c r="L2" s="180" t="s">
        <v>727</v>
      </c>
      <c r="M2" s="186" t="s">
        <v>711</v>
      </c>
      <c r="N2" s="186" t="s">
        <v>654</v>
      </c>
    </row>
    <row r="3" spans="1:14" ht="15.5" x14ac:dyDescent="0.35">
      <c r="A3" s="458" t="s">
        <v>2281</v>
      </c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1"/>
    </row>
    <row r="4" spans="1:14" ht="16.5" x14ac:dyDescent="0.55000000000000004">
      <c r="A4" s="174" t="s">
        <v>2282</v>
      </c>
      <c r="B4" s="175">
        <v>4.5</v>
      </c>
      <c r="C4" s="181">
        <f>ทุนไวนิล!D14</f>
        <v>10515</v>
      </c>
      <c r="D4" s="181">
        <f t="shared" ref="D4:D9" si="0">IF(B4&gt;0,C4/B4,0)</f>
        <v>2336.6666666666665</v>
      </c>
      <c r="E4" s="181">
        <v>6500</v>
      </c>
      <c r="F4" s="181">
        <v>29250</v>
      </c>
      <c r="G4" s="181">
        <v>28000</v>
      </c>
      <c r="H4" s="187">
        <v>29250</v>
      </c>
      <c r="I4" s="188">
        <f t="shared" ref="I4:I9" si="1">H4-C4-M4-N4</f>
        <v>6804</v>
      </c>
      <c r="J4" s="189">
        <f t="shared" ref="J4:J9" si="2">IF(H4&gt;0,I4/H4,0)</f>
        <v>0.23261538461538461</v>
      </c>
      <c r="K4" s="190" t="s">
        <v>383</v>
      </c>
      <c r="L4" s="191" t="str">
        <f t="shared" ref="L4:L9" si="3">IF(I4&lt;0,"🔴 ขาดทุน",IF(J4&lt;0.2,"⚠️ บาง","✅ OK"))</f>
        <v>✅ OK</v>
      </c>
      <c r="M4" s="21">
        <f t="shared" ref="M4:M9" si="4">ROUND(3320+308*B4,0)</f>
        <v>4706</v>
      </c>
      <c r="N4" s="21">
        <f t="shared" ref="N4:N9" si="5">ROUND(5470+390*B4,0)</f>
        <v>7225</v>
      </c>
    </row>
    <row r="5" spans="1:14" ht="16.5" x14ac:dyDescent="0.55000000000000004">
      <c r="A5" s="174" t="s">
        <v>2283</v>
      </c>
      <c r="B5" s="175">
        <v>9</v>
      </c>
      <c r="C5" s="181">
        <f>ทุนไวนิล!D26</f>
        <v>19280</v>
      </c>
      <c r="D5" s="181">
        <f t="shared" si="0"/>
        <v>2142.2222222222222</v>
      </c>
      <c r="E5" s="181">
        <v>6500</v>
      </c>
      <c r="F5" s="181">
        <v>58500</v>
      </c>
      <c r="G5" s="181">
        <v>28000</v>
      </c>
      <c r="H5" s="187">
        <v>58500</v>
      </c>
      <c r="I5" s="188">
        <f t="shared" si="1"/>
        <v>24148</v>
      </c>
      <c r="J5" s="189">
        <f t="shared" si="2"/>
        <v>0.41278632478632477</v>
      </c>
      <c r="K5" s="190" t="s">
        <v>383</v>
      </c>
      <c r="L5" s="191" t="str">
        <f t="shared" si="3"/>
        <v>✅ OK</v>
      </c>
      <c r="M5" s="21">
        <f t="shared" si="4"/>
        <v>6092</v>
      </c>
      <c r="N5" s="21">
        <f t="shared" si="5"/>
        <v>8980</v>
      </c>
    </row>
    <row r="6" spans="1:14" ht="16.5" x14ac:dyDescent="0.55000000000000004">
      <c r="A6" s="174" t="s">
        <v>2284</v>
      </c>
      <c r="B6" s="175">
        <v>13.5</v>
      </c>
      <c r="C6" s="181">
        <f>ทุนไวนิล!D38</f>
        <v>28175</v>
      </c>
      <c r="D6" s="181">
        <f t="shared" si="0"/>
        <v>2087.037037037037</v>
      </c>
      <c r="E6" s="181">
        <v>6000</v>
      </c>
      <c r="F6" s="181">
        <v>81000</v>
      </c>
      <c r="G6" s="181">
        <v>28000</v>
      </c>
      <c r="H6" s="187">
        <v>81000</v>
      </c>
      <c r="I6" s="188">
        <f t="shared" si="1"/>
        <v>34612</v>
      </c>
      <c r="J6" s="189">
        <f t="shared" si="2"/>
        <v>0.42730864197530866</v>
      </c>
      <c r="K6" s="190" t="s">
        <v>383</v>
      </c>
      <c r="L6" s="191" t="str">
        <f t="shared" si="3"/>
        <v>✅ OK</v>
      </c>
      <c r="M6" s="21">
        <f t="shared" si="4"/>
        <v>7478</v>
      </c>
      <c r="N6" s="21">
        <f t="shared" si="5"/>
        <v>10735</v>
      </c>
    </row>
    <row r="7" spans="1:14" ht="16.5" x14ac:dyDescent="0.55000000000000004">
      <c r="A7" s="174" t="s">
        <v>2285</v>
      </c>
      <c r="B7" s="175">
        <v>18</v>
      </c>
      <c r="C7" s="181">
        <f>ทุนไวนิล!D50</f>
        <v>38195</v>
      </c>
      <c r="D7" s="181">
        <f t="shared" si="0"/>
        <v>2121.9444444444443</v>
      </c>
      <c r="E7" s="181">
        <v>5500</v>
      </c>
      <c r="F7" s="181">
        <v>99000</v>
      </c>
      <c r="G7" s="181">
        <v>28000</v>
      </c>
      <c r="H7" s="187">
        <v>99000</v>
      </c>
      <c r="I7" s="188">
        <f t="shared" si="1"/>
        <v>39451</v>
      </c>
      <c r="J7" s="189">
        <f t="shared" si="2"/>
        <v>0.39849494949494951</v>
      </c>
      <c r="K7" s="190" t="s">
        <v>383</v>
      </c>
      <c r="L7" s="191" t="str">
        <f t="shared" si="3"/>
        <v>✅ OK</v>
      </c>
      <c r="M7" s="21">
        <f t="shared" si="4"/>
        <v>8864</v>
      </c>
      <c r="N7" s="21">
        <f t="shared" si="5"/>
        <v>12490</v>
      </c>
    </row>
    <row r="8" spans="1:14" ht="16.5" x14ac:dyDescent="0.55000000000000004">
      <c r="A8" s="174" t="s">
        <v>2286</v>
      </c>
      <c r="B8" s="175">
        <v>24</v>
      </c>
      <c r="C8" s="181">
        <f>ทุนไวนิล!D62</f>
        <v>50955</v>
      </c>
      <c r="D8" s="181">
        <f t="shared" si="0"/>
        <v>2123.125</v>
      </c>
      <c r="E8" s="181">
        <v>5500</v>
      </c>
      <c r="F8" s="181">
        <v>132000</v>
      </c>
      <c r="G8" s="181">
        <v>28000</v>
      </c>
      <c r="H8" s="187">
        <v>132000</v>
      </c>
      <c r="I8" s="188">
        <f t="shared" si="1"/>
        <v>55503</v>
      </c>
      <c r="J8" s="189">
        <f t="shared" si="2"/>
        <v>0.4204772727272727</v>
      </c>
      <c r="K8" s="190" t="s">
        <v>383</v>
      </c>
      <c r="L8" s="191" t="str">
        <f t="shared" si="3"/>
        <v>✅ OK</v>
      </c>
      <c r="M8" s="21">
        <f t="shared" si="4"/>
        <v>10712</v>
      </c>
      <c r="N8" s="21">
        <f t="shared" si="5"/>
        <v>14830</v>
      </c>
    </row>
    <row r="9" spans="1:14" ht="16.5" x14ac:dyDescent="0.55000000000000004">
      <c r="A9" s="174" t="s">
        <v>2287</v>
      </c>
      <c r="B9" s="175">
        <v>30</v>
      </c>
      <c r="C9" s="181">
        <f>ทุนไวนิล!D74</f>
        <v>63055</v>
      </c>
      <c r="D9" s="181">
        <f t="shared" si="0"/>
        <v>2101.8333333333335</v>
      </c>
      <c r="E9" s="181">
        <v>5500</v>
      </c>
      <c r="F9" s="181">
        <v>165000</v>
      </c>
      <c r="G9" s="181">
        <v>28000</v>
      </c>
      <c r="H9" s="187">
        <v>165000</v>
      </c>
      <c r="I9" s="188">
        <f t="shared" si="1"/>
        <v>72215</v>
      </c>
      <c r="J9" s="189">
        <f t="shared" si="2"/>
        <v>0.43766666666666665</v>
      </c>
      <c r="K9" s="190" t="s">
        <v>383</v>
      </c>
      <c r="L9" s="191" t="str">
        <f t="shared" si="3"/>
        <v>✅ OK</v>
      </c>
      <c r="M9" s="21">
        <f t="shared" si="4"/>
        <v>12560</v>
      </c>
      <c r="N9" s="21">
        <f t="shared" si="5"/>
        <v>17170</v>
      </c>
    </row>
    <row r="11" spans="1:14" ht="15.5" x14ac:dyDescent="0.35">
      <c r="A11" s="458" t="s">
        <v>2288</v>
      </c>
      <c r="B11" s="411"/>
      <c r="C11" s="411"/>
      <c r="D11" s="411"/>
      <c r="E11" s="411"/>
      <c r="F11" s="411"/>
      <c r="G11" s="411"/>
      <c r="H11" s="411"/>
      <c r="I11" s="411"/>
      <c r="J11" s="411"/>
      <c r="K11" s="411"/>
      <c r="L11" s="411"/>
    </row>
    <row r="12" spans="1:14" ht="16.5" x14ac:dyDescent="0.55000000000000004">
      <c r="A12" s="174" t="s">
        <v>2282</v>
      </c>
      <c r="B12" s="175">
        <v>4.5</v>
      </c>
      <c r="C12" s="181">
        <f>ทุนดีไลท์!D14</f>
        <v>9860</v>
      </c>
      <c r="D12" s="181">
        <f t="shared" ref="D12:D17" si="6">IF(B12&gt;0,C12/B12,0)</f>
        <v>2191.1111111111113</v>
      </c>
      <c r="E12" s="181">
        <v>6500</v>
      </c>
      <c r="F12" s="181">
        <v>29250</v>
      </c>
      <c r="G12" s="181">
        <v>28000</v>
      </c>
      <c r="H12" s="187">
        <v>29250</v>
      </c>
      <c r="I12" s="188">
        <f t="shared" ref="I12:I17" si="7">H12-C12-M12-N12</f>
        <v>7459</v>
      </c>
      <c r="J12" s="189">
        <f t="shared" ref="J12:J17" si="8">IF(H12&gt;0,I12/H12,0)</f>
        <v>0.25500854700854703</v>
      </c>
      <c r="K12" s="190" t="s">
        <v>383</v>
      </c>
      <c r="L12" s="191" t="str">
        <f t="shared" ref="L12:L17" si="9">IF(I12&lt;0,"🔴 ขาดทุน",IF(J12&lt;0.2,"⚠️ บาง","✅ OK"))</f>
        <v>✅ OK</v>
      </c>
      <c r="M12" s="21">
        <f t="shared" ref="M12:M17" si="10">ROUND(3320+308*B12,0)</f>
        <v>4706</v>
      </c>
      <c r="N12" s="21">
        <f t="shared" ref="N12:N17" si="11">ROUND(5470+390*B12,0)</f>
        <v>7225</v>
      </c>
    </row>
    <row r="13" spans="1:14" ht="16.5" x14ac:dyDescent="0.55000000000000004">
      <c r="A13" s="174" t="s">
        <v>2283</v>
      </c>
      <c r="B13" s="175">
        <v>9</v>
      </c>
      <c r="C13" s="181">
        <f>ทุนดีไลท์!D26</f>
        <v>17970</v>
      </c>
      <c r="D13" s="181">
        <f t="shared" si="6"/>
        <v>1996.6666666666667</v>
      </c>
      <c r="E13" s="181">
        <v>6500</v>
      </c>
      <c r="F13" s="181">
        <v>58500</v>
      </c>
      <c r="G13" s="181">
        <v>28000</v>
      </c>
      <c r="H13" s="187">
        <v>58500</v>
      </c>
      <c r="I13" s="188">
        <f t="shared" si="7"/>
        <v>25458</v>
      </c>
      <c r="J13" s="189">
        <f t="shared" si="8"/>
        <v>0.43517948717948718</v>
      </c>
      <c r="K13" s="190" t="s">
        <v>383</v>
      </c>
      <c r="L13" s="191" t="str">
        <f t="shared" si="9"/>
        <v>✅ OK</v>
      </c>
      <c r="M13" s="21">
        <f t="shared" si="10"/>
        <v>6092</v>
      </c>
      <c r="N13" s="21">
        <f t="shared" si="11"/>
        <v>8980</v>
      </c>
    </row>
    <row r="14" spans="1:14" ht="16.5" x14ac:dyDescent="0.55000000000000004">
      <c r="A14" s="174" t="s">
        <v>2284</v>
      </c>
      <c r="B14" s="175">
        <v>13.5</v>
      </c>
      <c r="C14" s="181">
        <f>ทุนดีไลท์!D38</f>
        <v>26210</v>
      </c>
      <c r="D14" s="181">
        <f t="shared" si="6"/>
        <v>1941.4814814814815</v>
      </c>
      <c r="E14" s="181">
        <v>6000</v>
      </c>
      <c r="F14" s="181">
        <v>81000</v>
      </c>
      <c r="G14" s="181">
        <v>28000</v>
      </c>
      <c r="H14" s="187">
        <v>81000</v>
      </c>
      <c r="I14" s="188">
        <f t="shared" si="7"/>
        <v>36577</v>
      </c>
      <c r="J14" s="189">
        <f t="shared" si="8"/>
        <v>0.45156790123456791</v>
      </c>
      <c r="K14" s="190" t="s">
        <v>383</v>
      </c>
      <c r="L14" s="191" t="str">
        <f t="shared" si="9"/>
        <v>✅ OK</v>
      </c>
      <c r="M14" s="21">
        <f t="shared" si="10"/>
        <v>7478</v>
      </c>
      <c r="N14" s="21">
        <f t="shared" si="11"/>
        <v>10735</v>
      </c>
    </row>
    <row r="15" spans="1:14" ht="16.5" x14ac:dyDescent="0.55000000000000004">
      <c r="A15" s="174" t="s">
        <v>2285</v>
      </c>
      <c r="B15" s="175">
        <v>18</v>
      </c>
      <c r="C15" s="181">
        <f>ทุนดีไลท์!D50</f>
        <v>30875</v>
      </c>
      <c r="D15" s="181">
        <f t="shared" si="6"/>
        <v>1715.2777777777778</v>
      </c>
      <c r="E15" s="181">
        <v>5500</v>
      </c>
      <c r="F15" s="181">
        <v>99000</v>
      </c>
      <c r="G15" s="181">
        <v>28000</v>
      </c>
      <c r="H15" s="187">
        <v>99000</v>
      </c>
      <c r="I15" s="188">
        <f t="shared" si="7"/>
        <v>46771</v>
      </c>
      <c r="J15" s="189">
        <f t="shared" si="8"/>
        <v>0.47243434343434343</v>
      </c>
      <c r="K15" s="190" t="s">
        <v>383</v>
      </c>
      <c r="L15" s="191" t="str">
        <f t="shared" si="9"/>
        <v>✅ OK</v>
      </c>
      <c r="M15" s="21">
        <f t="shared" si="10"/>
        <v>8864</v>
      </c>
      <c r="N15" s="21">
        <f t="shared" si="11"/>
        <v>12490</v>
      </c>
    </row>
    <row r="16" spans="1:14" ht="16.5" x14ac:dyDescent="0.55000000000000004">
      <c r="A16" s="174" t="s">
        <v>2286</v>
      </c>
      <c r="B16" s="175">
        <v>24</v>
      </c>
      <c r="C16" s="181">
        <f>ทุนดีไลท์!D62</f>
        <v>36495</v>
      </c>
      <c r="D16" s="181">
        <f t="shared" si="6"/>
        <v>1520.625</v>
      </c>
      <c r="E16" s="181">
        <v>5500</v>
      </c>
      <c r="F16" s="181">
        <v>132000</v>
      </c>
      <c r="G16" s="181">
        <v>28000</v>
      </c>
      <c r="H16" s="187">
        <v>132000</v>
      </c>
      <c r="I16" s="188">
        <f t="shared" si="7"/>
        <v>69963</v>
      </c>
      <c r="J16" s="189">
        <f t="shared" si="8"/>
        <v>0.53002272727272726</v>
      </c>
      <c r="K16" s="190" t="s">
        <v>383</v>
      </c>
      <c r="L16" s="191" t="str">
        <f t="shared" si="9"/>
        <v>✅ OK</v>
      </c>
      <c r="M16" s="21">
        <f t="shared" si="10"/>
        <v>10712</v>
      </c>
      <c r="N16" s="21">
        <f t="shared" si="11"/>
        <v>14830</v>
      </c>
    </row>
    <row r="17" spans="1:14" ht="16.5" x14ac:dyDescent="0.55000000000000004">
      <c r="A17" s="174" t="s">
        <v>2287</v>
      </c>
      <c r="B17" s="175">
        <v>30</v>
      </c>
      <c r="C17" s="181">
        <f>ทุนดีไลท์!D74</f>
        <v>46155</v>
      </c>
      <c r="D17" s="181">
        <f t="shared" si="6"/>
        <v>1538.5</v>
      </c>
      <c r="E17" s="181">
        <v>5500</v>
      </c>
      <c r="F17" s="181">
        <v>165000</v>
      </c>
      <c r="G17" s="181">
        <v>28000</v>
      </c>
      <c r="H17" s="187">
        <v>165000</v>
      </c>
      <c r="I17" s="188">
        <f t="shared" si="7"/>
        <v>89115</v>
      </c>
      <c r="J17" s="189">
        <f t="shared" si="8"/>
        <v>0.54009090909090907</v>
      </c>
      <c r="K17" s="190" t="s">
        <v>383</v>
      </c>
      <c r="L17" s="191" t="str">
        <f t="shared" si="9"/>
        <v>✅ OK</v>
      </c>
      <c r="M17" s="21">
        <f t="shared" si="10"/>
        <v>12560</v>
      </c>
      <c r="N17" s="21">
        <f t="shared" si="11"/>
        <v>17170</v>
      </c>
    </row>
    <row r="19" spans="1:14" ht="15.5" x14ac:dyDescent="0.35">
      <c r="A19" s="458" t="s">
        <v>2289</v>
      </c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411"/>
    </row>
    <row r="20" spans="1:14" ht="16.5" x14ac:dyDescent="0.55000000000000004">
      <c r="A20" s="174" t="s">
        <v>2282</v>
      </c>
      <c r="B20" s="175">
        <v>4.5</v>
      </c>
      <c r="C20" s="181">
        <f>ทุนโพลีตัน!D14</f>
        <v>13260</v>
      </c>
      <c r="D20" s="181">
        <f t="shared" ref="D20:D25" si="12">IF(B20&gt;0,C20/B20,0)</f>
        <v>2946.6666666666665</v>
      </c>
      <c r="E20" s="181">
        <v>7500</v>
      </c>
      <c r="F20" s="181">
        <v>33750</v>
      </c>
      <c r="G20" s="181">
        <v>28000</v>
      </c>
      <c r="H20" s="187">
        <v>33750</v>
      </c>
      <c r="I20" s="188">
        <f t="shared" ref="I20:I25" si="13">H20-C20-M20-N20</f>
        <v>8559</v>
      </c>
      <c r="J20" s="189">
        <f t="shared" ref="J20:J25" si="14">IF(H20&gt;0,I20/H20,0)</f>
        <v>0.25359999999999999</v>
      </c>
      <c r="K20" s="190" t="s">
        <v>383</v>
      </c>
      <c r="L20" s="191" t="str">
        <f t="shared" ref="L20:L25" si="15">IF(I20&lt;0,"🔴 ขาดทุน",IF(J20&lt;0.2,"⚠️ บาง","✅ OK"))</f>
        <v>✅ OK</v>
      </c>
      <c r="M20" s="21">
        <f t="shared" ref="M20:M25" si="16">ROUND(3320+308*B20,0)</f>
        <v>4706</v>
      </c>
      <c r="N20" s="21">
        <f t="shared" ref="N20:N25" si="17">ROUND(5470+390*B20,0)</f>
        <v>7225</v>
      </c>
    </row>
    <row r="21" spans="1:14" ht="16.5" x14ac:dyDescent="0.55000000000000004">
      <c r="A21" s="174" t="s">
        <v>2283</v>
      </c>
      <c r="B21" s="175">
        <v>9</v>
      </c>
      <c r="C21" s="181">
        <f>ทุนโพลีตัน!D26</f>
        <v>22730</v>
      </c>
      <c r="D21" s="181">
        <f t="shared" si="12"/>
        <v>2525.5555555555557</v>
      </c>
      <c r="E21" s="181">
        <v>7500</v>
      </c>
      <c r="F21" s="181">
        <v>67500</v>
      </c>
      <c r="G21" s="181">
        <v>28000</v>
      </c>
      <c r="H21" s="187">
        <v>67500</v>
      </c>
      <c r="I21" s="188">
        <f t="shared" si="13"/>
        <v>29698</v>
      </c>
      <c r="J21" s="189">
        <f t="shared" si="14"/>
        <v>0.43997037037037035</v>
      </c>
      <c r="K21" s="190" t="s">
        <v>383</v>
      </c>
      <c r="L21" s="191" t="str">
        <f t="shared" si="15"/>
        <v>✅ OK</v>
      </c>
      <c r="M21" s="21">
        <f t="shared" si="16"/>
        <v>6092</v>
      </c>
      <c r="N21" s="21">
        <f t="shared" si="17"/>
        <v>8980</v>
      </c>
    </row>
    <row r="22" spans="1:14" ht="16.5" x14ac:dyDescent="0.55000000000000004">
      <c r="A22" s="174" t="s">
        <v>2284</v>
      </c>
      <c r="B22" s="175">
        <v>13.5</v>
      </c>
      <c r="C22" s="181">
        <f>ทุนโพลีตัน!D38</f>
        <v>31550</v>
      </c>
      <c r="D22" s="181">
        <f t="shared" si="12"/>
        <v>2337.037037037037</v>
      </c>
      <c r="E22" s="181">
        <v>6500</v>
      </c>
      <c r="F22" s="181">
        <v>87750</v>
      </c>
      <c r="G22" s="181">
        <v>28000</v>
      </c>
      <c r="H22" s="187">
        <v>87750</v>
      </c>
      <c r="I22" s="188">
        <f t="shared" si="13"/>
        <v>37987</v>
      </c>
      <c r="J22" s="189">
        <f t="shared" si="14"/>
        <v>0.43290028490028493</v>
      </c>
      <c r="K22" s="190" t="s">
        <v>383</v>
      </c>
      <c r="L22" s="191" t="str">
        <f t="shared" si="15"/>
        <v>✅ OK</v>
      </c>
      <c r="M22" s="21">
        <f t="shared" si="16"/>
        <v>7478</v>
      </c>
      <c r="N22" s="21">
        <f t="shared" si="17"/>
        <v>10735</v>
      </c>
    </row>
    <row r="23" spans="1:14" ht="16.5" x14ac:dyDescent="0.55000000000000004">
      <c r="A23" s="174" t="s">
        <v>2285</v>
      </c>
      <c r="B23" s="175">
        <v>18</v>
      </c>
      <c r="C23" s="181">
        <f>ทุนโพลีตัน!D50</f>
        <v>41075</v>
      </c>
      <c r="D23" s="181">
        <f t="shared" si="12"/>
        <v>2281.9444444444443</v>
      </c>
      <c r="E23" s="181">
        <v>6000</v>
      </c>
      <c r="F23" s="181">
        <v>108000</v>
      </c>
      <c r="G23" s="181">
        <v>28000</v>
      </c>
      <c r="H23" s="187">
        <v>108000</v>
      </c>
      <c r="I23" s="188">
        <f t="shared" si="13"/>
        <v>45571</v>
      </c>
      <c r="J23" s="189">
        <f t="shared" si="14"/>
        <v>0.42195370370370372</v>
      </c>
      <c r="K23" s="190" t="s">
        <v>383</v>
      </c>
      <c r="L23" s="191" t="str">
        <f t="shared" si="15"/>
        <v>✅ OK</v>
      </c>
      <c r="M23" s="21">
        <f t="shared" si="16"/>
        <v>8864</v>
      </c>
      <c r="N23" s="21">
        <f t="shared" si="17"/>
        <v>12490</v>
      </c>
    </row>
    <row r="24" spans="1:14" ht="16.5" x14ac:dyDescent="0.55000000000000004">
      <c r="A24" s="174" t="s">
        <v>2286</v>
      </c>
      <c r="B24" s="175">
        <v>24</v>
      </c>
      <c r="C24" s="181">
        <f>ทุนโพลีตัน!D62</f>
        <v>54795</v>
      </c>
      <c r="D24" s="181">
        <f t="shared" si="12"/>
        <v>2283.125</v>
      </c>
      <c r="E24" s="181">
        <v>6000</v>
      </c>
      <c r="F24" s="181">
        <v>144000</v>
      </c>
      <c r="G24" s="181">
        <v>28000</v>
      </c>
      <c r="H24" s="187">
        <v>144000</v>
      </c>
      <c r="I24" s="188">
        <f t="shared" si="13"/>
        <v>63663</v>
      </c>
      <c r="J24" s="189">
        <f t="shared" si="14"/>
        <v>0.44210416666666669</v>
      </c>
      <c r="K24" s="190" t="s">
        <v>383</v>
      </c>
      <c r="L24" s="191" t="str">
        <f t="shared" si="15"/>
        <v>✅ OK</v>
      </c>
      <c r="M24" s="21">
        <f t="shared" si="16"/>
        <v>10712</v>
      </c>
      <c r="N24" s="21">
        <f t="shared" si="17"/>
        <v>14830</v>
      </c>
    </row>
    <row r="25" spans="1:14" ht="16.5" x14ac:dyDescent="0.55000000000000004">
      <c r="A25" s="174" t="s">
        <v>2287</v>
      </c>
      <c r="B25" s="175">
        <v>30</v>
      </c>
      <c r="C25" s="181">
        <f>ทุนโพลีตัน!D74</f>
        <v>69475</v>
      </c>
      <c r="D25" s="181">
        <f t="shared" si="12"/>
        <v>2315.8333333333335</v>
      </c>
      <c r="E25" s="181">
        <v>6000</v>
      </c>
      <c r="F25" s="181">
        <v>180000</v>
      </c>
      <c r="G25" s="181">
        <v>28000</v>
      </c>
      <c r="H25" s="187">
        <v>180000</v>
      </c>
      <c r="I25" s="188">
        <f t="shared" si="13"/>
        <v>80795</v>
      </c>
      <c r="J25" s="189">
        <f t="shared" si="14"/>
        <v>0.4488611111111111</v>
      </c>
      <c r="K25" s="190" t="s">
        <v>383</v>
      </c>
      <c r="L25" s="191" t="str">
        <f t="shared" si="15"/>
        <v>✅ OK</v>
      </c>
      <c r="M25" s="21">
        <f t="shared" si="16"/>
        <v>12560</v>
      </c>
      <c r="N25" s="21">
        <f t="shared" si="17"/>
        <v>17170</v>
      </c>
    </row>
    <row r="27" spans="1:14" ht="15.5" x14ac:dyDescent="0.35">
      <c r="A27" s="458" t="s">
        <v>2290</v>
      </c>
      <c r="B27" s="411"/>
      <c r="C27" s="411"/>
      <c r="D27" s="411"/>
      <c r="E27" s="411"/>
      <c r="F27" s="411"/>
      <c r="G27" s="411"/>
      <c r="H27" s="411"/>
      <c r="I27" s="411"/>
      <c r="J27" s="411"/>
      <c r="K27" s="411"/>
      <c r="L27" s="411"/>
    </row>
    <row r="28" spans="1:14" ht="16.5" x14ac:dyDescent="0.55000000000000004">
      <c r="A28" s="174" t="s">
        <v>2282</v>
      </c>
      <c r="B28" s="175">
        <v>4.5</v>
      </c>
      <c r="C28" s="181">
        <f>'ทุนชินโคร์ HC'!D13</f>
        <v>17760</v>
      </c>
      <c r="D28" s="181">
        <f t="shared" ref="D28:D33" si="18">IF(B28&gt;0,C28/B28,0)</f>
        <v>3946.6666666666665</v>
      </c>
      <c r="E28" s="181">
        <v>11000</v>
      </c>
      <c r="F28" s="181">
        <v>49500</v>
      </c>
      <c r="G28" s="192" t="s">
        <v>2291</v>
      </c>
      <c r="H28" s="187">
        <v>49500</v>
      </c>
      <c r="I28" s="188">
        <f t="shared" ref="I28:I33" si="19">H28-C28-M28-N28</f>
        <v>19809</v>
      </c>
      <c r="J28" s="189">
        <f t="shared" ref="J28:J33" si="20">IF(H28&gt;0,I28/H28,0)</f>
        <v>0.40018181818181819</v>
      </c>
      <c r="K28" s="190" t="s">
        <v>383</v>
      </c>
      <c r="L28" s="191" t="str">
        <f t="shared" ref="L28:L33" si="21">IF(I28&lt;0,"🔴 ขาดทุน",IF(J28&lt;0.2,"⚠️ บาง","✅ OK"))</f>
        <v>✅ OK</v>
      </c>
      <c r="M28" s="21">
        <f t="shared" ref="M28:M33" si="22">ROUND(3320+308*B28,0)</f>
        <v>4706</v>
      </c>
      <c r="N28" s="21">
        <f t="shared" ref="N28:N33" si="23">ROUND(5470+390*B28,0)</f>
        <v>7225</v>
      </c>
    </row>
    <row r="29" spans="1:14" ht="16.5" x14ac:dyDescent="0.55000000000000004">
      <c r="A29" s="174" t="s">
        <v>2283</v>
      </c>
      <c r="B29" s="175">
        <v>9</v>
      </c>
      <c r="C29" s="181">
        <f>'ทุนชินโคร์ HC'!D24</f>
        <v>33770</v>
      </c>
      <c r="D29" s="181">
        <f t="shared" si="18"/>
        <v>3752.2222222222222</v>
      </c>
      <c r="E29" s="181">
        <v>11000</v>
      </c>
      <c r="F29" s="181">
        <v>99000</v>
      </c>
      <c r="G29" s="192" t="s">
        <v>2291</v>
      </c>
      <c r="H29" s="187">
        <v>99000</v>
      </c>
      <c r="I29" s="188">
        <f t="shared" si="19"/>
        <v>50158</v>
      </c>
      <c r="J29" s="189">
        <f t="shared" si="20"/>
        <v>0.50664646464646468</v>
      </c>
      <c r="K29" s="190" t="s">
        <v>383</v>
      </c>
      <c r="L29" s="191" t="str">
        <f t="shared" si="21"/>
        <v>✅ OK</v>
      </c>
      <c r="M29" s="21">
        <f t="shared" si="22"/>
        <v>6092</v>
      </c>
      <c r="N29" s="21">
        <f t="shared" si="23"/>
        <v>8980</v>
      </c>
    </row>
    <row r="30" spans="1:14" ht="16.5" x14ac:dyDescent="0.55000000000000004">
      <c r="A30" s="174" t="s">
        <v>2284</v>
      </c>
      <c r="B30" s="175">
        <v>13.5</v>
      </c>
      <c r="C30" s="181">
        <f>'ทุนชินโคร์ HC'!D35</f>
        <v>49910</v>
      </c>
      <c r="D30" s="181">
        <f t="shared" si="18"/>
        <v>3697.037037037037</v>
      </c>
      <c r="E30" s="181">
        <v>10500</v>
      </c>
      <c r="F30" s="181">
        <v>141750</v>
      </c>
      <c r="G30" s="192" t="s">
        <v>2291</v>
      </c>
      <c r="H30" s="187">
        <v>141750</v>
      </c>
      <c r="I30" s="188">
        <f t="shared" si="19"/>
        <v>73627</v>
      </c>
      <c r="J30" s="189">
        <f t="shared" si="20"/>
        <v>0.51941446208112874</v>
      </c>
      <c r="K30" s="190" t="s">
        <v>383</v>
      </c>
      <c r="L30" s="191" t="str">
        <f t="shared" si="21"/>
        <v>✅ OK</v>
      </c>
      <c r="M30" s="21">
        <f t="shared" si="22"/>
        <v>7478</v>
      </c>
      <c r="N30" s="21">
        <f t="shared" si="23"/>
        <v>10735</v>
      </c>
    </row>
    <row r="31" spans="1:14" ht="16.5" x14ac:dyDescent="0.55000000000000004">
      <c r="A31" s="174" t="s">
        <v>2285</v>
      </c>
      <c r="B31" s="175">
        <v>18</v>
      </c>
      <c r="C31" s="181">
        <f>'ทุนชินโคร์ HC'!D46</f>
        <v>67175</v>
      </c>
      <c r="D31" s="181">
        <f t="shared" si="18"/>
        <v>3731.9444444444443</v>
      </c>
      <c r="E31" s="181">
        <v>10000</v>
      </c>
      <c r="F31" s="181">
        <v>180000</v>
      </c>
      <c r="G31" s="192" t="s">
        <v>2291</v>
      </c>
      <c r="H31" s="187">
        <v>180000</v>
      </c>
      <c r="I31" s="188">
        <f t="shared" si="19"/>
        <v>91471</v>
      </c>
      <c r="J31" s="189">
        <f t="shared" si="20"/>
        <v>0.50817222222222225</v>
      </c>
      <c r="K31" s="190" t="s">
        <v>383</v>
      </c>
      <c r="L31" s="191" t="str">
        <f t="shared" si="21"/>
        <v>✅ OK</v>
      </c>
      <c r="M31" s="21">
        <f t="shared" si="22"/>
        <v>8864</v>
      </c>
      <c r="N31" s="21">
        <f t="shared" si="23"/>
        <v>12490</v>
      </c>
    </row>
    <row r="32" spans="1:14" ht="16.5" x14ac:dyDescent="0.55000000000000004">
      <c r="A32" s="174" t="s">
        <v>2286</v>
      </c>
      <c r="B32" s="175">
        <v>24</v>
      </c>
      <c r="C32" s="181">
        <f>'ทุนชินโคร์ HC'!D57</f>
        <v>89595</v>
      </c>
      <c r="D32" s="181">
        <f t="shared" si="18"/>
        <v>3733.125</v>
      </c>
      <c r="E32" s="181">
        <v>10000</v>
      </c>
      <c r="F32" s="181">
        <v>240000</v>
      </c>
      <c r="G32" s="192" t="s">
        <v>2291</v>
      </c>
      <c r="H32" s="187">
        <v>240000</v>
      </c>
      <c r="I32" s="188">
        <f t="shared" si="19"/>
        <v>124863</v>
      </c>
      <c r="J32" s="189">
        <f t="shared" si="20"/>
        <v>0.52026249999999996</v>
      </c>
      <c r="K32" s="190" t="s">
        <v>383</v>
      </c>
      <c r="L32" s="191" t="str">
        <f t="shared" si="21"/>
        <v>✅ OK</v>
      </c>
      <c r="M32" s="21">
        <f t="shared" si="22"/>
        <v>10712</v>
      </c>
      <c r="N32" s="21">
        <f t="shared" si="23"/>
        <v>14830</v>
      </c>
    </row>
    <row r="33" spans="1:14" ht="16.5" x14ac:dyDescent="0.55000000000000004">
      <c r="A33" s="174" t="s">
        <v>2287</v>
      </c>
      <c r="B33" s="175">
        <v>30</v>
      </c>
      <c r="C33" s="181">
        <f>'ทุนชินโคร์ HC'!D68</f>
        <v>111355</v>
      </c>
      <c r="D33" s="181">
        <f t="shared" si="18"/>
        <v>3711.8333333333335</v>
      </c>
      <c r="E33" s="181">
        <v>10000</v>
      </c>
      <c r="F33" s="181">
        <v>300000</v>
      </c>
      <c r="G33" s="192" t="s">
        <v>2291</v>
      </c>
      <c r="H33" s="187">
        <v>300000</v>
      </c>
      <c r="I33" s="188">
        <f t="shared" si="19"/>
        <v>158915</v>
      </c>
      <c r="J33" s="189">
        <f t="shared" si="20"/>
        <v>0.52971666666666661</v>
      </c>
      <c r="K33" s="190" t="s">
        <v>383</v>
      </c>
      <c r="L33" s="191" t="str">
        <f t="shared" si="21"/>
        <v>✅ OK</v>
      </c>
      <c r="M33" s="21">
        <f t="shared" si="22"/>
        <v>12560</v>
      </c>
      <c r="N33" s="21">
        <f t="shared" si="23"/>
        <v>17170</v>
      </c>
    </row>
    <row r="35" spans="1:14" ht="15.5" x14ac:dyDescent="0.35">
      <c r="A35" s="458" t="s">
        <v>2292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1"/>
    </row>
    <row r="36" spans="1:14" ht="16.5" x14ac:dyDescent="0.55000000000000004">
      <c r="A36" s="174" t="s">
        <v>2282</v>
      </c>
      <c r="B36" s="175">
        <v>4.5</v>
      </c>
      <c r="C36" s="181">
        <f>'ทุนชินโคร์ Sup'!D13</f>
        <v>14610</v>
      </c>
      <c r="D36" s="181">
        <f t="shared" ref="D36:D41" si="24">IF(B36&gt;0,C36/B36,0)</f>
        <v>3246.6666666666665</v>
      </c>
      <c r="E36" s="181">
        <v>10600</v>
      </c>
      <c r="F36" s="181">
        <v>47700</v>
      </c>
      <c r="G36" s="192" t="s">
        <v>2291</v>
      </c>
      <c r="H36" s="187">
        <v>47700</v>
      </c>
      <c r="I36" s="188">
        <f t="shared" ref="I36:I41" si="25">H36-C36-M36-N36</f>
        <v>21159</v>
      </c>
      <c r="J36" s="189">
        <f t="shared" ref="J36:J41" si="26">IF(H36&gt;0,I36/H36,0)</f>
        <v>0.44358490566037734</v>
      </c>
      <c r="K36" s="190" t="s">
        <v>383</v>
      </c>
      <c r="L36" s="191" t="str">
        <f t="shared" ref="L36:L41" si="27">IF(I36&lt;0,"🔴 ขาดทุน",IF(J36&lt;0.2,"⚠️ บาง","✅ OK"))</f>
        <v>✅ OK</v>
      </c>
      <c r="M36" s="21">
        <f t="shared" ref="M36:M41" si="28">ROUND(3320+308*B36,0)</f>
        <v>4706</v>
      </c>
      <c r="N36" s="21">
        <f t="shared" ref="N36:N41" si="29">ROUND(5470+390*B36,0)</f>
        <v>7225</v>
      </c>
    </row>
    <row r="37" spans="1:14" ht="16.5" x14ac:dyDescent="0.55000000000000004">
      <c r="A37" s="174" t="s">
        <v>2283</v>
      </c>
      <c r="B37" s="175">
        <v>9</v>
      </c>
      <c r="C37" s="181">
        <f>'ทุนชินโคร์ Sup'!D24</f>
        <v>27470</v>
      </c>
      <c r="D37" s="181">
        <f t="shared" si="24"/>
        <v>3052.2222222222222</v>
      </c>
      <c r="E37" s="181">
        <v>10600</v>
      </c>
      <c r="F37" s="181">
        <v>95400</v>
      </c>
      <c r="G37" s="192" t="s">
        <v>2291</v>
      </c>
      <c r="H37" s="187">
        <v>95400</v>
      </c>
      <c r="I37" s="188">
        <f t="shared" si="25"/>
        <v>52858</v>
      </c>
      <c r="J37" s="189">
        <f t="shared" si="26"/>
        <v>0.55406708595387844</v>
      </c>
      <c r="K37" s="190" t="s">
        <v>383</v>
      </c>
      <c r="L37" s="191" t="str">
        <f t="shared" si="27"/>
        <v>✅ OK</v>
      </c>
      <c r="M37" s="21">
        <f t="shared" si="28"/>
        <v>6092</v>
      </c>
      <c r="N37" s="21">
        <f t="shared" si="29"/>
        <v>8980</v>
      </c>
    </row>
    <row r="38" spans="1:14" ht="16.5" x14ac:dyDescent="0.55000000000000004">
      <c r="A38" s="174" t="s">
        <v>2284</v>
      </c>
      <c r="B38" s="175">
        <v>13.5</v>
      </c>
      <c r="C38" s="181">
        <f>'ทุนชินโคร์ Sup'!D35</f>
        <v>40460</v>
      </c>
      <c r="D38" s="181">
        <f t="shared" si="24"/>
        <v>2997.037037037037</v>
      </c>
      <c r="E38" s="181">
        <v>10000</v>
      </c>
      <c r="F38" s="181">
        <v>135000</v>
      </c>
      <c r="G38" s="192" t="s">
        <v>2291</v>
      </c>
      <c r="H38" s="187">
        <v>135000</v>
      </c>
      <c r="I38" s="188">
        <f t="shared" si="25"/>
        <v>76327</v>
      </c>
      <c r="J38" s="189">
        <f t="shared" si="26"/>
        <v>0.56538518518518521</v>
      </c>
      <c r="K38" s="190" t="s">
        <v>383</v>
      </c>
      <c r="L38" s="191" t="str">
        <f t="shared" si="27"/>
        <v>✅ OK</v>
      </c>
      <c r="M38" s="21">
        <f t="shared" si="28"/>
        <v>7478</v>
      </c>
      <c r="N38" s="21">
        <f t="shared" si="29"/>
        <v>10735</v>
      </c>
    </row>
    <row r="39" spans="1:14" ht="16.5" x14ac:dyDescent="0.55000000000000004">
      <c r="A39" s="174" t="s">
        <v>2285</v>
      </c>
      <c r="B39" s="175">
        <v>18</v>
      </c>
      <c r="C39" s="181">
        <f>'ทุนชินโคร์ Sup'!D46</f>
        <v>54575</v>
      </c>
      <c r="D39" s="181">
        <f t="shared" si="24"/>
        <v>3031.9444444444443</v>
      </c>
      <c r="E39" s="181">
        <v>9600</v>
      </c>
      <c r="F39" s="181">
        <v>172800</v>
      </c>
      <c r="G39" s="192" t="s">
        <v>2291</v>
      </c>
      <c r="H39" s="187">
        <v>172800</v>
      </c>
      <c r="I39" s="188">
        <f t="shared" si="25"/>
        <v>96871</v>
      </c>
      <c r="J39" s="189">
        <f t="shared" si="26"/>
        <v>0.56059606481481483</v>
      </c>
      <c r="K39" s="190" t="s">
        <v>383</v>
      </c>
      <c r="L39" s="191" t="str">
        <f t="shared" si="27"/>
        <v>✅ OK</v>
      </c>
      <c r="M39" s="21">
        <f t="shared" si="28"/>
        <v>8864</v>
      </c>
      <c r="N39" s="21">
        <f t="shared" si="29"/>
        <v>12490</v>
      </c>
    </row>
    <row r="40" spans="1:14" ht="16.5" x14ac:dyDescent="0.55000000000000004">
      <c r="A40" s="174" t="s">
        <v>2286</v>
      </c>
      <c r="B40" s="175">
        <v>24</v>
      </c>
      <c r="C40" s="181">
        <f>'ทุนชินโคร์ Sup'!D57</f>
        <v>72795</v>
      </c>
      <c r="D40" s="181">
        <f t="shared" si="24"/>
        <v>3033.125</v>
      </c>
      <c r="E40" s="181">
        <v>9600</v>
      </c>
      <c r="F40" s="181">
        <v>230400</v>
      </c>
      <c r="G40" s="192" t="s">
        <v>2291</v>
      </c>
      <c r="H40" s="187">
        <v>230400</v>
      </c>
      <c r="I40" s="188">
        <f t="shared" si="25"/>
        <v>132063</v>
      </c>
      <c r="J40" s="189">
        <f t="shared" si="26"/>
        <v>0.57319010416666671</v>
      </c>
      <c r="K40" s="190" t="s">
        <v>383</v>
      </c>
      <c r="L40" s="191" t="str">
        <f t="shared" si="27"/>
        <v>✅ OK</v>
      </c>
      <c r="M40" s="21">
        <f t="shared" si="28"/>
        <v>10712</v>
      </c>
      <c r="N40" s="21">
        <f t="shared" si="29"/>
        <v>14830</v>
      </c>
    </row>
    <row r="41" spans="1:14" ht="16.5" x14ac:dyDescent="0.55000000000000004">
      <c r="A41" s="174" t="s">
        <v>2287</v>
      </c>
      <c r="B41" s="175">
        <v>30</v>
      </c>
      <c r="C41" s="181">
        <f>'ทุนชินโคร์ Sup'!D68</f>
        <v>90355</v>
      </c>
      <c r="D41" s="181">
        <f t="shared" si="24"/>
        <v>3011.8333333333335</v>
      </c>
      <c r="E41" s="181">
        <v>9600</v>
      </c>
      <c r="F41" s="181">
        <v>288000</v>
      </c>
      <c r="G41" s="192" t="s">
        <v>2291</v>
      </c>
      <c r="H41" s="187">
        <v>288000</v>
      </c>
      <c r="I41" s="188">
        <f t="shared" si="25"/>
        <v>167915</v>
      </c>
      <c r="J41" s="189">
        <f t="shared" si="26"/>
        <v>0.58303819444444449</v>
      </c>
      <c r="K41" s="190" t="s">
        <v>383</v>
      </c>
      <c r="L41" s="191" t="str">
        <f t="shared" si="27"/>
        <v>✅ OK</v>
      </c>
      <c r="M41" s="21">
        <f t="shared" si="28"/>
        <v>12560</v>
      </c>
      <c r="N41" s="21">
        <f t="shared" si="29"/>
        <v>17170</v>
      </c>
    </row>
    <row r="43" spans="1:14" ht="15.5" x14ac:dyDescent="0.35">
      <c r="A43" s="458" t="s">
        <v>2293</v>
      </c>
      <c r="B43" s="411"/>
      <c r="C43" s="411"/>
      <c r="D43" s="411"/>
      <c r="E43" s="411"/>
      <c r="F43" s="411"/>
      <c r="G43" s="411"/>
      <c r="H43" s="411"/>
      <c r="I43" s="411"/>
      <c r="J43" s="411"/>
      <c r="K43" s="411"/>
      <c r="L43" s="411"/>
    </row>
    <row r="44" spans="1:14" ht="16.5" x14ac:dyDescent="0.55000000000000004">
      <c r="A44" s="174" t="s">
        <v>2282</v>
      </c>
      <c r="B44" s="175">
        <v>4.5</v>
      </c>
      <c r="C44" s="181">
        <f>ทุนเมทัลชีท!D13</f>
        <v>15060</v>
      </c>
      <c r="D44" s="181">
        <f t="shared" ref="D44:D49" si="30">IF(B44&gt;0,C44/B44,0)</f>
        <v>3346.6666666666665</v>
      </c>
      <c r="E44" s="181">
        <v>7500</v>
      </c>
      <c r="F44" s="181">
        <v>33750</v>
      </c>
      <c r="G44" s="181">
        <v>30000</v>
      </c>
      <c r="H44" s="187">
        <v>33750</v>
      </c>
      <c r="I44" s="188">
        <f t="shared" ref="I44:I49" si="31">H44-C44-M44-N44</f>
        <v>6759</v>
      </c>
      <c r="J44" s="189">
        <f t="shared" ref="J44:J49" si="32">IF(H44&gt;0,I44/H44,0)</f>
        <v>0.20026666666666668</v>
      </c>
      <c r="K44" s="190" t="s">
        <v>383</v>
      </c>
      <c r="L44" s="191" t="str">
        <f t="shared" ref="L44:L49" si="33">IF(I44&lt;0,"🔴 ขาดทุน",IF(J44&lt;0.2,"⚠️ บาง","✅ OK"))</f>
        <v>✅ OK</v>
      </c>
      <c r="M44" s="21">
        <f t="shared" ref="M44:M49" si="34">ROUND(3320+308*B44,0)</f>
        <v>4706</v>
      </c>
      <c r="N44" s="21">
        <f t="shared" ref="N44:N49" si="35">ROUND(5470+390*B44,0)</f>
        <v>7225</v>
      </c>
    </row>
    <row r="45" spans="1:14" ht="16.5" x14ac:dyDescent="0.55000000000000004">
      <c r="A45" s="174" t="s">
        <v>2283</v>
      </c>
      <c r="B45" s="175">
        <v>9</v>
      </c>
      <c r="C45" s="181">
        <f>ทุนเมทัลชีท!D24</f>
        <v>28370</v>
      </c>
      <c r="D45" s="181">
        <f t="shared" si="30"/>
        <v>3152.2222222222222</v>
      </c>
      <c r="E45" s="181">
        <v>7500</v>
      </c>
      <c r="F45" s="181">
        <v>67500</v>
      </c>
      <c r="G45" s="181">
        <v>30000</v>
      </c>
      <c r="H45" s="187">
        <v>67500</v>
      </c>
      <c r="I45" s="188">
        <f t="shared" si="31"/>
        <v>24058</v>
      </c>
      <c r="J45" s="189">
        <f t="shared" si="32"/>
        <v>0.3564148148148148</v>
      </c>
      <c r="K45" s="190" t="s">
        <v>383</v>
      </c>
      <c r="L45" s="191" t="str">
        <f t="shared" si="33"/>
        <v>✅ OK</v>
      </c>
      <c r="M45" s="21">
        <f t="shared" si="34"/>
        <v>6092</v>
      </c>
      <c r="N45" s="21">
        <f t="shared" si="35"/>
        <v>8980</v>
      </c>
    </row>
    <row r="46" spans="1:14" ht="16.5" x14ac:dyDescent="0.55000000000000004">
      <c r="A46" s="174" t="s">
        <v>2284</v>
      </c>
      <c r="B46" s="175">
        <v>13.5</v>
      </c>
      <c r="C46" s="181">
        <f>ทุนเมทัลชีท!D35</f>
        <v>41810</v>
      </c>
      <c r="D46" s="181">
        <f t="shared" si="30"/>
        <v>3097.037037037037</v>
      </c>
      <c r="E46" s="181">
        <v>7000</v>
      </c>
      <c r="F46" s="181">
        <v>94500</v>
      </c>
      <c r="G46" s="181">
        <v>30000</v>
      </c>
      <c r="H46" s="187">
        <v>94500</v>
      </c>
      <c r="I46" s="188">
        <f t="shared" si="31"/>
        <v>34477</v>
      </c>
      <c r="J46" s="189">
        <f t="shared" si="32"/>
        <v>0.36483597883597885</v>
      </c>
      <c r="K46" s="190" t="s">
        <v>383</v>
      </c>
      <c r="L46" s="191" t="str">
        <f t="shared" si="33"/>
        <v>✅ OK</v>
      </c>
      <c r="M46" s="21">
        <f t="shared" si="34"/>
        <v>7478</v>
      </c>
      <c r="N46" s="21">
        <f t="shared" si="35"/>
        <v>10735</v>
      </c>
    </row>
    <row r="47" spans="1:14" ht="16.5" x14ac:dyDescent="0.55000000000000004">
      <c r="A47" s="174" t="s">
        <v>2285</v>
      </c>
      <c r="B47" s="175">
        <v>18</v>
      </c>
      <c r="C47" s="181">
        <f>ทุนเมทัลชีท!D46</f>
        <v>56375</v>
      </c>
      <c r="D47" s="181">
        <f t="shared" si="30"/>
        <v>3131.9444444444443</v>
      </c>
      <c r="E47" s="181">
        <v>6500</v>
      </c>
      <c r="F47" s="181">
        <v>117000</v>
      </c>
      <c r="G47" s="181">
        <v>30000</v>
      </c>
      <c r="H47" s="187">
        <v>117000</v>
      </c>
      <c r="I47" s="188">
        <f t="shared" si="31"/>
        <v>39271</v>
      </c>
      <c r="J47" s="189">
        <f t="shared" si="32"/>
        <v>0.33564957264957263</v>
      </c>
      <c r="K47" s="190" t="s">
        <v>383</v>
      </c>
      <c r="L47" s="191" t="str">
        <f t="shared" si="33"/>
        <v>✅ OK</v>
      </c>
      <c r="M47" s="21">
        <f t="shared" si="34"/>
        <v>8864</v>
      </c>
      <c r="N47" s="21">
        <f t="shared" si="35"/>
        <v>12490</v>
      </c>
    </row>
    <row r="48" spans="1:14" ht="16.5" x14ac:dyDescent="0.55000000000000004">
      <c r="A48" s="174" t="s">
        <v>2286</v>
      </c>
      <c r="B48" s="175">
        <v>24</v>
      </c>
      <c r="C48" s="181">
        <f>ทุนเมทัลชีท!D57</f>
        <v>75195</v>
      </c>
      <c r="D48" s="181">
        <f t="shared" si="30"/>
        <v>3133.125</v>
      </c>
      <c r="E48" s="181">
        <v>6500</v>
      </c>
      <c r="F48" s="181">
        <v>156000</v>
      </c>
      <c r="G48" s="181">
        <v>30000</v>
      </c>
      <c r="H48" s="187">
        <v>156000</v>
      </c>
      <c r="I48" s="188">
        <f t="shared" si="31"/>
        <v>55263</v>
      </c>
      <c r="J48" s="189">
        <f t="shared" si="32"/>
        <v>0.35425000000000001</v>
      </c>
      <c r="K48" s="190" t="s">
        <v>383</v>
      </c>
      <c r="L48" s="191" t="str">
        <f t="shared" si="33"/>
        <v>✅ OK</v>
      </c>
      <c r="M48" s="21">
        <f t="shared" si="34"/>
        <v>10712</v>
      </c>
      <c r="N48" s="21">
        <f t="shared" si="35"/>
        <v>14830</v>
      </c>
    </row>
    <row r="49" spans="1:14" ht="16.5" x14ac:dyDescent="0.55000000000000004">
      <c r="A49" s="174" t="s">
        <v>2287</v>
      </c>
      <c r="B49" s="175">
        <v>30</v>
      </c>
      <c r="C49" s="181">
        <f>ทุนเมทัลชีท!D68</f>
        <v>93355</v>
      </c>
      <c r="D49" s="181">
        <f t="shared" si="30"/>
        <v>3111.8333333333335</v>
      </c>
      <c r="E49" s="181">
        <v>6500</v>
      </c>
      <c r="F49" s="181">
        <v>195000</v>
      </c>
      <c r="G49" s="181">
        <v>30000</v>
      </c>
      <c r="H49" s="187">
        <v>195000</v>
      </c>
      <c r="I49" s="188">
        <f t="shared" si="31"/>
        <v>71915</v>
      </c>
      <c r="J49" s="189">
        <f t="shared" si="32"/>
        <v>0.3687948717948718</v>
      </c>
      <c r="K49" s="190" t="s">
        <v>383</v>
      </c>
      <c r="L49" s="191" t="str">
        <f t="shared" si="33"/>
        <v>✅ OK</v>
      </c>
      <c r="M49" s="21">
        <f t="shared" si="34"/>
        <v>12560</v>
      </c>
      <c r="N49" s="21">
        <f t="shared" si="35"/>
        <v>17170</v>
      </c>
    </row>
    <row r="51" spans="1:14" ht="15.5" x14ac:dyDescent="0.35">
      <c r="A51" s="458" t="s">
        <v>2294</v>
      </c>
      <c r="B51" s="411"/>
      <c r="C51" s="411"/>
      <c r="D51" s="411"/>
      <c r="E51" s="411"/>
      <c r="F51" s="411"/>
      <c r="G51" s="411"/>
      <c r="H51" s="411"/>
      <c r="I51" s="411"/>
      <c r="J51" s="411"/>
      <c r="K51" s="411"/>
      <c r="L51" s="411"/>
    </row>
    <row r="52" spans="1:14" ht="16.5" x14ac:dyDescent="0.55000000000000004">
      <c r="A52" s="174" t="s">
        <v>2282</v>
      </c>
      <c r="B52" s="175">
        <v>4.5</v>
      </c>
      <c r="C52" s="181">
        <f>'ทุนกระจก 4+4'!D13</f>
        <v>9952.5</v>
      </c>
      <c r="D52" s="181">
        <f t="shared" ref="D52:D57" si="36">IF(B52&gt;0,C52/B52,0)</f>
        <v>2211.6666666666665</v>
      </c>
      <c r="E52" s="181">
        <v>11000</v>
      </c>
      <c r="F52" s="181">
        <v>49500</v>
      </c>
      <c r="G52" s="181">
        <v>45000</v>
      </c>
      <c r="H52" s="187">
        <v>49500</v>
      </c>
      <c r="I52" s="188">
        <f t="shared" ref="I52:I57" si="37">H52-C52-M52-N52</f>
        <v>27616.5</v>
      </c>
      <c r="J52" s="189">
        <f t="shared" ref="J52:J57" si="38">IF(H52&gt;0,I52/H52,0)</f>
        <v>0.55790909090909091</v>
      </c>
      <c r="K52" s="190" t="s">
        <v>383</v>
      </c>
      <c r="L52" s="191" t="str">
        <f t="shared" ref="L52:L57" si="39">IF(I52&lt;0,"🔴 ขาดทุน",IF(J52&lt;0.2,"⚠️ บาง","✅ OK"))</f>
        <v>✅ OK</v>
      </c>
      <c r="M52" s="21">
        <f t="shared" ref="M52:M57" si="40">ROUND(3320+308*B52,0)</f>
        <v>4706</v>
      </c>
      <c r="N52" s="21">
        <f t="shared" ref="N52:N57" si="41">ROUND(5470+390*B52,0)</f>
        <v>7225</v>
      </c>
    </row>
    <row r="53" spans="1:14" ht="16.5" x14ac:dyDescent="0.55000000000000004">
      <c r="A53" s="174" t="s">
        <v>2283</v>
      </c>
      <c r="B53" s="175">
        <v>9</v>
      </c>
      <c r="C53" s="181">
        <f>'ทุนกระจก 4+4'!D24</f>
        <v>18155</v>
      </c>
      <c r="D53" s="181">
        <f t="shared" si="36"/>
        <v>2017.2222222222222</v>
      </c>
      <c r="E53" s="181">
        <v>11000</v>
      </c>
      <c r="F53" s="181">
        <v>99000</v>
      </c>
      <c r="G53" s="181">
        <v>45000</v>
      </c>
      <c r="H53" s="187">
        <v>99000</v>
      </c>
      <c r="I53" s="188">
        <f t="shared" si="37"/>
        <v>65773</v>
      </c>
      <c r="J53" s="189">
        <f t="shared" si="38"/>
        <v>0.66437373737373739</v>
      </c>
      <c r="K53" s="190" t="s">
        <v>383</v>
      </c>
      <c r="L53" s="191" t="str">
        <f t="shared" si="39"/>
        <v>✅ OK</v>
      </c>
      <c r="M53" s="21">
        <f t="shared" si="40"/>
        <v>6092</v>
      </c>
      <c r="N53" s="21">
        <f t="shared" si="41"/>
        <v>8980</v>
      </c>
    </row>
    <row r="54" spans="1:14" ht="16.5" x14ac:dyDescent="0.55000000000000004">
      <c r="A54" s="174" t="s">
        <v>2284</v>
      </c>
      <c r="B54" s="175">
        <v>13.5</v>
      </c>
      <c r="C54" s="181">
        <f>'ทุนกระจก 4+4'!D35</f>
        <v>26487.5</v>
      </c>
      <c r="D54" s="181">
        <f t="shared" si="36"/>
        <v>1962.037037037037</v>
      </c>
      <c r="E54" s="181">
        <v>10500</v>
      </c>
      <c r="F54" s="181">
        <v>141750</v>
      </c>
      <c r="G54" s="181">
        <v>45000</v>
      </c>
      <c r="H54" s="187">
        <v>141750</v>
      </c>
      <c r="I54" s="188">
        <f t="shared" si="37"/>
        <v>97049.5</v>
      </c>
      <c r="J54" s="189">
        <f t="shared" si="38"/>
        <v>0.68465255731922403</v>
      </c>
      <c r="K54" s="190" t="s">
        <v>383</v>
      </c>
      <c r="L54" s="191" t="str">
        <f t="shared" si="39"/>
        <v>✅ OK</v>
      </c>
      <c r="M54" s="21">
        <f t="shared" si="40"/>
        <v>7478</v>
      </c>
      <c r="N54" s="21">
        <f t="shared" si="41"/>
        <v>10735</v>
      </c>
    </row>
    <row r="55" spans="1:14" ht="16.5" x14ac:dyDescent="0.55000000000000004">
      <c r="A55" s="174" t="s">
        <v>2285</v>
      </c>
      <c r="B55" s="175">
        <v>18</v>
      </c>
      <c r="C55" s="181">
        <f>'ทุนกระจก 4+4'!D46</f>
        <v>35945</v>
      </c>
      <c r="D55" s="181">
        <f t="shared" si="36"/>
        <v>1996.9444444444443</v>
      </c>
      <c r="E55" s="181">
        <v>10000</v>
      </c>
      <c r="F55" s="181">
        <v>180000</v>
      </c>
      <c r="G55" s="181">
        <v>45000</v>
      </c>
      <c r="H55" s="187">
        <v>180000</v>
      </c>
      <c r="I55" s="188">
        <f t="shared" si="37"/>
        <v>122701</v>
      </c>
      <c r="J55" s="189">
        <f t="shared" si="38"/>
        <v>0.68167222222222223</v>
      </c>
      <c r="K55" s="190" t="s">
        <v>383</v>
      </c>
      <c r="L55" s="191" t="str">
        <f t="shared" si="39"/>
        <v>✅ OK</v>
      </c>
      <c r="M55" s="21">
        <f t="shared" si="40"/>
        <v>8864</v>
      </c>
      <c r="N55" s="21">
        <f t="shared" si="41"/>
        <v>12490</v>
      </c>
    </row>
    <row r="56" spans="1:14" ht="16.5" x14ac:dyDescent="0.55000000000000004">
      <c r="A56" s="174" t="s">
        <v>2286</v>
      </c>
      <c r="B56" s="175">
        <v>24</v>
      </c>
      <c r="C56" s="181">
        <f>'ทุนกระจก 4+4'!D57</f>
        <v>47955</v>
      </c>
      <c r="D56" s="181">
        <f t="shared" si="36"/>
        <v>1998.125</v>
      </c>
      <c r="E56" s="181">
        <v>10000</v>
      </c>
      <c r="F56" s="181">
        <v>240000</v>
      </c>
      <c r="G56" s="181">
        <v>45000</v>
      </c>
      <c r="H56" s="187">
        <v>240000</v>
      </c>
      <c r="I56" s="188">
        <f t="shared" si="37"/>
        <v>166503</v>
      </c>
      <c r="J56" s="189">
        <f t="shared" si="38"/>
        <v>0.69376249999999995</v>
      </c>
      <c r="K56" s="190" t="s">
        <v>383</v>
      </c>
      <c r="L56" s="191" t="str">
        <f t="shared" si="39"/>
        <v>✅ OK</v>
      </c>
      <c r="M56" s="21">
        <f t="shared" si="40"/>
        <v>10712</v>
      </c>
      <c r="N56" s="21">
        <f t="shared" si="41"/>
        <v>14830</v>
      </c>
    </row>
    <row r="57" spans="1:14" ht="16.5" x14ac:dyDescent="0.55000000000000004">
      <c r="A57" s="174" t="s">
        <v>2287</v>
      </c>
      <c r="B57" s="175">
        <v>30</v>
      </c>
      <c r="C57" s="181">
        <f>'ทุนกระจก 4+4'!D68</f>
        <v>59305</v>
      </c>
      <c r="D57" s="181">
        <f t="shared" si="36"/>
        <v>1976.8333333333333</v>
      </c>
      <c r="E57" s="181">
        <v>10000</v>
      </c>
      <c r="F57" s="181">
        <v>300000</v>
      </c>
      <c r="G57" s="181">
        <v>45000</v>
      </c>
      <c r="H57" s="187">
        <v>300000</v>
      </c>
      <c r="I57" s="188">
        <f t="shared" si="37"/>
        <v>210965</v>
      </c>
      <c r="J57" s="189">
        <f t="shared" si="38"/>
        <v>0.70321666666666671</v>
      </c>
      <c r="K57" s="190" t="s">
        <v>383</v>
      </c>
      <c r="L57" s="191" t="str">
        <f t="shared" si="39"/>
        <v>✅ OK</v>
      </c>
      <c r="M57" s="21">
        <f t="shared" si="40"/>
        <v>12560</v>
      </c>
      <c r="N57" s="21">
        <f t="shared" si="41"/>
        <v>17170</v>
      </c>
    </row>
    <row r="59" spans="1:14" ht="15.5" x14ac:dyDescent="0.35">
      <c r="A59" s="458" t="s">
        <v>2295</v>
      </c>
      <c r="B59" s="411"/>
      <c r="C59" s="411"/>
      <c r="D59" s="411"/>
      <c r="E59" s="411"/>
      <c r="F59" s="411"/>
      <c r="G59" s="411"/>
      <c r="H59" s="411"/>
      <c r="I59" s="411"/>
      <c r="J59" s="411"/>
      <c r="K59" s="411"/>
      <c r="L59" s="411"/>
    </row>
    <row r="60" spans="1:14" ht="16.5" x14ac:dyDescent="0.55000000000000004">
      <c r="A60" s="174" t="s">
        <v>2282</v>
      </c>
      <c r="B60" s="175">
        <v>4.5</v>
      </c>
      <c r="C60" s="181">
        <f>'ทุนกระจก 5+5'!D13</f>
        <v>10875</v>
      </c>
      <c r="D60" s="181">
        <f t="shared" ref="D60:D65" si="42">IF(B60&gt;0,C60/B60,0)</f>
        <v>2416.6666666666665</v>
      </c>
      <c r="E60" s="181">
        <v>11000</v>
      </c>
      <c r="F60" s="181">
        <v>49500</v>
      </c>
      <c r="G60" s="181">
        <v>45000</v>
      </c>
      <c r="H60" s="187">
        <v>49500</v>
      </c>
      <c r="I60" s="188">
        <f t="shared" ref="I60:I65" si="43">H60-C60-M60-N60</f>
        <v>26694</v>
      </c>
      <c r="J60" s="189">
        <f t="shared" ref="J60:J65" si="44">IF(H60&gt;0,I60/H60,0)</f>
        <v>0.53927272727272724</v>
      </c>
      <c r="K60" s="190" t="s">
        <v>383</v>
      </c>
      <c r="L60" s="191" t="str">
        <f t="shared" ref="L60:L65" si="45">IF(I60&lt;0,"🔴 ขาดทุน",IF(J60&lt;0.2,"⚠️ บาง","✅ OK"))</f>
        <v>✅ OK</v>
      </c>
      <c r="M60" s="21">
        <f t="shared" ref="M60:M65" si="46">ROUND(3320+308*B60,0)</f>
        <v>4706</v>
      </c>
      <c r="N60" s="21">
        <f t="shared" ref="N60:N65" si="47">ROUND(5470+390*B60,0)</f>
        <v>7225</v>
      </c>
    </row>
    <row r="61" spans="1:14" ht="16.5" x14ac:dyDescent="0.55000000000000004">
      <c r="A61" s="174" t="s">
        <v>2283</v>
      </c>
      <c r="B61" s="175">
        <v>9</v>
      </c>
      <c r="C61" s="181">
        <f>'ทุนกระจก 5+5'!D24</f>
        <v>20000</v>
      </c>
      <c r="D61" s="181">
        <f t="shared" si="42"/>
        <v>2222.2222222222222</v>
      </c>
      <c r="E61" s="181">
        <v>11000</v>
      </c>
      <c r="F61" s="181">
        <v>99000</v>
      </c>
      <c r="G61" s="181">
        <v>45000</v>
      </c>
      <c r="H61" s="187">
        <v>99000</v>
      </c>
      <c r="I61" s="188">
        <f t="shared" si="43"/>
        <v>63928</v>
      </c>
      <c r="J61" s="189">
        <f t="shared" si="44"/>
        <v>0.64573737373737372</v>
      </c>
      <c r="K61" s="190" t="s">
        <v>383</v>
      </c>
      <c r="L61" s="191" t="str">
        <f t="shared" si="45"/>
        <v>✅ OK</v>
      </c>
      <c r="M61" s="21">
        <f t="shared" si="46"/>
        <v>6092</v>
      </c>
      <c r="N61" s="21">
        <f t="shared" si="47"/>
        <v>8980</v>
      </c>
    </row>
    <row r="62" spans="1:14" ht="16.5" x14ac:dyDescent="0.55000000000000004">
      <c r="A62" s="174" t="s">
        <v>2284</v>
      </c>
      <c r="B62" s="175">
        <v>13.5</v>
      </c>
      <c r="C62" s="181">
        <f>'ทุนกระจก 5+5'!D35</f>
        <v>29255</v>
      </c>
      <c r="D62" s="181">
        <f t="shared" si="42"/>
        <v>2167.037037037037</v>
      </c>
      <c r="E62" s="181">
        <v>10500</v>
      </c>
      <c r="F62" s="181">
        <v>141750</v>
      </c>
      <c r="G62" s="181">
        <v>45000</v>
      </c>
      <c r="H62" s="187">
        <v>141750</v>
      </c>
      <c r="I62" s="188">
        <f t="shared" si="43"/>
        <v>94282</v>
      </c>
      <c r="J62" s="189">
        <f t="shared" si="44"/>
        <v>0.66512874779541442</v>
      </c>
      <c r="K62" s="190" t="s">
        <v>383</v>
      </c>
      <c r="L62" s="191" t="str">
        <f t="shared" si="45"/>
        <v>✅ OK</v>
      </c>
      <c r="M62" s="21">
        <f t="shared" si="46"/>
        <v>7478</v>
      </c>
      <c r="N62" s="21">
        <f t="shared" si="47"/>
        <v>10735</v>
      </c>
    </row>
    <row r="63" spans="1:14" ht="16.5" x14ac:dyDescent="0.55000000000000004">
      <c r="A63" s="174" t="s">
        <v>2285</v>
      </c>
      <c r="B63" s="175">
        <v>18</v>
      </c>
      <c r="C63" s="181">
        <f>'ทุนกระจก 5+5'!D46</f>
        <v>39635</v>
      </c>
      <c r="D63" s="181">
        <f t="shared" si="42"/>
        <v>2201.9444444444443</v>
      </c>
      <c r="E63" s="181">
        <v>10000</v>
      </c>
      <c r="F63" s="181">
        <v>180000</v>
      </c>
      <c r="G63" s="181">
        <v>45000</v>
      </c>
      <c r="H63" s="187">
        <v>180000</v>
      </c>
      <c r="I63" s="188">
        <f t="shared" si="43"/>
        <v>119011</v>
      </c>
      <c r="J63" s="189">
        <f t="shared" si="44"/>
        <v>0.66117222222222227</v>
      </c>
      <c r="K63" s="190" t="s">
        <v>383</v>
      </c>
      <c r="L63" s="191" t="str">
        <f t="shared" si="45"/>
        <v>✅ OK</v>
      </c>
      <c r="M63" s="21">
        <f t="shared" si="46"/>
        <v>8864</v>
      </c>
      <c r="N63" s="21">
        <f t="shared" si="47"/>
        <v>12490</v>
      </c>
    </row>
    <row r="64" spans="1:14" ht="16.5" x14ac:dyDescent="0.55000000000000004">
      <c r="A64" s="174" t="s">
        <v>2286</v>
      </c>
      <c r="B64" s="175">
        <v>24</v>
      </c>
      <c r="C64" s="181">
        <f>'ทุนกระจก 5+5'!D57</f>
        <v>52875</v>
      </c>
      <c r="D64" s="181">
        <f t="shared" si="42"/>
        <v>2203.125</v>
      </c>
      <c r="E64" s="181">
        <v>10000</v>
      </c>
      <c r="F64" s="181">
        <v>240000</v>
      </c>
      <c r="G64" s="181">
        <v>45000</v>
      </c>
      <c r="H64" s="187">
        <v>240000</v>
      </c>
      <c r="I64" s="188">
        <f t="shared" si="43"/>
        <v>161583</v>
      </c>
      <c r="J64" s="189">
        <f t="shared" si="44"/>
        <v>0.67326249999999999</v>
      </c>
      <c r="K64" s="190" t="s">
        <v>383</v>
      </c>
      <c r="L64" s="191" t="str">
        <f t="shared" si="45"/>
        <v>✅ OK</v>
      </c>
      <c r="M64" s="21">
        <f t="shared" si="46"/>
        <v>10712</v>
      </c>
      <c r="N64" s="21">
        <f t="shared" si="47"/>
        <v>14830</v>
      </c>
    </row>
    <row r="65" spans="1:14" ht="16.5" x14ac:dyDescent="0.55000000000000004">
      <c r="A65" s="174" t="s">
        <v>2287</v>
      </c>
      <c r="B65" s="175">
        <v>30</v>
      </c>
      <c r="C65" s="181">
        <f>'ทุนกระจก 5+5'!D68</f>
        <v>65455</v>
      </c>
      <c r="D65" s="181">
        <f t="shared" si="42"/>
        <v>2181.8333333333335</v>
      </c>
      <c r="E65" s="181">
        <v>10000</v>
      </c>
      <c r="F65" s="181">
        <v>300000</v>
      </c>
      <c r="G65" s="181">
        <v>45000</v>
      </c>
      <c r="H65" s="187">
        <v>300000</v>
      </c>
      <c r="I65" s="188">
        <f t="shared" si="43"/>
        <v>204815</v>
      </c>
      <c r="J65" s="189">
        <f t="shared" si="44"/>
        <v>0.68271666666666664</v>
      </c>
      <c r="K65" s="190" t="s">
        <v>383</v>
      </c>
      <c r="L65" s="191" t="str">
        <f t="shared" si="45"/>
        <v>✅ OK</v>
      </c>
      <c r="M65" s="21">
        <f t="shared" si="46"/>
        <v>12560</v>
      </c>
      <c r="N65" s="21">
        <f t="shared" si="47"/>
        <v>17170</v>
      </c>
    </row>
    <row r="67" spans="1:14" x14ac:dyDescent="0.35">
      <c r="A67" s="463" t="s">
        <v>2296</v>
      </c>
      <c r="B67" s="411"/>
      <c r="C67" s="411"/>
      <c r="D67" s="411"/>
      <c r="E67" s="411"/>
      <c r="F67" s="411"/>
      <c r="G67" s="411"/>
      <c r="H67" s="411"/>
      <c r="I67" s="411"/>
      <c r="J67" s="411"/>
      <c r="K67" s="411"/>
      <c r="L67" s="411"/>
    </row>
  </sheetData>
  <mergeCells count="10">
    <mergeCell ref="A67:L67"/>
    <mergeCell ref="A35:L35"/>
    <mergeCell ref="A59:L59"/>
    <mergeCell ref="A43:L43"/>
    <mergeCell ref="A19:L19"/>
    <mergeCell ref="A11:L11"/>
    <mergeCell ref="A51:L51"/>
    <mergeCell ref="A1:F1"/>
    <mergeCell ref="A27:L27"/>
    <mergeCell ref="A3:L3"/>
  </mergeCells>
  <hyperlinks>
    <hyperlink ref="G1" location="'สารบัญ'!A1" display="🏠 สารบัญ" xr:uid="{00000000-0004-0000-3600-000000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A6A6A6"/>
  </sheetPr>
  <dimension ref="A1:H118"/>
  <sheetViews>
    <sheetView workbookViewId="0"/>
  </sheetViews>
  <sheetFormatPr defaultRowHeight="14.5" x14ac:dyDescent="0.35"/>
  <cols>
    <col min="1" max="1" width="31.7265625" customWidth="1"/>
    <col min="2" max="2" width="22" customWidth="1"/>
    <col min="7" max="7" width="13" customWidth="1"/>
  </cols>
  <sheetData>
    <row r="1" spans="1:8" x14ac:dyDescent="0.35">
      <c r="A1" s="218" t="s">
        <v>870</v>
      </c>
      <c r="B1" s="218" t="s">
        <v>2159</v>
      </c>
      <c r="C1" s="319"/>
      <c r="G1" s="388" t="s">
        <v>78</v>
      </c>
      <c r="H1" s="389"/>
    </row>
    <row r="2" spans="1:8" x14ac:dyDescent="0.35">
      <c r="A2" s="221" t="s">
        <v>880</v>
      </c>
      <c r="B2" s="221" t="s">
        <v>2160</v>
      </c>
    </row>
    <row r="3" spans="1:8" x14ac:dyDescent="0.35">
      <c r="A3" s="221" t="s">
        <v>880</v>
      </c>
      <c r="B3" s="221" t="s">
        <v>2297</v>
      </c>
    </row>
    <row r="4" spans="1:8" x14ac:dyDescent="0.35">
      <c r="A4" s="221" t="s">
        <v>883</v>
      </c>
      <c r="B4" s="221" t="s">
        <v>2298</v>
      </c>
    </row>
    <row r="5" spans="1:8" x14ac:dyDescent="0.35">
      <c r="A5" s="221" t="s">
        <v>883</v>
      </c>
      <c r="B5" s="221" t="s">
        <v>2299</v>
      </c>
    </row>
    <row r="6" spans="1:8" x14ac:dyDescent="0.35">
      <c r="A6" s="221" t="s">
        <v>883</v>
      </c>
      <c r="B6" s="221" t="s">
        <v>2300</v>
      </c>
    </row>
    <row r="7" spans="1:8" x14ac:dyDescent="0.35">
      <c r="A7" s="221" t="s">
        <v>883</v>
      </c>
      <c r="B7" s="221" t="s">
        <v>1134</v>
      </c>
    </row>
    <row r="8" spans="1:8" x14ac:dyDescent="0.35">
      <c r="A8" s="221" t="s">
        <v>883</v>
      </c>
      <c r="B8" s="221" t="s">
        <v>2301</v>
      </c>
    </row>
    <row r="9" spans="1:8" x14ac:dyDescent="0.35">
      <c r="A9" s="221" t="s">
        <v>883</v>
      </c>
      <c r="B9" s="221" t="s">
        <v>2302</v>
      </c>
    </row>
    <row r="10" spans="1:8" x14ac:dyDescent="0.35">
      <c r="A10" s="221" t="s">
        <v>886</v>
      </c>
      <c r="B10" s="221" t="s">
        <v>2160</v>
      </c>
    </row>
    <row r="11" spans="1:8" x14ac:dyDescent="0.35">
      <c r="A11" s="221" t="s">
        <v>886</v>
      </c>
      <c r="B11" s="221" t="s">
        <v>2303</v>
      </c>
    </row>
    <row r="12" spans="1:8" x14ac:dyDescent="0.35">
      <c r="A12" s="221" t="s">
        <v>889</v>
      </c>
      <c r="B12" s="221" t="s">
        <v>2304</v>
      </c>
    </row>
    <row r="13" spans="1:8" x14ac:dyDescent="0.35">
      <c r="A13" s="221" t="s">
        <v>889</v>
      </c>
      <c r="B13" s="221" t="s">
        <v>2305</v>
      </c>
    </row>
    <row r="14" spans="1:8" x14ac:dyDescent="0.35">
      <c r="A14" s="221" t="s">
        <v>889</v>
      </c>
      <c r="B14" s="221" t="s">
        <v>2306</v>
      </c>
    </row>
    <row r="15" spans="1:8" x14ac:dyDescent="0.35">
      <c r="A15" s="221" t="s">
        <v>889</v>
      </c>
      <c r="B15" s="221" t="s">
        <v>2307</v>
      </c>
    </row>
    <row r="16" spans="1:8" x14ac:dyDescent="0.35">
      <c r="A16" s="221" t="s">
        <v>889</v>
      </c>
      <c r="B16" s="221" t="s">
        <v>2308</v>
      </c>
    </row>
    <row r="17" spans="1:2" x14ac:dyDescent="0.35">
      <c r="A17" s="221" t="s">
        <v>889</v>
      </c>
      <c r="B17" s="221" t="s">
        <v>2309</v>
      </c>
    </row>
    <row r="18" spans="1:2" x14ac:dyDescent="0.35">
      <c r="A18" s="221" t="s">
        <v>889</v>
      </c>
      <c r="B18" s="221" t="s">
        <v>2310</v>
      </c>
    </row>
    <row r="19" spans="1:2" x14ac:dyDescent="0.35">
      <c r="A19" s="221" t="s">
        <v>889</v>
      </c>
      <c r="B19" s="221" t="s">
        <v>2311</v>
      </c>
    </row>
    <row r="20" spans="1:2" x14ac:dyDescent="0.35">
      <c r="A20" s="221" t="s">
        <v>889</v>
      </c>
      <c r="B20" s="221" t="s">
        <v>2312</v>
      </c>
    </row>
    <row r="21" spans="1:2" x14ac:dyDescent="0.35">
      <c r="A21" s="221" t="s">
        <v>889</v>
      </c>
      <c r="B21" s="221" t="s">
        <v>2313</v>
      </c>
    </row>
    <row r="22" spans="1:2" x14ac:dyDescent="0.35">
      <c r="A22" s="221" t="s">
        <v>889</v>
      </c>
      <c r="B22" s="221" t="s">
        <v>2314</v>
      </c>
    </row>
    <row r="23" spans="1:2" x14ac:dyDescent="0.35">
      <c r="A23" s="221" t="s">
        <v>889</v>
      </c>
      <c r="B23" s="221" t="s">
        <v>2315</v>
      </c>
    </row>
    <row r="24" spans="1:2" x14ac:dyDescent="0.35">
      <c r="A24" s="221" t="s">
        <v>889</v>
      </c>
      <c r="B24" s="221" t="s">
        <v>2316</v>
      </c>
    </row>
    <row r="25" spans="1:2" x14ac:dyDescent="0.35">
      <c r="A25" s="221" t="s">
        <v>889</v>
      </c>
      <c r="B25" s="221" t="s">
        <v>2317</v>
      </c>
    </row>
    <row r="26" spans="1:2" x14ac:dyDescent="0.35">
      <c r="A26" s="221" t="s">
        <v>889</v>
      </c>
      <c r="B26" s="221" t="s">
        <v>2318</v>
      </c>
    </row>
    <row r="27" spans="1:2" x14ac:dyDescent="0.35">
      <c r="A27" s="221" t="s">
        <v>892</v>
      </c>
      <c r="B27" s="221" t="s">
        <v>2319</v>
      </c>
    </row>
    <row r="28" spans="1:2" x14ac:dyDescent="0.35">
      <c r="A28" s="221" t="s">
        <v>892</v>
      </c>
      <c r="B28" s="221" t="s">
        <v>2320</v>
      </c>
    </row>
    <row r="29" spans="1:2" x14ac:dyDescent="0.35">
      <c r="A29" s="221" t="s">
        <v>892</v>
      </c>
      <c r="B29" s="221" t="s">
        <v>2321</v>
      </c>
    </row>
    <row r="30" spans="1:2" x14ac:dyDescent="0.35">
      <c r="A30" s="221" t="s">
        <v>892</v>
      </c>
      <c r="B30" s="221" t="s">
        <v>2322</v>
      </c>
    </row>
    <row r="31" spans="1:2" x14ac:dyDescent="0.35">
      <c r="A31" s="221" t="s">
        <v>892</v>
      </c>
      <c r="B31" s="221" t="s">
        <v>2323</v>
      </c>
    </row>
    <row r="32" spans="1:2" x14ac:dyDescent="0.35">
      <c r="A32" s="221" t="s">
        <v>892</v>
      </c>
      <c r="B32" s="221" t="s">
        <v>2324</v>
      </c>
    </row>
    <row r="33" spans="1:2" x14ac:dyDescent="0.35">
      <c r="A33" s="221" t="s">
        <v>892</v>
      </c>
      <c r="B33" s="221" t="s">
        <v>2325</v>
      </c>
    </row>
    <row r="34" spans="1:2" x14ac:dyDescent="0.35">
      <c r="A34" s="221" t="s">
        <v>892</v>
      </c>
      <c r="B34" s="221" t="s">
        <v>2326</v>
      </c>
    </row>
    <row r="35" spans="1:2" x14ac:dyDescent="0.35">
      <c r="A35" s="221" t="s">
        <v>892</v>
      </c>
      <c r="B35" s="221" t="s">
        <v>2327</v>
      </c>
    </row>
    <row r="36" spans="1:2" x14ac:dyDescent="0.35">
      <c r="A36" s="221" t="s">
        <v>892</v>
      </c>
      <c r="B36" s="221" t="s">
        <v>2328</v>
      </c>
    </row>
    <row r="37" spans="1:2" x14ac:dyDescent="0.35">
      <c r="A37" s="221" t="s">
        <v>894</v>
      </c>
      <c r="B37" s="221" t="s">
        <v>2329</v>
      </c>
    </row>
    <row r="38" spans="1:2" x14ac:dyDescent="0.35">
      <c r="A38" s="221" t="s">
        <v>894</v>
      </c>
      <c r="B38" s="221" t="s">
        <v>2330</v>
      </c>
    </row>
    <row r="39" spans="1:2" x14ac:dyDescent="0.35">
      <c r="A39" s="221" t="s">
        <v>894</v>
      </c>
      <c r="B39" s="221" t="s">
        <v>2331</v>
      </c>
    </row>
    <row r="40" spans="1:2" x14ac:dyDescent="0.35">
      <c r="A40" s="221" t="s">
        <v>894</v>
      </c>
      <c r="B40" s="221" t="s">
        <v>2332</v>
      </c>
    </row>
    <row r="41" spans="1:2" x14ac:dyDescent="0.35">
      <c r="A41" s="221" t="s">
        <v>894</v>
      </c>
      <c r="B41" s="221" t="s">
        <v>2333</v>
      </c>
    </row>
    <row r="42" spans="1:2" x14ac:dyDescent="0.35">
      <c r="A42" s="221" t="s">
        <v>894</v>
      </c>
      <c r="B42" s="221" t="s">
        <v>2334</v>
      </c>
    </row>
    <row r="43" spans="1:2" x14ac:dyDescent="0.35">
      <c r="A43" s="221" t="s">
        <v>894</v>
      </c>
      <c r="B43" s="221" t="s">
        <v>2335</v>
      </c>
    </row>
    <row r="44" spans="1:2" x14ac:dyDescent="0.35">
      <c r="A44" s="221" t="s">
        <v>894</v>
      </c>
      <c r="B44" s="221" t="s">
        <v>2336</v>
      </c>
    </row>
    <row r="45" spans="1:2" x14ac:dyDescent="0.35">
      <c r="A45" s="221" t="s">
        <v>894</v>
      </c>
      <c r="B45" s="221" t="s">
        <v>2337</v>
      </c>
    </row>
    <row r="46" spans="1:2" x14ac:dyDescent="0.35">
      <c r="A46" s="221" t="s">
        <v>894</v>
      </c>
      <c r="B46" s="221" t="s">
        <v>2338</v>
      </c>
    </row>
    <row r="47" spans="1:2" x14ac:dyDescent="0.35">
      <c r="A47" s="221" t="s">
        <v>896</v>
      </c>
      <c r="B47" s="221" t="s">
        <v>2339</v>
      </c>
    </row>
    <row r="48" spans="1:2" x14ac:dyDescent="0.35">
      <c r="A48" s="221" t="s">
        <v>896</v>
      </c>
      <c r="B48" s="221" t="s">
        <v>2340</v>
      </c>
    </row>
    <row r="49" spans="1:2" x14ac:dyDescent="0.35">
      <c r="A49" s="221" t="s">
        <v>896</v>
      </c>
      <c r="B49" s="221" t="s">
        <v>2341</v>
      </c>
    </row>
    <row r="50" spans="1:2" x14ac:dyDescent="0.35">
      <c r="A50" s="221" t="s">
        <v>896</v>
      </c>
      <c r="B50" s="221" t="s">
        <v>2342</v>
      </c>
    </row>
    <row r="51" spans="1:2" x14ac:dyDescent="0.35">
      <c r="A51" s="221" t="s">
        <v>896</v>
      </c>
      <c r="B51" s="221" t="s">
        <v>2343</v>
      </c>
    </row>
    <row r="52" spans="1:2" x14ac:dyDescent="0.35">
      <c r="A52" s="221" t="s">
        <v>896</v>
      </c>
      <c r="B52" s="221" t="s">
        <v>2344</v>
      </c>
    </row>
    <row r="53" spans="1:2" x14ac:dyDescent="0.35">
      <c r="A53" s="221" t="s">
        <v>896</v>
      </c>
      <c r="B53" s="221" t="s">
        <v>2345</v>
      </c>
    </row>
    <row r="54" spans="1:2" x14ac:dyDescent="0.35">
      <c r="A54" s="221" t="s">
        <v>896</v>
      </c>
      <c r="B54" s="221" t="s">
        <v>2346</v>
      </c>
    </row>
    <row r="55" spans="1:2" x14ac:dyDescent="0.35">
      <c r="A55" s="221" t="s">
        <v>896</v>
      </c>
      <c r="B55" s="221" t="s">
        <v>2347</v>
      </c>
    </row>
    <row r="56" spans="1:2" x14ac:dyDescent="0.35">
      <c r="A56" s="221" t="s">
        <v>896</v>
      </c>
      <c r="B56" s="221" t="s">
        <v>2348</v>
      </c>
    </row>
    <row r="57" spans="1:2" x14ac:dyDescent="0.35">
      <c r="A57" s="221" t="s">
        <v>898</v>
      </c>
      <c r="B57" s="221" t="s">
        <v>2349</v>
      </c>
    </row>
    <row r="58" spans="1:2" x14ac:dyDescent="0.35">
      <c r="A58" s="221" t="s">
        <v>898</v>
      </c>
      <c r="B58" s="221" t="s">
        <v>2350</v>
      </c>
    </row>
    <row r="59" spans="1:2" x14ac:dyDescent="0.35">
      <c r="A59" s="221" t="s">
        <v>898</v>
      </c>
      <c r="B59" s="221" t="s">
        <v>2351</v>
      </c>
    </row>
    <row r="60" spans="1:2" x14ac:dyDescent="0.35">
      <c r="A60" s="221" t="s">
        <v>898</v>
      </c>
      <c r="B60" s="221" t="s">
        <v>2352</v>
      </c>
    </row>
    <row r="61" spans="1:2" x14ac:dyDescent="0.35">
      <c r="A61" s="221" t="s">
        <v>898</v>
      </c>
      <c r="B61" s="221" t="s">
        <v>2353</v>
      </c>
    </row>
    <row r="62" spans="1:2" x14ac:dyDescent="0.35">
      <c r="A62" s="221" t="s">
        <v>898</v>
      </c>
      <c r="B62" s="221" t="s">
        <v>2354</v>
      </c>
    </row>
    <row r="63" spans="1:2" x14ac:dyDescent="0.35">
      <c r="A63" s="221" t="s">
        <v>898</v>
      </c>
      <c r="B63" s="221" t="s">
        <v>2355</v>
      </c>
    </row>
    <row r="64" spans="1:2" x14ac:dyDescent="0.35">
      <c r="A64" s="221" t="s">
        <v>898</v>
      </c>
      <c r="B64" s="221" t="s">
        <v>2356</v>
      </c>
    </row>
    <row r="65" spans="1:2" x14ac:dyDescent="0.35">
      <c r="A65" s="221" t="s">
        <v>898</v>
      </c>
      <c r="B65" s="221" t="s">
        <v>2357</v>
      </c>
    </row>
    <row r="66" spans="1:2" x14ac:dyDescent="0.35">
      <c r="A66" s="221" t="s">
        <v>898</v>
      </c>
      <c r="B66" s="221" t="s">
        <v>2358</v>
      </c>
    </row>
    <row r="67" spans="1:2" x14ac:dyDescent="0.35">
      <c r="A67" s="221" t="s">
        <v>900</v>
      </c>
      <c r="B67" s="221" t="s">
        <v>2359</v>
      </c>
    </row>
    <row r="68" spans="1:2" x14ac:dyDescent="0.35">
      <c r="A68" s="221" t="s">
        <v>900</v>
      </c>
      <c r="B68" s="221" t="s">
        <v>2360</v>
      </c>
    </row>
    <row r="69" spans="1:2" x14ac:dyDescent="0.35">
      <c r="A69" s="221" t="s">
        <v>900</v>
      </c>
      <c r="B69" s="221" t="s">
        <v>2361</v>
      </c>
    </row>
    <row r="70" spans="1:2" x14ac:dyDescent="0.35">
      <c r="A70" s="221" t="s">
        <v>900</v>
      </c>
      <c r="B70" s="221" t="s">
        <v>2362</v>
      </c>
    </row>
    <row r="71" spans="1:2" x14ac:dyDescent="0.35">
      <c r="A71" s="221" t="s">
        <v>900</v>
      </c>
      <c r="B71" s="221" t="s">
        <v>2363</v>
      </c>
    </row>
    <row r="72" spans="1:2" x14ac:dyDescent="0.35">
      <c r="A72" s="221" t="s">
        <v>900</v>
      </c>
      <c r="B72" s="221" t="s">
        <v>2364</v>
      </c>
    </row>
    <row r="73" spans="1:2" x14ac:dyDescent="0.35">
      <c r="A73" s="221" t="s">
        <v>902</v>
      </c>
      <c r="B73" s="221" t="s">
        <v>2365</v>
      </c>
    </row>
    <row r="74" spans="1:2" x14ac:dyDescent="0.35">
      <c r="A74" s="221" t="s">
        <v>902</v>
      </c>
      <c r="B74" s="221" t="s">
        <v>2366</v>
      </c>
    </row>
    <row r="75" spans="1:2" x14ac:dyDescent="0.35">
      <c r="A75" s="221" t="s">
        <v>902</v>
      </c>
      <c r="B75" s="221" t="s">
        <v>2367</v>
      </c>
    </row>
    <row r="76" spans="1:2" x14ac:dyDescent="0.35">
      <c r="A76" s="221" t="s">
        <v>902</v>
      </c>
      <c r="B76" s="221" t="s">
        <v>2368</v>
      </c>
    </row>
    <row r="77" spans="1:2" x14ac:dyDescent="0.35">
      <c r="A77" s="221" t="s">
        <v>902</v>
      </c>
      <c r="B77" s="221" t="s">
        <v>2369</v>
      </c>
    </row>
    <row r="78" spans="1:2" x14ac:dyDescent="0.35">
      <c r="A78" s="221" t="s">
        <v>902</v>
      </c>
      <c r="B78" s="221" t="s">
        <v>2370</v>
      </c>
    </row>
    <row r="79" spans="1:2" x14ac:dyDescent="0.35">
      <c r="A79" s="221" t="s">
        <v>904</v>
      </c>
      <c r="B79" s="221" t="s">
        <v>2371</v>
      </c>
    </row>
    <row r="80" spans="1:2" x14ac:dyDescent="0.35">
      <c r="A80" s="221" t="s">
        <v>904</v>
      </c>
      <c r="B80" s="221" t="s">
        <v>2372</v>
      </c>
    </row>
    <row r="81" spans="1:2" x14ac:dyDescent="0.35">
      <c r="A81" s="221" t="s">
        <v>904</v>
      </c>
      <c r="B81" s="221" t="s">
        <v>2373</v>
      </c>
    </row>
    <row r="82" spans="1:2" x14ac:dyDescent="0.35">
      <c r="A82" s="221" t="s">
        <v>906</v>
      </c>
      <c r="B82" s="221" t="s">
        <v>2371</v>
      </c>
    </row>
    <row r="83" spans="1:2" x14ac:dyDescent="0.35">
      <c r="A83" s="221" t="s">
        <v>906</v>
      </c>
      <c r="B83" s="221" t="s">
        <v>2372</v>
      </c>
    </row>
    <row r="84" spans="1:2" x14ac:dyDescent="0.35">
      <c r="A84" s="221" t="s">
        <v>906</v>
      </c>
      <c r="B84" s="221" t="s">
        <v>2373</v>
      </c>
    </row>
    <row r="85" spans="1:2" x14ac:dyDescent="0.35">
      <c r="A85" s="221" t="s">
        <v>908</v>
      </c>
      <c r="B85" s="221" t="s">
        <v>2371</v>
      </c>
    </row>
    <row r="86" spans="1:2" x14ac:dyDescent="0.35">
      <c r="A86" s="221" t="s">
        <v>908</v>
      </c>
      <c r="B86" s="221" t="s">
        <v>2372</v>
      </c>
    </row>
    <row r="87" spans="1:2" x14ac:dyDescent="0.35">
      <c r="A87" s="221" t="s">
        <v>908</v>
      </c>
      <c r="B87" s="221" t="s">
        <v>2373</v>
      </c>
    </row>
    <row r="88" spans="1:2" x14ac:dyDescent="0.35">
      <c r="A88" s="221" t="s">
        <v>910</v>
      </c>
      <c r="B88" s="221" t="s">
        <v>2374</v>
      </c>
    </row>
    <row r="89" spans="1:2" x14ac:dyDescent="0.35">
      <c r="A89" s="221" t="s">
        <v>910</v>
      </c>
      <c r="B89" s="221" t="s">
        <v>2372</v>
      </c>
    </row>
    <row r="90" spans="1:2" x14ac:dyDescent="0.35">
      <c r="A90" s="221" t="s">
        <v>910</v>
      </c>
      <c r="B90" s="221" t="s">
        <v>2373</v>
      </c>
    </row>
    <row r="91" spans="1:2" x14ac:dyDescent="0.35">
      <c r="A91" s="221" t="s">
        <v>912</v>
      </c>
      <c r="B91" s="221" t="s">
        <v>2374</v>
      </c>
    </row>
    <row r="92" spans="1:2" x14ac:dyDescent="0.35">
      <c r="A92" s="221" t="s">
        <v>912</v>
      </c>
      <c r="B92" s="221" t="s">
        <v>2372</v>
      </c>
    </row>
    <row r="93" spans="1:2" x14ac:dyDescent="0.35">
      <c r="A93" s="221" t="s">
        <v>912</v>
      </c>
      <c r="B93" s="221" t="s">
        <v>2373</v>
      </c>
    </row>
    <row r="94" spans="1:2" x14ac:dyDescent="0.35">
      <c r="A94" s="221" t="s">
        <v>914</v>
      </c>
      <c r="B94" s="221" t="s">
        <v>2374</v>
      </c>
    </row>
    <row r="95" spans="1:2" x14ac:dyDescent="0.35">
      <c r="A95" s="221" t="s">
        <v>914</v>
      </c>
      <c r="B95" s="221" t="s">
        <v>2372</v>
      </c>
    </row>
    <row r="96" spans="1:2" x14ac:dyDescent="0.35">
      <c r="A96" s="221" t="s">
        <v>914</v>
      </c>
      <c r="B96" s="221" t="s">
        <v>2373</v>
      </c>
    </row>
    <row r="97" spans="1:2" x14ac:dyDescent="0.35">
      <c r="A97" s="221" t="s">
        <v>916</v>
      </c>
      <c r="B97" s="221" t="s">
        <v>2374</v>
      </c>
    </row>
    <row r="98" spans="1:2" x14ac:dyDescent="0.35">
      <c r="A98" s="221" t="s">
        <v>916</v>
      </c>
      <c r="B98" s="221" t="s">
        <v>2372</v>
      </c>
    </row>
    <row r="99" spans="1:2" x14ac:dyDescent="0.35">
      <c r="A99" s="221" t="s">
        <v>916</v>
      </c>
      <c r="B99" s="221" t="s">
        <v>2373</v>
      </c>
    </row>
    <row r="100" spans="1:2" x14ac:dyDescent="0.35">
      <c r="A100" s="221" t="s">
        <v>918</v>
      </c>
      <c r="B100" s="221" t="s">
        <v>2374</v>
      </c>
    </row>
    <row r="101" spans="1:2" x14ac:dyDescent="0.35">
      <c r="A101" s="221" t="s">
        <v>918</v>
      </c>
      <c r="B101" s="221" t="s">
        <v>2372</v>
      </c>
    </row>
    <row r="102" spans="1:2" x14ac:dyDescent="0.35">
      <c r="A102" s="221" t="s">
        <v>918</v>
      </c>
      <c r="B102" s="221" t="s">
        <v>2373</v>
      </c>
    </row>
    <row r="103" spans="1:2" x14ac:dyDescent="0.35">
      <c r="A103" s="221" t="s">
        <v>920</v>
      </c>
      <c r="B103" s="221" t="s">
        <v>2374</v>
      </c>
    </row>
    <row r="104" spans="1:2" x14ac:dyDescent="0.35">
      <c r="A104" s="221" t="s">
        <v>920</v>
      </c>
      <c r="B104" s="221" t="s">
        <v>2372</v>
      </c>
    </row>
    <row r="105" spans="1:2" x14ac:dyDescent="0.35">
      <c r="A105" s="221" t="s">
        <v>920</v>
      </c>
      <c r="B105" s="221" t="s">
        <v>2373</v>
      </c>
    </row>
    <row r="106" spans="1:2" x14ac:dyDescent="0.35">
      <c r="A106" s="221" t="s">
        <v>922</v>
      </c>
      <c r="B106" s="221" t="s">
        <v>2374</v>
      </c>
    </row>
    <row r="107" spans="1:2" x14ac:dyDescent="0.35">
      <c r="A107" s="221" t="s">
        <v>922</v>
      </c>
      <c r="B107" s="221" t="s">
        <v>2372</v>
      </c>
    </row>
    <row r="108" spans="1:2" x14ac:dyDescent="0.35">
      <c r="A108" s="221" t="s">
        <v>922</v>
      </c>
      <c r="B108" s="221" t="s">
        <v>2373</v>
      </c>
    </row>
    <row r="109" spans="1:2" x14ac:dyDescent="0.35">
      <c r="A109" s="221" t="s">
        <v>924</v>
      </c>
      <c r="B109" s="221" t="s">
        <v>2374</v>
      </c>
    </row>
    <row r="110" spans="1:2" x14ac:dyDescent="0.35">
      <c r="A110" s="221" t="s">
        <v>924</v>
      </c>
      <c r="B110" s="221" t="s">
        <v>2372</v>
      </c>
    </row>
    <row r="111" spans="1:2" x14ac:dyDescent="0.35">
      <c r="A111" s="221" t="s">
        <v>924</v>
      </c>
      <c r="B111" s="221" t="s">
        <v>2373</v>
      </c>
    </row>
    <row r="112" spans="1:2" x14ac:dyDescent="0.35">
      <c r="A112" s="221" t="s">
        <v>926</v>
      </c>
      <c r="B112" s="221" t="s">
        <v>2374</v>
      </c>
    </row>
    <row r="113" spans="1:2" x14ac:dyDescent="0.35">
      <c r="A113" s="221" t="s">
        <v>926</v>
      </c>
      <c r="B113" s="221" t="s">
        <v>2372</v>
      </c>
    </row>
    <row r="114" spans="1:2" x14ac:dyDescent="0.35">
      <c r="A114" s="221" t="s">
        <v>926</v>
      </c>
      <c r="B114" s="221" t="s">
        <v>2373</v>
      </c>
    </row>
    <row r="115" spans="1:2" x14ac:dyDescent="0.35">
      <c r="A115" s="221" t="s">
        <v>928</v>
      </c>
      <c r="B115" s="221" t="s">
        <v>2374</v>
      </c>
    </row>
    <row r="116" spans="1:2" x14ac:dyDescent="0.35">
      <c r="A116" s="221" t="s">
        <v>928</v>
      </c>
      <c r="B116" s="221" t="s">
        <v>2372</v>
      </c>
    </row>
    <row r="117" spans="1:2" x14ac:dyDescent="0.35">
      <c r="A117" s="221" t="s">
        <v>930</v>
      </c>
      <c r="B117" s="221" t="s">
        <v>2374</v>
      </c>
    </row>
    <row r="118" spans="1:2" x14ac:dyDescent="0.35">
      <c r="A118" s="221" t="s">
        <v>930</v>
      </c>
      <c r="B118" s="221" t="s">
        <v>2372</v>
      </c>
    </row>
  </sheetData>
  <hyperlinks>
    <hyperlink ref="G1" location="'สารบัญ'!A1" display="🏠 สารบัญ" xr:uid="{00000000-0004-0000-3700-000000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A6A6A6"/>
  </sheetPr>
  <dimension ref="A1:L14"/>
  <sheetViews>
    <sheetView workbookViewId="0"/>
  </sheetViews>
  <sheetFormatPr defaultRowHeight="14.5" x14ac:dyDescent="0.35"/>
  <cols>
    <col min="1" max="1" width="46" customWidth="1"/>
    <col min="2" max="2" width="29.453125" customWidth="1"/>
    <col min="7" max="7" width="13" customWidth="1"/>
    <col min="8" max="8" width="25.26953125" customWidth="1"/>
    <col min="9" max="9" width="12.453125" customWidth="1"/>
    <col min="10" max="10" width="11" customWidth="1"/>
    <col min="11" max="11" width="12.453125" customWidth="1"/>
    <col min="12" max="12" width="11" customWidth="1"/>
  </cols>
  <sheetData>
    <row r="1" spans="1:12" ht="16.5" x14ac:dyDescent="0.35">
      <c r="A1" s="464" t="s">
        <v>2375</v>
      </c>
      <c r="B1" s="411"/>
      <c r="C1" s="411"/>
      <c r="D1" s="319"/>
      <c r="G1" s="388" t="s">
        <v>78</v>
      </c>
      <c r="H1" s="397" t="s">
        <v>667</v>
      </c>
      <c r="I1" s="237" t="s">
        <v>2376</v>
      </c>
      <c r="J1" s="237" t="s">
        <v>2377</v>
      </c>
      <c r="K1" s="237" t="s">
        <v>2378</v>
      </c>
      <c r="L1" s="237" t="s">
        <v>2379</v>
      </c>
    </row>
    <row r="2" spans="1:12" x14ac:dyDescent="0.35">
      <c r="H2" s="237" t="s">
        <v>2380</v>
      </c>
      <c r="I2" s="237">
        <v>250</v>
      </c>
      <c r="J2" s="237">
        <v>620</v>
      </c>
      <c r="K2" s="237">
        <v>2800</v>
      </c>
      <c r="L2" s="237">
        <v>6000</v>
      </c>
    </row>
    <row r="3" spans="1:12" x14ac:dyDescent="0.35">
      <c r="A3" s="466"/>
      <c r="B3" s="411"/>
      <c r="C3" s="411"/>
      <c r="H3" s="237" t="s">
        <v>2381</v>
      </c>
      <c r="I3" s="237">
        <v>0</v>
      </c>
      <c r="J3" s="237">
        <v>0</v>
      </c>
      <c r="K3" s="237">
        <v>2743</v>
      </c>
      <c r="L3" s="237">
        <v>3658</v>
      </c>
    </row>
    <row r="4" spans="1:12" x14ac:dyDescent="0.35">
      <c r="A4" s="238"/>
      <c r="B4" s="239">
        <v>1000</v>
      </c>
      <c r="H4" s="237" t="s">
        <v>2382</v>
      </c>
      <c r="I4" s="237">
        <v>0</v>
      </c>
      <c r="J4" s="237">
        <v>0</v>
      </c>
      <c r="K4" s="237">
        <v>2667</v>
      </c>
      <c r="L4" s="237">
        <v>3658</v>
      </c>
    </row>
    <row r="5" spans="1:12" x14ac:dyDescent="0.35">
      <c r="A5" s="238"/>
      <c r="B5" s="239">
        <v>2000</v>
      </c>
      <c r="H5" s="237" t="s">
        <v>2383</v>
      </c>
      <c r="I5" s="237">
        <v>0</v>
      </c>
      <c r="J5" s="237">
        <v>0</v>
      </c>
      <c r="K5" s="237">
        <v>99999</v>
      </c>
      <c r="L5" s="237">
        <v>99999</v>
      </c>
    </row>
    <row r="6" spans="1:12" x14ac:dyDescent="0.35">
      <c r="A6" s="238"/>
      <c r="B6" s="239" t="s">
        <v>2380</v>
      </c>
    </row>
    <row r="8" spans="1:12" x14ac:dyDescent="0.35">
      <c r="A8" s="240" t="s">
        <v>2384</v>
      </c>
      <c r="B8">
        <f>MIN(B4,B5)</f>
        <v>1000</v>
      </c>
    </row>
    <row r="9" spans="1:12" x14ac:dyDescent="0.35">
      <c r="A9" s="240" t="s">
        <v>2385</v>
      </c>
      <c r="B9">
        <f>MAX(B4,B5)</f>
        <v>2000</v>
      </c>
    </row>
    <row r="10" spans="1:12" x14ac:dyDescent="0.35">
      <c r="A10" s="240" t="s">
        <v>2386</v>
      </c>
      <c r="B10" t="str">
        <f>VLOOKUP(B6,$H$2:$L$5,2,0)&amp;"×"&amp;VLOOKUP(B6,$H$2:$L$5,3,0)&amp;" ถึง "&amp;VLOOKUP(B6,$H$2:$L$5,4,0)&amp;"×"&amp;VLOOKUP(B6,$H$2:$L$5,5,0)&amp;" มม."</f>
        <v>250×620 ถึง 2800×6000 มม.</v>
      </c>
    </row>
    <row r="12" spans="1:12" ht="15.5" x14ac:dyDescent="0.35">
      <c r="A12" s="130" t="s">
        <v>2387</v>
      </c>
      <c r="B12" s="454" t="str">
        <f>IF(OR(B4="",B5=""),"กรอกขนาด",IF(AND(B8&gt;=VLOOKUP(B6,$H$2:$L$5,2,0),B9&gt;=VLOOKUP(B6,$H$2:$L$5,3,0),B8&lt;=VLOOKUP(B6,$H$2:$L$5,4,0),B9&lt;=VLOOKUP(B6,$H$2:$L$5,5,0)),"✅ ผลิตได้","❌ ผลิตไม่ได้: "&amp;IF(B8&lt;VLOOKUP(B6,$H$2:$L$5,2,0),"ด้านสั้นเล็กกว่า "&amp;VLOOKUP(B6,$H$2:$L$5,2,0)&amp;"มม. ","")&amp;IF(B9&lt;VLOOKUP(B6,$H$2:$L$5,3,0),"ด้านยาวสั้นกว่า "&amp;VLOOKUP(B6,$H$2:$L$5,3,0)&amp;"มม. ","")&amp;IF(B8&gt;VLOOKUP(B6,$H$2:$L$5,4,0),"ด้านสั้นเกิน "&amp;VLOOKUP(B6,$H$2:$L$5,4,0)&amp;"มม. ","")&amp;IF(B9&gt;VLOOKUP(B6,$H$2:$L$5,5,0),"ด้านยาวเกิน "&amp;VLOOKUP(B6,$H$2:$L$5,5,0)&amp;"มม. ","")))</f>
        <v>✅ ผลิตได้</v>
      </c>
      <c r="C12" s="411"/>
      <c r="D12" s="411"/>
      <c r="E12" s="411"/>
    </row>
    <row r="14" spans="1:12" x14ac:dyDescent="0.35">
      <c r="A14" s="465" t="s">
        <v>2388</v>
      </c>
      <c r="B14" s="411"/>
      <c r="C14" s="411"/>
      <c r="D14" s="411"/>
      <c r="E14" s="411"/>
      <c r="F14" s="411"/>
    </row>
  </sheetData>
  <mergeCells count="4">
    <mergeCell ref="A1:C1"/>
    <mergeCell ref="A14:F14"/>
    <mergeCell ref="B12:E12"/>
    <mergeCell ref="A3:C3"/>
  </mergeCells>
  <dataValidations count="1">
    <dataValidation type="list" sqref="B6" xr:uid="{00000000-0002-0000-3800-000000000000}">
      <formula1>$H$2:$H$5</formula1>
    </dataValidation>
  </dataValidations>
  <hyperlinks>
    <hyperlink ref="G1" location="'สารบัญ'!A1" display="🏠 สารบัญ" xr:uid="{00000000-0004-0000-3800-000000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ED7D31"/>
  </sheetPr>
  <dimension ref="A1:H25"/>
  <sheetViews>
    <sheetView workbookViewId="0"/>
  </sheetViews>
  <sheetFormatPr defaultRowHeight="14.5" x14ac:dyDescent="0.35"/>
  <cols>
    <col min="1" max="1" width="46" customWidth="1"/>
    <col min="2" max="2" width="14.26953125" customWidth="1"/>
    <col min="3" max="3" width="16.90625" customWidth="1"/>
    <col min="4" max="4" width="14.08984375" customWidth="1"/>
    <col min="5" max="5" width="13" customWidth="1"/>
    <col min="7" max="7" width="13" customWidth="1"/>
  </cols>
  <sheetData>
    <row r="1" spans="1:8" x14ac:dyDescent="0.35">
      <c r="A1" s="231" t="s">
        <v>2389</v>
      </c>
      <c r="B1" s="319"/>
      <c r="E1" s="30">
        <f>IF(B2="โพลีตัน",122,IF(OR(B2="ชินโคร์ HC",B2="ชินโคร์ Sup"),138,100))</f>
        <v>100</v>
      </c>
      <c r="G1" s="388" t="s">
        <v>78</v>
      </c>
      <c r="H1" s="389"/>
    </row>
    <row r="2" spans="1:8" x14ac:dyDescent="0.35">
      <c r="A2" s="30" t="s">
        <v>1999</v>
      </c>
      <c r="B2" s="232" t="str">
        <f>'คิดทุน หลังคา (รวม)'!B4</f>
        <v>ไวนิล</v>
      </c>
      <c r="E2" s="30">
        <f>CEILING(B3/E1,1)+1</f>
        <v>5</v>
      </c>
    </row>
    <row r="3" spans="1:8" x14ac:dyDescent="0.35">
      <c r="A3" s="30" t="s">
        <v>1715</v>
      </c>
      <c r="B3" s="232">
        <f>'คิดทุน หลังคา (รวม)'!B9</f>
        <v>400</v>
      </c>
      <c r="E3" s="30">
        <f>(B3/100)*(B4/100)</f>
        <v>8</v>
      </c>
    </row>
    <row r="4" spans="1:8" x14ac:dyDescent="0.35">
      <c r="A4" s="30" t="s">
        <v>2390</v>
      </c>
      <c r="B4" s="232">
        <f>'คิดทุน หลังคา (รวม)'!B10</f>
        <v>200</v>
      </c>
      <c r="E4" s="30">
        <f>E2*ROUNDUP(B4/600,0)</f>
        <v>5</v>
      </c>
    </row>
    <row r="5" spans="1:8" x14ac:dyDescent="0.35">
      <c r="A5" s="30" t="s">
        <v>2000</v>
      </c>
      <c r="B5" s="232" t="str">
        <f>'คิดทุน หลังคา (รวม)'!B5</f>
        <v>แปเดี่ยว</v>
      </c>
      <c r="E5" s="30">
        <f>CEILING(B4/50,1)+1</f>
        <v>5</v>
      </c>
    </row>
    <row r="6" spans="1:8" x14ac:dyDescent="0.35">
      <c r="A6" s="238" t="s">
        <v>2002</v>
      </c>
      <c r="B6" s="241" t="str">
        <f>'คิดทุน หลังคา (รวม)'!B6</f>
        <v>ยื่นปลาย</v>
      </c>
      <c r="E6" s="30">
        <f>E5*ROUNDUP(B3/600,0)</f>
        <v>5</v>
      </c>
    </row>
    <row r="7" spans="1:8" x14ac:dyDescent="0.35">
      <c r="E7" s="30">
        <f>IF(B4&lt;=300,3,IF(B4&lt;=400,4,IF(B4&lt;=500,5,6)))</f>
        <v>3</v>
      </c>
    </row>
    <row r="8" spans="1:8" x14ac:dyDescent="0.35">
      <c r="A8" s="233" t="s">
        <v>1376</v>
      </c>
      <c r="B8" s="233" t="s">
        <v>1255</v>
      </c>
      <c r="C8" s="233" t="s">
        <v>1256</v>
      </c>
      <c r="D8" s="233" t="s">
        <v>1377</v>
      </c>
      <c r="E8" s="30">
        <f>IF(B2="ไวนิล",CEILING(B3/25,1)*ราคาวัสดุ!D14,IF(B2="ดีไลท์",CEILING(B3/100,1)*ราคาวัสดุ!D16,IF(B2="โพลีตัน",CEILING(B3/122,1)*ROUNDUP(B4/100,0)*ราคาวัสดุ!D17,IF(B2="ชินโคร์ HC",CEILING(B3/138,1)*(1.38*E7)*ราคาวัสดุ!D19,IF(B2="ชินโคร์ Sup",CEILING(B3/138,1)*(1.38*E7)*ราคาวัสดุ!D20,IF(B2="เมทัลชีท",CEILING(B3/34,1)*(0.34*B4/100)*ราคาวัสดุ!D21,IF(B2="กระจก 4+4",E3*ราคาวัสดุ!D22,IF(B2="กระจก 5+5",E3*ราคาวัสดุ!D23,0))))))))</f>
        <v>24640</v>
      </c>
    </row>
    <row r="9" spans="1:8" x14ac:dyDescent="0.35">
      <c r="A9" t="s">
        <v>2391</v>
      </c>
      <c r="D9">
        <f>IF(B6="ปิดปลาย",ROUND(201*mult_mtong*1*B3/100,0),IF(B6="รางน้ำอลู",ROUNDUP(B3/600,0)*1*ROUND(2273*mult_mtong,0),IF(B6="รางน้ำสแตน M",ROUND(990*1*B3/100,0),IF(B6="รางน้ำสแตน L",ROUND(1035*1*B3/100,0),0))))</f>
        <v>0</v>
      </c>
      <c r="E9" s="30">
        <f>IF(B2="ไวนิล",CEILING(B3/25,1)*ราคาวัสดุ!D15,IF(B2="โพลีตัน",E2*ราคาวัสดุ!D18,0))</f>
        <v>3920</v>
      </c>
    </row>
    <row r="10" spans="1:8" x14ac:dyDescent="0.35">
      <c r="A10" s="30" t="s">
        <v>2392</v>
      </c>
      <c r="B10" s="30">
        <f>ROUNDUP((2*B3+E2*B4)/600,0)</f>
        <v>3</v>
      </c>
      <c r="C10" s="30">
        <f>ราคาวัสดุ!D4</f>
        <v>1220</v>
      </c>
      <c r="D10" s="30">
        <f t="shared" ref="D10:D15" si="0">B10*C10</f>
        <v>3660</v>
      </c>
    </row>
    <row r="11" spans="1:8" x14ac:dyDescent="0.35">
      <c r="A11" s="30" t="s">
        <v>2393</v>
      </c>
      <c r="B11" s="30">
        <f>ROUNDUP(E5*IF(B5="แปคู่",2,1)*B3/600,0)</f>
        <v>4</v>
      </c>
      <c r="C11" s="30">
        <f>IF(B5="แปคู่",ราคาวัสดุ!D6,ราคาวัสดุ!D5)</f>
        <v>770</v>
      </c>
      <c r="D11" s="30">
        <f t="shared" si="0"/>
        <v>3080</v>
      </c>
    </row>
    <row r="12" spans="1:8" x14ac:dyDescent="0.35">
      <c r="A12" s="30" t="s">
        <v>387</v>
      </c>
      <c r="B12" s="30">
        <f>ROUNDUP(B3/600,0)</f>
        <v>1</v>
      </c>
      <c r="C12" s="30">
        <f>ราคาวัสดุ!D7</f>
        <v>140</v>
      </c>
      <c r="D12" s="30">
        <f t="shared" si="0"/>
        <v>140</v>
      </c>
    </row>
    <row r="13" spans="1:8" x14ac:dyDescent="0.35">
      <c r="A13" s="30" t="s">
        <v>597</v>
      </c>
      <c r="B13" s="30">
        <f>ROUNDUP(B3/600,0)</f>
        <v>1</v>
      </c>
      <c r="C13" s="30">
        <f>ราคาวัสดุ!D8</f>
        <v>140</v>
      </c>
      <c r="D13" s="30">
        <f t="shared" si="0"/>
        <v>140</v>
      </c>
    </row>
    <row r="14" spans="1:8" x14ac:dyDescent="0.35">
      <c r="A14" s="30" t="s">
        <v>599</v>
      </c>
      <c r="B14" s="30">
        <f>E2*ROUNDUP(B4/600,0)</f>
        <v>5</v>
      </c>
      <c r="C14" s="30">
        <f>ราคาวัสดุ!D9</f>
        <v>110</v>
      </c>
      <c r="D14" s="30">
        <f t="shared" si="0"/>
        <v>550</v>
      </c>
    </row>
    <row r="15" spans="1:8" x14ac:dyDescent="0.35">
      <c r="A15" s="30" t="s">
        <v>601</v>
      </c>
      <c r="B15" s="30">
        <f>2*E2</f>
        <v>10</v>
      </c>
      <c r="C15" s="30">
        <f>ราคาวัสดุ!D10</f>
        <v>15</v>
      </c>
      <c r="D15" s="30">
        <f t="shared" si="0"/>
        <v>150</v>
      </c>
    </row>
    <row r="16" spans="1:8" x14ac:dyDescent="0.35">
      <c r="A16" s="30" t="s">
        <v>2394</v>
      </c>
      <c r="D16" s="30">
        <f>E8</f>
        <v>24640</v>
      </c>
    </row>
    <row r="17" spans="1:4" x14ac:dyDescent="0.35">
      <c r="A17" s="30" t="s">
        <v>2395</v>
      </c>
      <c r="D17" s="30">
        <f>E9</f>
        <v>3920</v>
      </c>
    </row>
    <row r="18" spans="1:4" x14ac:dyDescent="0.35">
      <c r="A18" s="30" t="s">
        <v>711</v>
      </c>
      <c r="D18" s="30">
        <f>MAX(0,VLOOKUP("หลังคา",ค่าแรง!$A$12:$E$27,2,0)+VLOOKUP("หลังคา",ค่าแรง!$A$12:$E$27,3,0)*E3)</f>
        <v>651.20000000000005</v>
      </c>
    </row>
    <row r="19" spans="1:4" x14ac:dyDescent="0.35">
      <c r="A19" s="30" t="s">
        <v>654</v>
      </c>
      <c r="D19" s="30">
        <f>MAX(0,VLOOKUP("หลังคา",ค่าแรง!$A$12:$E$27,4,0)+VLOOKUP("หลังคา",ค่าแรง!$A$12:$E$27,5,0)*E3)</f>
        <v>651.20000000000005</v>
      </c>
    </row>
    <row r="20" spans="1:4" x14ac:dyDescent="0.35">
      <c r="A20" s="30" t="s">
        <v>2396</v>
      </c>
      <c r="D20" s="234">
        <f>SUM(D9:D17)+D24+D25</f>
        <v>38286</v>
      </c>
    </row>
    <row r="21" spans="1:4" x14ac:dyDescent="0.35">
      <c r="A21" s="30" t="s">
        <v>2397</v>
      </c>
      <c r="D21" s="234">
        <f>D20+D18+D19</f>
        <v>39588.399999999994</v>
      </c>
    </row>
    <row r="22" spans="1:4" x14ac:dyDescent="0.35">
      <c r="A22" s="30" t="s">
        <v>1125</v>
      </c>
      <c r="D22" s="30">
        <f>IFERROR(D21/E3,0)</f>
        <v>4948.5499999999993</v>
      </c>
    </row>
    <row r="23" spans="1:4" x14ac:dyDescent="0.35">
      <c r="A23" s="30" t="s">
        <v>1993</v>
      </c>
      <c r="D23" s="235">
        <f>ROUNDUP(D21*2/100,0)*100</f>
        <v>79200</v>
      </c>
    </row>
    <row r="24" spans="1:4" x14ac:dyDescent="0.35">
      <c r="A24" s="409" t="s">
        <v>2398</v>
      </c>
      <c r="B24">
        <f>ROUNDUP((B4/3*E2)/600,0)</f>
        <v>1</v>
      </c>
      <c r="C24">
        <f>ราคาวัสดุ!D4</f>
        <v>1220</v>
      </c>
      <c r="D24">
        <f>B24*C24</f>
        <v>1220</v>
      </c>
    </row>
    <row r="25" spans="1:4" x14ac:dyDescent="0.35">
      <c r="A25" s="409" t="s">
        <v>2399</v>
      </c>
      <c r="B25">
        <f>ROUNDUP(2*(B3+B4)/600,0)</f>
        <v>2</v>
      </c>
      <c r="C25">
        <f>ราคาวัสดุ!D6</f>
        <v>393</v>
      </c>
      <c r="D25">
        <f>B25*C25</f>
        <v>786</v>
      </c>
    </row>
  </sheetData>
  <dataValidations count="3">
    <dataValidation type="list" allowBlank="1" sqref="B2" xr:uid="{00000000-0002-0000-3900-000000000000}">
      <formula1>"ไวนิล,ดีไลท์,โพลีตัน,ชินโคร์ HC,ชินโคร์ Sup,เมทัลชีท,กระจก 4+4,กระจก 5+5"</formula1>
    </dataValidation>
    <dataValidation type="list" allowBlank="1" sqref="B5" xr:uid="{00000000-0002-0000-3900-000001000000}">
      <formula1>"แปเดี่ยว,แปคู่"</formula1>
    </dataValidation>
    <dataValidation type="list" sqref="B6" xr:uid="{00000000-0002-0000-3900-000002000000}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 xr:uid="{00000000-0004-0000-3900-000000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ED7D31"/>
  </sheetPr>
  <dimension ref="A1:H26"/>
  <sheetViews>
    <sheetView workbookViewId="0"/>
  </sheetViews>
  <sheetFormatPr defaultRowHeight="14.5" x14ac:dyDescent="0.35"/>
  <cols>
    <col min="1" max="1" width="46" customWidth="1"/>
    <col min="2" max="2" width="14.26953125" customWidth="1"/>
    <col min="3" max="3" width="16.90625" customWidth="1"/>
    <col min="4" max="4" width="14.08984375" customWidth="1"/>
    <col min="5" max="5" width="13" customWidth="1"/>
    <col min="7" max="7" width="13" customWidth="1"/>
  </cols>
  <sheetData>
    <row r="1" spans="1:8" ht="15.5" x14ac:dyDescent="0.35">
      <c r="A1" s="130" t="s">
        <v>2400</v>
      </c>
      <c r="B1" s="319"/>
      <c r="E1">
        <f>IF(B2="โพลีตัน",122,IF(OR(B2="ชินโคร์ HC",B2="ชินโคร์ Sup"),138,100))</f>
        <v>100</v>
      </c>
      <c r="G1" s="388" t="s">
        <v>78</v>
      </c>
      <c r="H1" s="389"/>
    </row>
    <row r="2" spans="1:8" x14ac:dyDescent="0.35">
      <c r="A2" t="s">
        <v>1999</v>
      </c>
      <c r="B2" s="193" t="str">
        <f>'คิดทุน หลังคา (รวม)'!B4</f>
        <v>ไวนิล</v>
      </c>
      <c r="E2">
        <f>ROUND(SQRT((B3/2)^2+B5^2),1)</f>
        <v>250</v>
      </c>
    </row>
    <row r="3" spans="1:8" x14ac:dyDescent="0.35">
      <c r="A3" t="s">
        <v>2401</v>
      </c>
      <c r="B3" s="193">
        <f>'คิดทุน หลังคา (รวม)'!B9</f>
        <v>400</v>
      </c>
      <c r="E3">
        <f>CEILING(B4/E1,1)+1</f>
        <v>3</v>
      </c>
    </row>
    <row r="4" spans="1:8" x14ac:dyDescent="0.35">
      <c r="A4" t="s">
        <v>2402</v>
      </c>
      <c r="B4" s="193">
        <f>'คิดทุน หลังคา (รวม)'!B10</f>
        <v>200</v>
      </c>
      <c r="E4">
        <f>(B3/100)*(B4/100)</f>
        <v>8</v>
      </c>
    </row>
    <row r="5" spans="1:8" x14ac:dyDescent="0.35">
      <c r="A5" t="s">
        <v>2403</v>
      </c>
      <c r="B5" s="193">
        <f>'คิดทุน หลังคา (รวม)'!B11</f>
        <v>150</v>
      </c>
      <c r="E5">
        <f>IF(E2&lt;=300,3,IF(E2&lt;=400,4,IF(E2&lt;=500,5,6)))</f>
        <v>3</v>
      </c>
    </row>
    <row r="6" spans="1:8" x14ac:dyDescent="0.35">
      <c r="A6" t="s">
        <v>2000</v>
      </c>
      <c r="B6" s="193" t="str">
        <f>'คิดทุน หลังคา (รวม)'!B5</f>
        <v>แปเดี่ยว</v>
      </c>
      <c r="E6">
        <f>2*IF(B2="ไวนิล",CEILING(B4/25,1)*ราคาวัสดุ!D14,IF(B2="ดีไลท์",CEILING(B4/100,1)*ราคาวัสดุ!D16,IF(B2="โพลีตัน",CEILING(B4/122,1)*ROUNDUP(E2/100,0)*ราคาวัสดุ!D17,IF(B2="ชินโคร์ HC",CEILING(B4/138,1)*(1.38*E5)*ราคาวัสดุ!D19,IF(B2="ชินโคร์ Sup",CEILING(B4/138,1)*(1.38*E5)*ราคาวัสดุ!D20,IF(B2="เมทัลชีท",CEILING(B4/34,1)*(0.34*E2/100)*ราคาวัสดุ!D21,IF(B2="กระจก 4+4",(B4/100)*(E2/100)*ราคาวัสดุ!D22,IF(B2="กระจก 5+5",(B4/100)*(E2/100)*ราคาวัสดุ!D23,0))))))))</f>
        <v>24640</v>
      </c>
    </row>
    <row r="7" spans="1:8" x14ac:dyDescent="0.35">
      <c r="A7" s="238" t="s">
        <v>2002</v>
      </c>
      <c r="B7" s="241" t="str">
        <f>'คิดทุน หลังคา (รวม)'!B6</f>
        <v>ยื่นปลาย</v>
      </c>
      <c r="E7">
        <f>2*IF(B2="ไวนิล",CEILING(B4/25,1)*ราคาวัสดุ!D15,IF(B2="โพลีตัน",E3*ราคาวัสดุ!D18,0))</f>
        <v>3920</v>
      </c>
    </row>
    <row r="8" spans="1:8" x14ac:dyDescent="0.35">
      <c r="A8" t="s">
        <v>2404</v>
      </c>
      <c r="D8">
        <f>IF(B7="ปิดปลาย",ROUND(201*mult_mtong*2*B4/100,0),IF(B7="รางน้ำอลู",ROUNDUP(B4/600,0)*2*ROUND(2273*mult_mtong,0),IF(B7="รางน้ำสแตน M",ROUND(990*2*B4/100,0),IF(B7="รางน้ำสแตน L",ROUND(1035*2*B4/100,0),0))))</f>
        <v>0</v>
      </c>
    </row>
    <row r="9" spans="1:8" x14ac:dyDescent="0.35">
      <c r="A9" t="s">
        <v>1376</v>
      </c>
      <c r="B9" t="s">
        <v>1255</v>
      </c>
      <c r="C9" t="s">
        <v>1256</v>
      </c>
      <c r="D9" t="s">
        <v>1377</v>
      </c>
    </row>
    <row r="10" spans="1:8" x14ac:dyDescent="0.35">
      <c r="A10" t="s">
        <v>2405</v>
      </c>
      <c r="B10">
        <f>2*E3*ROUNDUP(E2/600,0)</f>
        <v>6</v>
      </c>
      <c r="C10">
        <f>ราคาวัสดุ!D4</f>
        <v>1220</v>
      </c>
      <c r="D10">
        <f t="shared" ref="D10:D16" si="0">B10*C10</f>
        <v>7320</v>
      </c>
    </row>
    <row r="11" spans="1:8" x14ac:dyDescent="0.35">
      <c r="A11" t="s">
        <v>2406</v>
      </c>
      <c r="B11">
        <f>2*(CEILING(E2/50,1)+1)*ROUNDUP(B4/600,0)</f>
        <v>12</v>
      </c>
      <c r="C11">
        <f>IF(B6="แปคู่",ราคาวัสดุ!D6,ราคาวัสดุ!D5)</f>
        <v>770</v>
      </c>
      <c r="D11">
        <f t="shared" si="0"/>
        <v>9240</v>
      </c>
    </row>
    <row r="12" spans="1:8" x14ac:dyDescent="0.35">
      <c r="A12" t="s">
        <v>2407</v>
      </c>
      <c r="B12">
        <f>2*ROUNDUP(B4/600,0)</f>
        <v>2</v>
      </c>
      <c r="C12">
        <f>ราคาวัสดุ!D7</f>
        <v>140</v>
      </c>
      <c r="D12">
        <f t="shared" si="0"/>
        <v>280</v>
      </c>
    </row>
    <row r="13" spans="1:8" x14ac:dyDescent="0.35">
      <c r="A13" t="s">
        <v>2408</v>
      </c>
      <c r="B13">
        <f>2*ROUNDUP(B4/600,0)</f>
        <v>2</v>
      </c>
      <c r="C13">
        <f>ราคาวัสดุ!D8</f>
        <v>140</v>
      </c>
      <c r="D13">
        <f t="shared" si="0"/>
        <v>280</v>
      </c>
    </row>
    <row r="14" spans="1:8" x14ac:dyDescent="0.35">
      <c r="A14" t="s">
        <v>599</v>
      </c>
      <c r="B14">
        <f>2*E3*ROUNDUP(E2/600,0)</f>
        <v>6</v>
      </c>
      <c r="C14">
        <f>ราคาวัสดุ!D9</f>
        <v>110</v>
      </c>
      <c r="D14">
        <f t="shared" si="0"/>
        <v>660</v>
      </c>
    </row>
    <row r="15" spans="1:8" x14ac:dyDescent="0.35">
      <c r="A15" t="s">
        <v>601</v>
      </c>
      <c r="B15">
        <f>4*E3</f>
        <v>12</v>
      </c>
      <c r="C15">
        <f>ราคาวัสดุ!D10</f>
        <v>15</v>
      </c>
      <c r="D15">
        <f t="shared" si="0"/>
        <v>180</v>
      </c>
    </row>
    <row r="16" spans="1:8" x14ac:dyDescent="0.35">
      <c r="A16" t="s">
        <v>2409</v>
      </c>
      <c r="B16">
        <f>ROUNDUP(E3/2,0)*ROUNDUP((B3+B5)/600,0)</f>
        <v>2</v>
      </c>
      <c r="C16">
        <f>ราคาวัสดุ!D11</f>
        <v>2208</v>
      </c>
      <c r="D16">
        <f t="shared" si="0"/>
        <v>4416</v>
      </c>
    </row>
    <row r="17" spans="1:4" x14ac:dyDescent="0.35">
      <c r="A17" t="s">
        <v>2410</v>
      </c>
      <c r="D17">
        <f>E6</f>
        <v>24640</v>
      </c>
    </row>
    <row r="18" spans="1:4" x14ac:dyDescent="0.35">
      <c r="A18" t="s">
        <v>2411</v>
      </c>
      <c r="D18">
        <f>E7</f>
        <v>3920</v>
      </c>
    </row>
    <row r="19" spans="1:4" x14ac:dyDescent="0.35">
      <c r="A19" t="s">
        <v>2412</v>
      </c>
      <c r="D19">
        <f>ROUND(VLOOKUP("หลังคาจั่ว",ค่าแรง!$A$12:$E$27,3,0)*E4,0)</f>
        <v>123</v>
      </c>
    </row>
    <row r="20" spans="1:4" x14ac:dyDescent="0.35">
      <c r="A20" t="s">
        <v>2413</v>
      </c>
      <c r="D20">
        <f>ROUND(VLOOKUP("หลังคาจั่ว",ค่าแรง!$A$12:$E$27,5,0)*E4,0)</f>
        <v>123</v>
      </c>
    </row>
    <row r="21" spans="1:4" x14ac:dyDescent="0.35">
      <c r="A21" t="s">
        <v>2396</v>
      </c>
      <c r="D21">
        <f>SUM(D10:D18)+D8</f>
        <v>50936</v>
      </c>
    </row>
    <row r="22" spans="1:4" x14ac:dyDescent="0.35">
      <c r="A22" t="s">
        <v>2397</v>
      </c>
      <c r="D22">
        <f>D21+D19+D20</f>
        <v>51182</v>
      </c>
    </row>
    <row r="23" spans="1:4" x14ac:dyDescent="0.35">
      <c r="A23" t="s">
        <v>2414</v>
      </c>
      <c r="D23">
        <f>IFERROR(D22/E4,0)</f>
        <v>6397.75</v>
      </c>
    </row>
    <row r="24" spans="1:4" x14ac:dyDescent="0.35">
      <c r="A24" t="s">
        <v>1993</v>
      </c>
      <c r="D24">
        <f>ROUNDUP(D22*2/100,0)*100</f>
        <v>102400</v>
      </c>
    </row>
    <row r="26" spans="1:4" x14ac:dyDescent="0.35">
      <c r="A26" t="s">
        <v>2415</v>
      </c>
      <c r="B26">
        <f>E2</f>
        <v>250</v>
      </c>
    </row>
  </sheetData>
  <dataValidations count="3">
    <dataValidation type="list" allowBlank="1" sqref="B2" xr:uid="{00000000-0002-0000-3A00-000000000000}">
      <formula1>"ไวนิล,ดีไลท์,โพลีตัน,ชินโคร์ HC,ชินโคร์ Sup,เมทัลชีท,กระจก 4+4,กระจก 5+5"</formula1>
    </dataValidation>
    <dataValidation type="list" allowBlank="1" sqref="B6" xr:uid="{00000000-0002-0000-3A00-000001000000}">
      <formula1>"แปเดี่ยว,แปคู่"</formula1>
    </dataValidation>
    <dataValidation type="list" sqref="B7" xr:uid="{00000000-0002-0000-3A00-000002000000}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 xr:uid="{00000000-0004-0000-3A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D7D31"/>
  </sheetPr>
  <dimension ref="A1:L18"/>
  <sheetViews>
    <sheetView workbookViewId="0"/>
  </sheetViews>
  <sheetFormatPr defaultRowHeight="14.5" x14ac:dyDescent="0.35"/>
  <cols>
    <col min="1" max="1" width="46" customWidth="1"/>
    <col min="2" max="2" width="17.453125" customWidth="1"/>
    <col min="3" max="3" width="13" customWidth="1"/>
    <col min="4" max="4" width="14.08984375" customWidth="1"/>
    <col min="5" max="5" width="13" customWidth="1"/>
    <col min="7" max="8" width="13" customWidth="1"/>
    <col min="10" max="12" width="13" customWidth="1"/>
  </cols>
  <sheetData>
    <row r="1" spans="1:12" x14ac:dyDescent="0.35">
      <c r="A1" s="231" t="s">
        <v>2416</v>
      </c>
      <c r="B1" s="319"/>
      <c r="G1" s="388" t="s">
        <v>78</v>
      </c>
      <c r="H1" s="390">
        <f>IF(B2="โพลีตัน",122,IF(OR(B2="ชินโคร์ HC",B2="ชินโคร์ Sup"),138,100))</f>
        <v>100</v>
      </c>
      <c r="J1" s="30">
        <f>IF(B2="โพลีตัน",122,IF(OR(B2="ชินโคร์ HC",B2="ชินโคร์ Sup"),138,100))</f>
        <v>100</v>
      </c>
      <c r="K1" t="s">
        <v>2417</v>
      </c>
      <c r="L1" t="s">
        <v>2418</v>
      </c>
    </row>
    <row r="2" spans="1:12" x14ac:dyDescent="0.35">
      <c r="A2" s="30" t="s">
        <v>1999</v>
      </c>
      <c r="B2" s="232" t="str">
        <f>'คิดทุน หลังคา (รวม)'!B4</f>
        <v>ไวนิล</v>
      </c>
      <c r="H2" s="30">
        <f>CEILING(B6/H1,1)+1</f>
        <v>5</v>
      </c>
      <c r="J2" s="30">
        <f>CEILING(B7/J1,1)+1</f>
        <v>3</v>
      </c>
      <c r="K2">
        <f>J2*ROUNDUP(C7/600,0)</f>
        <v>3</v>
      </c>
      <c r="L2">
        <f>K2*ราคาวัสดุ!D4</f>
        <v>3660</v>
      </c>
    </row>
    <row r="3" spans="1:12" x14ac:dyDescent="0.35">
      <c r="A3" s="30" t="s">
        <v>2419</v>
      </c>
      <c r="B3" s="232" t="str">
        <f>'คิดทุน หลังคา (รวม)'!B13</f>
        <v>เลื่อนยื่น</v>
      </c>
      <c r="E3">
        <f>'คิดทุน หลังคา (รวม)'!B15</f>
        <v>2</v>
      </c>
      <c r="H3" s="30">
        <f>(B6/100)*(C6/100)</f>
        <v>8</v>
      </c>
      <c r="J3" s="30">
        <f>(B7/100)*(C7/100)</f>
        <v>2.25</v>
      </c>
      <c r="K3">
        <f>(CEILING(C7/50,1)+1)*ROUNDUP(B7/600,0)</f>
        <v>4</v>
      </c>
      <c r="L3">
        <f>K3*IF(B4="แปคู่",ราคาวัสดุ!D6,ราคาวัสดุ!D5)</f>
        <v>3080</v>
      </c>
    </row>
    <row r="4" spans="1:12" x14ac:dyDescent="0.35">
      <c r="A4" s="30" t="s">
        <v>2000</v>
      </c>
      <c r="B4" s="232" t="str">
        <f>'คิดทุน หลังคา (รวม)'!B5</f>
        <v>แปเดี่ยว</v>
      </c>
      <c r="K4">
        <f>ROUNDUP(B7/600,0)</f>
        <v>1</v>
      </c>
      <c r="L4">
        <f>K4*ราคาวัสดุ!D7</f>
        <v>140</v>
      </c>
    </row>
    <row r="5" spans="1:12" x14ac:dyDescent="0.35">
      <c r="A5" s="30" t="s">
        <v>1911</v>
      </c>
      <c r="B5" s="232" t="str">
        <f>'คิดทุน หลังคา (รวม)'!B14</f>
        <v>ยก 80 กก.</v>
      </c>
      <c r="K5">
        <f>ROUNDUP(B7/600,0)</f>
        <v>1</v>
      </c>
      <c r="L5">
        <f>K5*ราคาวัสดุ!D8</f>
        <v>140</v>
      </c>
    </row>
    <row r="6" spans="1:12" x14ac:dyDescent="0.35">
      <c r="A6" s="30" t="s">
        <v>2420</v>
      </c>
      <c r="B6" s="232">
        <f>'คิดทุน หลังคา (รวม)'!B9</f>
        <v>400</v>
      </c>
      <c r="C6" s="232">
        <f>'คิดทุน หลังคา (รวม)'!B10</f>
        <v>200</v>
      </c>
      <c r="H6" s="30">
        <f>IF(C6&lt;=300,3,IF(C6&lt;=400,4,IF(C6&lt;=500,5,6)))</f>
        <v>3</v>
      </c>
      <c r="J6" s="30">
        <f>IF(C7&lt;=300,3,IF(C7&lt;=400,4,IF(C7&lt;=500,5,6)))</f>
        <v>3</v>
      </c>
      <c r="K6">
        <f>J2*ROUNDUP(C7/600,0)</f>
        <v>3</v>
      </c>
      <c r="L6">
        <f>K6*ราคาวัสดุ!D9</f>
        <v>330</v>
      </c>
    </row>
    <row r="7" spans="1:12" x14ac:dyDescent="0.35">
      <c r="A7" s="30" t="s">
        <v>2421</v>
      </c>
      <c r="B7" s="232">
        <f>'คิดทุน หลังคา (รวม)'!B11</f>
        <v>150</v>
      </c>
      <c r="C7" s="232">
        <f>'คิดทุน หลังคา (รวม)'!B12</f>
        <v>150</v>
      </c>
      <c r="H7" s="30">
        <f>IF(B2="ไวนิล",CEILING(B6/25,1)*ราคาวัสดุ!D14,IF(B2="ดีไลท์",CEILING(B6/100,1)*ราคาวัสดุ!D16,IF(B2="โพลีตัน",CEILING(B6/122,1)*ROUNDUP(C6/100,0)*ราคาวัสดุ!D17,IF(B2="ชินโคร์ HC",CEILING(B6/138,1)*(1.38*H6)*ราคาวัสดุ!D19,IF(B2="ชินโคร์ Sup",CEILING(B6/138,1)*(1.38*H6)*ราคาวัสดุ!D20,IF(B2="เมทัลชีท",CEILING(B6/34,1)*(0.34*C6/100)*ราคาวัสดุ!D21,IF(B2="กระจก 4+4",H3*ราคาวัสดุ!D22,IF(B2="กระจก 5+5",H3*ราคาวัสดุ!D23,0))))))))</f>
        <v>24640</v>
      </c>
      <c r="J7" s="30">
        <f>IF(B2="ไวนิล",CEILING(B7/25,1)*ราคาวัสดุ!D14,IF(B2="ดีไลท์",CEILING(B7/100,1)*ราคาวัสดุ!D16,IF(B2="โพลีตัน",CEILING(B7/122,1)*ROUNDUP(C7/100,0)*ราคาวัสดุ!D17,IF(B2="ชินโคร์ HC",CEILING(B7/138,1)*(1.38*J6)*ราคาวัสดุ!D19,IF(B2="ชินโคร์ Sup",CEILING(B7/138,1)*(1.38*J6)*ราคาวัสดุ!D20,IF(B2="เมทัลชีท",CEILING(B7/34,1)*(0.34*C7/100)*ราคาวัสดุ!D21,IF(B2="กระจก 4+4",J3*ราคาวัสดุ!D22,IF(B2="กระจก 5+5",J3*ราคาวัสดุ!D23,0))))))))</f>
        <v>9240</v>
      </c>
      <c r="K7">
        <f>2*J2</f>
        <v>6</v>
      </c>
      <c r="L7">
        <f>K7*ราคาวัสดุ!D10</f>
        <v>90</v>
      </c>
    </row>
    <row r="8" spans="1:12" x14ac:dyDescent="0.35">
      <c r="A8" s="238" t="s">
        <v>2002</v>
      </c>
      <c r="B8" s="241" t="str">
        <f>'คิดทุน หลังคา (รวม)'!B6</f>
        <v>ยื่นปลาย</v>
      </c>
      <c r="H8" s="30">
        <f>IF(B2="ไวนิล",CEILING(B6/25,1)*ราคาวัสดุ!D15,IF(B2="โพลีตัน",H2*ราคาวัสดุ!D18,0))</f>
        <v>3920</v>
      </c>
      <c r="J8" s="30">
        <f>IF(B2="ไวนิล",CEILING(B7/25,1)*ราคาวัสดุ!D15,IF(B2="โพลีตัน",J2*ราคาวัสดุ!D18,0))</f>
        <v>1470</v>
      </c>
      <c r="K8" s="30">
        <f>IF(B2="ไวนิล",CEILING(B7/25,1),IF(B2="ดีไลท์",CEILING(B7/100,1),IF(B2="โพลีตัน",CEILING(B7/122,1)&amp;"×"&amp;ROUNDUP(C7/100,0),IF(OR(B2="ชินโคร์ HC",B2="ชินโคร์ Sup",B2="กระจก 4+4",B2="กระจก 5+5"),ROUND(B7*C7/10000,1)&amp;" ตร.ม.",CEILING(B7/34,1)))))</f>
        <v>6</v>
      </c>
      <c r="L8">
        <f>J7</f>
        <v>9240</v>
      </c>
    </row>
    <row r="9" spans="1:12" x14ac:dyDescent="0.35">
      <c r="A9" s="233" t="s">
        <v>1633</v>
      </c>
      <c r="B9" s="233"/>
      <c r="C9" s="233"/>
      <c r="D9" s="233" t="s">
        <v>1377</v>
      </c>
      <c r="H9" s="30">
        <f>MAX(0,VLOOKUP("หลังคา",ค่าแรง!$A$12:$E$27,2,0)+VLOOKUP("หลังคา",ค่าแรง!$A$12:$E$27,3,0)*H3)</f>
        <v>651.20000000000005</v>
      </c>
      <c r="J9" s="30">
        <f>MAX(0,VLOOKUP("หลังคา",ค่าแรง!$A$12:$E$27,2,0)+VLOOKUP("หลังคา",ค่าแรง!$A$12:$E$27,3,0)*J3)</f>
        <v>562.65</v>
      </c>
      <c r="L9">
        <f>J8</f>
        <v>1470</v>
      </c>
    </row>
    <row r="10" spans="1:12" x14ac:dyDescent="0.35">
      <c r="A10" s="30" t="s">
        <v>2422</v>
      </c>
      <c r="D10" s="30">
        <f>H11</f>
        <v>39490</v>
      </c>
      <c r="H10" s="30">
        <f>MAX(0,VLOOKUP("หลังคา",ค่าแรง!$A$12:$E$27,4,0)+VLOOKUP("หลังคา",ค่าแรง!$A$12:$E$27,5,0)*H3)</f>
        <v>651.20000000000005</v>
      </c>
      <c r="J10" s="30">
        <f>MAX(0,VLOOKUP("หลังคา",ค่าแรง!$A$12:$E$27,4,0)+VLOOKUP("หลังคา",ค่าแรง!$A$12:$E$27,5,0)*J3)</f>
        <v>562.65</v>
      </c>
    </row>
    <row r="11" spans="1:12" x14ac:dyDescent="0.35">
      <c r="A11" s="30" t="s">
        <v>2423</v>
      </c>
      <c r="D11" s="30">
        <f>J11*E3</f>
        <v>36300</v>
      </c>
      <c r="H11" s="30">
        <f>H2*ROUNDUP(C6/600,0)*ราคาวัสดุ!D4+(CEILING(C6/50,1)+1)*ROUNDUP(B6/600,0)*IF(B4="แปคู่",ราคาวัสดุ!D6,ราคาวัสดุ!D5)+ROUNDUP(B6/600,0)*ราคาวัสดุ!D7+ROUNDUP(B6/600,0)*ราคาวัสดุ!D8+H2*ROUNDUP(C6/600,0)*ราคาวัสดุ!D9+2*H2*ราคาวัสดุ!D10+H7+H8</f>
        <v>39490</v>
      </c>
      <c r="J11" s="30">
        <f>J2*ROUNDUP(C7/600,0)*ราคาวัสดุ!D4+(CEILING(C7/50,1)+1)*ROUNDUP(B7/600,0)*IF(B4="แปคู่",ราคาวัสดุ!D6,ราคาวัสดุ!D5)+ROUNDUP(B7/600,0)*ราคาวัสดุ!D7+ROUNDUP(B7/600,0)*ราคาวัสดุ!D8+J2*ROUNDUP(C7/600,0)*ราคาวัสดุ!D9+2*J2*ราคาวัสดุ!D10+J7+J8</f>
        <v>18150</v>
      </c>
    </row>
    <row r="12" spans="1:12" x14ac:dyDescent="0.35">
      <c r="A12" s="30" t="s">
        <v>2424</v>
      </c>
      <c r="D12" s="30">
        <f>ROUNDUP(IF(B3="เลื่อนยื่น",C7,B7)/600,0)*2*4080</f>
        <v>8160</v>
      </c>
    </row>
    <row r="13" spans="1:12" x14ac:dyDescent="0.35">
      <c r="A13" s="30" t="s">
        <v>1933</v>
      </c>
      <c r="D13" s="30">
        <f>IFERROR(INDEX(ราคาออโต้!$C:$C,MATCH(B5,ราคาออโต้!$B:$B,0)),0)</f>
        <v>4500</v>
      </c>
    </row>
    <row r="14" spans="1:12" x14ac:dyDescent="0.35">
      <c r="A14" s="30" t="s">
        <v>2425</v>
      </c>
      <c r="D14" s="234">
        <f>ROUND(VLOOKUP("หลังคาเลื่อน",ค่าแรง!$A$12:$E$27,3,0)*(H3+J3*E3),0)</f>
        <v>193</v>
      </c>
    </row>
    <row r="15" spans="1:12" x14ac:dyDescent="0.35">
      <c r="A15" s="30" t="s">
        <v>2426</v>
      </c>
      <c r="D15" s="234">
        <f>ROUND(VLOOKUP("หลังคาเลื่อน",ค่าแรง!$A$12:$E$27,5,0)*(H3+J3*E3),0)</f>
        <v>193</v>
      </c>
    </row>
    <row r="16" spans="1:12" x14ac:dyDescent="0.35">
      <c r="A16" s="30" t="s">
        <v>1268</v>
      </c>
      <c r="D16" s="234">
        <f>SUM(D10:D15)+D18</f>
        <v>88836</v>
      </c>
    </row>
    <row r="17" spans="1:4" x14ac:dyDescent="0.35">
      <c r="A17" s="30" t="s">
        <v>1993</v>
      </c>
      <c r="D17" s="235">
        <f>ROUNDUP(D16*2/100,0)*100</f>
        <v>177700</v>
      </c>
    </row>
    <row r="18" spans="1:4" x14ac:dyDescent="0.35">
      <c r="A18" t="s">
        <v>2391</v>
      </c>
      <c r="D18">
        <f>IF(B8="ปิดปลาย",ROUND(201*mult_mtong*1*B6/100,0),IF(B8="รางน้ำอลู",ROUNDUP(B6/600,0)*1*ROUND(2273*mult_mtong,0),IF(B8="รางน้ำสแตน M",ROUND(990*1*B6/100,0),IF(B8="รางน้ำสแตน L",ROUND(1035*1*B6/100,0),0))))</f>
        <v>0</v>
      </c>
    </row>
  </sheetData>
  <dataValidations count="5">
    <dataValidation type="list" allowBlank="1" sqref="B2" xr:uid="{00000000-0002-0000-3B00-000000000000}">
      <formula1>"ไวนิล,ดีไลท์,โพลีตัน,ชินโคร์ HC,ชินโคร์ Sup,เมทัลชีท,กระจก 4+4,กระจก 5+5"</formula1>
    </dataValidation>
    <dataValidation type="list" allowBlank="1" sqref="B4" xr:uid="{00000000-0002-0000-3B00-000001000000}">
      <formula1>"แปเดี่ยว,แปคู่"</formula1>
    </dataValidation>
    <dataValidation type="list" allowBlank="1" sqref="B5" xr:uid="{00000000-0002-0000-3B00-000002000000}">
      <formula1>"ยก 80 กก.,ยก 300 กก."</formula1>
    </dataValidation>
    <dataValidation type="list" sqref="B8" xr:uid="{00000000-0002-0000-3B00-000003000000}">
      <formula1>"ยื่นปลาย,ปิดปลาย,รางน้ำอลู,รางน้ำสแตน M,รางน้ำสแตน L"</formula1>
    </dataValidation>
    <dataValidation type="list" allowBlank="1" sqref="B3" xr:uid="{00000000-0002-0000-3B00-000004000000}">
      <formula1>"เลื่อนยื่น,เลื่อนข้าง,เลื่อนเปิดกลาง"</formula1>
    </dataValidation>
  </dataValidations>
  <hyperlinks>
    <hyperlink ref="G1" location="'สารบัญ'!A1" display="🏠 สารบัญ" xr:uid="{00000000-0004-0000-3B00-000000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A6A6A6"/>
  </sheetPr>
  <dimension ref="A1:AF201"/>
  <sheetViews>
    <sheetView workbookViewId="0"/>
  </sheetViews>
  <sheetFormatPr defaultColWidth="8.6328125" defaultRowHeight="14.5" x14ac:dyDescent="0.35"/>
  <cols>
    <col min="1" max="1" width="46" customWidth="1"/>
    <col min="2" max="2" width="17.453125" customWidth="1"/>
    <col min="3" max="3" width="15.26953125" customWidth="1"/>
    <col min="4" max="4" width="20.7265625" customWidth="1"/>
    <col min="5" max="5" width="17.453125" customWidth="1"/>
    <col min="7" max="7" width="19.453125" customWidth="1"/>
    <col min="8" max="8" width="13" customWidth="1"/>
    <col min="10" max="10" width="25.453125" customWidth="1"/>
    <col min="11" max="11" width="9" customWidth="1"/>
    <col min="12" max="15" width="13" customWidth="1"/>
    <col min="16" max="17" width="17.453125" customWidth="1"/>
    <col min="18" max="20" width="13" customWidth="1"/>
    <col min="22" max="22" width="9" customWidth="1"/>
    <col min="28" max="28" width="19.453125" hidden="1" customWidth="1"/>
    <col min="29" max="30" width="13" hidden="1" customWidth="1"/>
    <col min="32" max="32" width="13" hidden="1" customWidth="1"/>
  </cols>
  <sheetData>
    <row r="1" spans="1:32" ht="24" customHeight="1" x14ac:dyDescent="0.35">
      <c r="A1" s="437" t="s">
        <v>1853</v>
      </c>
      <c r="B1" s="411"/>
      <c r="C1" s="411"/>
      <c r="D1" s="411"/>
      <c r="E1" s="411"/>
      <c r="F1" s="411"/>
      <c r="G1" s="388" t="s">
        <v>78</v>
      </c>
      <c r="H1" s="389"/>
      <c r="I1" s="319"/>
      <c r="J1" s="91" t="s">
        <v>1854</v>
      </c>
      <c r="M1" s="11" t="s">
        <v>1855</v>
      </c>
      <c r="AF1" t="str">
        <f>IFERROR(VLOOKUP(B2,$AB$2:$AD$8,2,0),"")</f>
        <v>1.6"</v>
      </c>
    </row>
    <row r="2" spans="1:32" ht="15" customHeight="1" x14ac:dyDescent="0.35">
      <c r="A2" s="91" t="s">
        <v>1856</v>
      </c>
      <c r="B2" s="92" t="str">
        <f>'คิดทุน ประตูรั้ว'!B2</f>
        <v>กล่อง 1.6"×4"</v>
      </c>
      <c r="D2" s="93" t="s">
        <v>1857</v>
      </c>
      <c r="E2" s="94">
        <f>(B9/100)*(H4/100)</f>
        <v>7</v>
      </c>
      <c r="G2" s="93" t="s">
        <v>1805</v>
      </c>
      <c r="H2" s="95">
        <f>LOOKUP(B10,$V$2:$V$10)</f>
        <v>150</v>
      </c>
      <c r="J2" s="93" t="s">
        <v>1754</v>
      </c>
      <c r="K2" s="95">
        <v>500</v>
      </c>
      <c r="M2" s="12">
        <v>1</v>
      </c>
      <c r="N2" s="12" t="str">
        <f t="shared" ref="N2:N33" si="0">IF(MOD(M2-1,$B$4+$B$7)&lt;$B$4,"A","B")</f>
        <v>A</v>
      </c>
      <c r="O2" s="14">
        <f t="shared" ref="O2:O33" si="1">IF(N2="A",$E$3,$E$4)</f>
        <v>4.0599999999999996</v>
      </c>
      <c r="P2" s="15">
        <f>O2</f>
        <v>4.0599999999999996</v>
      </c>
      <c r="Q2" s="15">
        <f t="shared" ref="Q2:Q33" si="2">P2+(M2-1)*$B$8</f>
        <v>4.0599999999999996</v>
      </c>
      <c r="R2" s="12">
        <f t="shared" ref="R2:R33" si="3">IF(AND(Q2&lt;=$B$9,N2="A"),1,0)</f>
        <v>1</v>
      </c>
      <c r="S2" s="12">
        <f t="shared" ref="S2:S33" si="4">IF(AND(Q2&lt;=$B$9,N2="B"),1,0)</f>
        <v>0</v>
      </c>
      <c r="T2" s="12">
        <f t="shared" ref="T2:T33" si="5">IF(Q2&lt;=$B$9,1,0)</f>
        <v>1</v>
      </c>
      <c r="V2" s="12">
        <v>50</v>
      </c>
      <c r="AB2" t="s">
        <v>1754</v>
      </c>
      <c r="AC2" t="s">
        <v>1756</v>
      </c>
      <c r="AD2" t="s">
        <v>1757</v>
      </c>
      <c r="AF2" t="str">
        <f>IFERROR(VLOOKUP(B2,$AB$2:$AD$8,3,0),"")</f>
        <v>4"</v>
      </c>
    </row>
    <row r="3" spans="1:32" ht="15" customHeight="1" x14ac:dyDescent="0.35">
      <c r="A3" s="91" t="s">
        <v>1858</v>
      </c>
      <c r="B3" s="92" t="str">
        <f>'คิดทุน ประตูรั้ว'!B3</f>
        <v>1.6"</v>
      </c>
      <c r="D3" s="93" t="s">
        <v>1859</v>
      </c>
      <c r="E3" s="94">
        <f>VLOOKUP(B3,$J$18:$K$23,2,0)</f>
        <v>4.0599999999999996</v>
      </c>
      <c r="G3" s="93" t="s">
        <v>1809</v>
      </c>
      <c r="H3" s="95">
        <f>IFERROR(INDEX($V$2:$V$10,MATCH(B10,$V$2:$V$10,1)+1),99999)</f>
        <v>200</v>
      </c>
      <c r="J3" s="93" t="s">
        <v>1762</v>
      </c>
      <c r="K3" s="95">
        <v>310</v>
      </c>
      <c r="M3" s="12">
        <v>2</v>
      </c>
      <c r="N3" s="12" t="str">
        <f t="shared" si="0"/>
        <v>A</v>
      </c>
      <c r="O3" s="14">
        <f t="shared" si="1"/>
        <v>4.0599999999999996</v>
      </c>
      <c r="P3" s="15">
        <f t="shared" ref="P3:P34" si="6">P2+O3</f>
        <v>8.1199999999999992</v>
      </c>
      <c r="Q3" s="15">
        <f t="shared" si="2"/>
        <v>10.62</v>
      </c>
      <c r="R3" s="12">
        <f t="shared" si="3"/>
        <v>1</v>
      </c>
      <c r="S3" s="12">
        <f t="shared" si="4"/>
        <v>0</v>
      </c>
      <c r="T3" s="12">
        <f t="shared" si="5"/>
        <v>1</v>
      </c>
      <c r="V3" s="12">
        <v>60</v>
      </c>
      <c r="AB3" t="s">
        <v>1762</v>
      </c>
      <c r="AC3" t="s">
        <v>1764</v>
      </c>
      <c r="AD3" t="s">
        <v>1764</v>
      </c>
      <c r="AF3" t="str">
        <f>IFERROR(VLOOKUP(B5,$AB$2:$AD$8,2,0),"")</f>
        <v>1"</v>
      </c>
    </row>
    <row r="4" spans="1:32" ht="15" customHeight="1" x14ac:dyDescent="0.35">
      <c r="A4" s="91" t="s">
        <v>1860</v>
      </c>
      <c r="B4" s="96">
        <f>'คิดทุน ประตูรั้ว'!F5</f>
        <v>3</v>
      </c>
      <c r="D4" s="93" t="s">
        <v>1861</v>
      </c>
      <c r="E4" s="94">
        <f>VLOOKUP(B6,$J$18:$K$23,2,0)</f>
        <v>4.0599999999999996</v>
      </c>
      <c r="G4" s="93" t="s">
        <v>1816</v>
      </c>
      <c r="H4" s="95">
        <f>IF(B10-H2&lt;=20,H2,IF(H3-B10&lt;=20,H3,B10))</f>
        <v>200</v>
      </c>
      <c r="J4" s="93" t="s">
        <v>1768</v>
      </c>
      <c r="K4" s="95">
        <v>395</v>
      </c>
      <c r="M4" s="12">
        <v>3</v>
      </c>
      <c r="N4" s="12" t="str">
        <f t="shared" si="0"/>
        <v>A</v>
      </c>
      <c r="O4" s="14">
        <f t="shared" si="1"/>
        <v>4.0599999999999996</v>
      </c>
      <c r="P4" s="15">
        <f t="shared" si="6"/>
        <v>12.18</v>
      </c>
      <c r="Q4" s="15">
        <f t="shared" si="2"/>
        <v>17.18</v>
      </c>
      <c r="R4" s="12">
        <f t="shared" si="3"/>
        <v>1</v>
      </c>
      <c r="S4" s="12">
        <f t="shared" si="4"/>
        <v>0</v>
      </c>
      <c r="T4" s="12">
        <f t="shared" si="5"/>
        <v>1</v>
      </c>
      <c r="V4" s="12">
        <v>75</v>
      </c>
      <c r="AB4" t="s">
        <v>1768</v>
      </c>
      <c r="AC4" t="s">
        <v>1764</v>
      </c>
      <c r="AD4" t="s">
        <v>1770</v>
      </c>
      <c r="AF4" t="str">
        <f>IFERROR(VLOOKUP(B5,$AB$2:$AD$8,3,0),"")</f>
        <v>1.6"</v>
      </c>
    </row>
    <row r="5" spans="1:32" ht="15" customHeight="1" x14ac:dyDescent="0.35">
      <c r="A5" s="91" t="s">
        <v>1862</v>
      </c>
      <c r="B5" s="92" t="str">
        <f>'คิดทุน ประตูรั้ว'!F6</f>
        <v>กล่อง 1"×1.6"</v>
      </c>
      <c r="D5" s="93" t="s">
        <v>1790</v>
      </c>
      <c r="E5" s="97">
        <f>VLOOKUP(B11,$J$11:$L$15,2,0)</f>
        <v>1</v>
      </c>
      <c r="G5" s="93" t="s">
        <v>1863</v>
      </c>
      <c r="H5" s="95">
        <f>LOOKUP(H4,$V$2:$V$10)</f>
        <v>200</v>
      </c>
      <c r="J5" s="93" t="s">
        <v>1775</v>
      </c>
      <c r="K5" s="95">
        <v>485</v>
      </c>
      <c r="M5" s="12">
        <v>4</v>
      </c>
      <c r="N5" s="12" t="str">
        <f t="shared" si="0"/>
        <v>B</v>
      </c>
      <c r="O5" s="14">
        <f t="shared" si="1"/>
        <v>4.0599999999999996</v>
      </c>
      <c r="P5" s="15">
        <f t="shared" si="6"/>
        <v>16.239999999999998</v>
      </c>
      <c r="Q5" s="15">
        <f t="shared" si="2"/>
        <v>23.74</v>
      </c>
      <c r="R5" s="12">
        <f t="shared" si="3"/>
        <v>0</v>
      </c>
      <c r="S5" s="12">
        <f t="shared" si="4"/>
        <v>1</v>
      </c>
      <c r="T5" s="12">
        <f t="shared" si="5"/>
        <v>1</v>
      </c>
      <c r="V5" s="12">
        <v>100</v>
      </c>
      <c r="AB5" t="s">
        <v>1775</v>
      </c>
      <c r="AC5" t="s">
        <v>1764</v>
      </c>
      <c r="AD5" t="s">
        <v>1759</v>
      </c>
    </row>
    <row r="6" spans="1:32" ht="15" customHeight="1" x14ac:dyDescent="0.35">
      <c r="A6" s="91" t="s">
        <v>1864</v>
      </c>
      <c r="B6" s="92" t="str">
        <f>'คิดทุน ประตูรั้ว'!F7</f>
        <v>1.6"</v>
      </c>
      <c r="D6" s="93" t="s">
        <v>1865</v>
      </c>
      <c r="E6" s="95">
        <f>ROUND(VLOOKUP(B2,$J$2:$K$8,2,0)*E5/5,0)*5</f>
        <v>1220</v>
      </c>
      <c r="G6" s="93" t="s">
        <v>1866</v>
      </c>
      <c r="H6" s="95">
        <f>H4-H5</f>
        <v>0</v>
      </c>
      <c r="J6" s="93" t="s">
        <v>1779</v>
      </c>
      <c r="K6" s="95">
        <v>905</v>
      </c>
      <c r="M6" s="12">
        <v>5</v>
      </c>
      <c r="N6" s="12" t="str">
        <f t="shared" si="0"/>
        <v>B</v>
      </c>
      <c r="O6" s="14">
        <f t="shared" si="1"/>
        <v>4.0599999999999996</v>
      </c>
      <c r="P6" s="15">
        <f t="shared" si="6"/>
        <v>20.299999999999997</v>
      </c>
      <c r="Q6" s="15">
        <f t="shared" si="2"/>
        <v>30.299999999999997</v>
      </c>
      <c r="R6" s="12">
        <f t="shared" si="3"/>
        <v>0</v>
      </c>
      <c r="S6" s="12">
        <f t="shared" si="4"/>
        <v>1</v>
      </c>
      <c r="T6" s="12">
        <f t="shared" si="5"/>
        <v>1</v>
      </c>
      <c r="V6" s="12">
        <v>120</v>
      </c>
      <c r="AB6" t="s">
        <v>1779</v>
      </c>
      <c r="AC6" t="s">
        <v>1764</v>
      </c>
      <c r="AD6" t="s">
        <v>1781</v>
      </c>
    </row>
    <row r="7" spans="1:32" ht="15" customHeight="1" x14ac:dyDescent="0.35">
      <c r="A7" s="91" t="s">
        <v>1867</v>
      </c>
      <c r="B7" s="96">
        <f>'คิดทุน ประตูรั้ว'!F8</f>
        <v>5</v>
      </c>
      <c r="D7" s="93" t="s">
        <v>1868</v>
      </c>
      <c r="E7" s="95">
        <f>ROUND(VLOOKUP(B5,$J$2:$K$8,2,0)*E5/5,0)*5</f>
        <v>485</v>
      </c>
      <c r="G7" s="93" t="s">
        <v>1869</v>
      </c>
      <c r="H7" s="95">
        <f>ROUNDUP(E9/MAX(INT(600/H4),1),0)</f>
        <v>7</v>
      </c>
      <c r="J7" s="93" t="s">
        <v>592</v>
      </c>
      <c r="K7" s="95">
        <v>770</v>
      </c>
      <c r="M7" s="12">
        <v>6</v>
      </c>
      <c r="N7" s="12" t="str">
        <f t="shared" si="0"/>
        <v>B</v>
      </c>
      <c r="O7" s="14">
        <f t="shared" si="1"/>
        <v>4.0599999999999996</v>
      </c>
      <c r="P7" s="15">
        <f t="shared" si="6"/>
        <v>24.359999999999996</v>
      </c>
      <c r="Q7" s="15">
        <f t="shared" si="2"/>
        <v>36.86</v>
      </c>
      <c r="R7" s="12">
        <f t="shared" si="3"/>
        <v>0</v>
      </c>
      <c r="S7" s="12">
        <f t="shared" si="4"/>
        <v>1</v>
      </c>
      <c r="T7" s="12">
        <f t="shared" si="5"/>
        <v>1</v>
      </c>
      <c r="V7" s="12">
        <v>150</v>
      </c>
      <c r="AB7" t="s">
        <v>592</v>
      </c>
      <c r="AC7" t="s">
        <v>1759</v>
      </c>
      <c r="AD7" t="s">
        <v>1759</v>
      </c>
    </row>
    <row r="8" spans="1:32" ht="15" customHeight="1" x14ac:dyDescent="0.35">
      <c r="A8" s="91" t="s">
        <v>1870</v>
      </c>
      <c r="B8" s="115">
        <f>'คิดทุน ประตูรั้ว'!F9</f>
        <v>2.5</v>
      </c>
      <c r="D8" s="93" t="s">
        <v>1871</v>
      </c>
      <c r="E8" s="95">
        <f>SUM(T2:T201)</f>
        <v>53</v>
      </c>
      <c r="G8" s="93" t="s">
        <v>1872</v>
      </c>
      <c r="H8" s="95">
        <f>ROUNDUP(E9/(600/H5),0)+IF(H6&gt;0,ROUNDUP(E9/INT(600/H6),0),0)</f>
        <v>7</v>
      </c>
      <c r="J8" s="93" t="s">
        <v>590</v>
      </c>
      <c r="K8" s="95">
        <v>1220</v>
      </c>
      <c r="M8" s="12">
        <v>7</v>
      </c>
      <c r="N8" s="12" t="str">
        <f t="shared" si="0"/>
        <v>B</v>
      </c>
      <c r="O8" s="14">
        <f t="shared" si="1"/>
        <v>4.0599999999999996</v>
      </c>
      <c r="P8" s="15">
        <f t="shared" si="6"/>
        <v>28.419999999999995</v>
      </c>
      <c r="Q8" s="15">
        <f t="shared" si="2"/>
        <v>43.419999999999995</v>
      </c>
      <c r="R8" s="12">
        <f t="shared" si="3"/>
        <v>0</v>
      </c>
      <c r="S8" s="12">
        <f t="shared" si="4"/>
        <v>1</v>
      </c>
      <c r="T8" s="12">
        <f t="shared" si="5"/>
        <v>1</v>
      </c>
      <c r="V8" s="12">
        <v>200</v>
      </c>
      <c r="AB8" t="s">
        <v>590</v>
      </c>
      <c r="AC8" t="s">
        <v>1759</v>
      </c>
      <c r="AD8" t="s">
        <v>1781</v>
      </c>
    </row>
    <row r="9" spans="1:32" ht="15" customHeight="1" x14ac:dyDescent="0.35">
      <c r="A9" s="91" t="s">
        <v>1873</v>
      </c>
      <c r="B9" s="96">
        <f>'คิดทุน ประตูรั้ว'!B7</f>
        <v>350</v>
      </c>
      <c r="D9" s="93" t="s">
        <v>1874</v>
      </c>
      <c r="E9" s="95">
        <f>SUM(R2:R201)</f>
        <v>21</v>
      </c>
      <c r="G9" s="93" t="s">
        <v>1875</v>
      </c>
      <c r="H9" s="95">
        <f>ROUNDUP(E10/MAX(INT(600/H4),1),0)</f>
        <v>11</v>
      </c>
      <c r="M9" s="12">
        <v>8</v>
      </c>
      <c r="N9" s="12" t="str">
        <f t="shared" si="0"/>
        <v>B</v>
      </c>
      <c r="O9" s="14">
        <f t="shared" si="1"/>
        <v>4.0599999999999996</v>
      </c>
      <c r="P9" s="15">
        <f t="shared" si="6"/>
        <v>32.479999999999997</v>
      </c>
      <c r="Q9" s="15">
        <f t="shared" si="2"/>
        <v>49.98</v>
      </c>
      <c r="R9" s="12">
        <f t="shared" si="3"/>
        <v>0</v>
      </c>
      <c r="S9" s="12">
        <f t="shared" si="4"/>
        <v>1</v>
      </c>
      <c r="T9" s="12">
        <f t="shared" si="5"/>
        <v>1</v>
      </c>
      <c r="V9" s="12">
        <v>300</v>
      </c>
    </row>
    <row r="10" spans="1:32" ht="15" customHeight="1" x14ac:dyDescent="0.35">
      <c r="A10" s="91" t="s">
        <v>1876</v>
      </c>
      <c r="B10" s="96">
        <f>'คิดทุน ประตูรั้ว'!B8</f>
        <v>180</v>
      </c>
      <c r="D10" s="93" t="s">
        <v>1877</v>
      </c>
      <c r="E10" s="95">
        <f>SUM(S2:S201)</f>
        <v>32</v>
      </c>
      <c r="G10" s="93" t="s">
        <v>1878</v>
      </c>
      <c r="H10" s="95">
        <f>ROUNDUP(E10/(600/H5),0)+IF(H6&gt;0,ROUNDUP(E10/INT(600/H6),0),0)</f>
        <v>11</v>
      </c>
      <c r="M10" s="12">
        <v>9</v>
      </c>
      <c r="N10" s="12" t="str">
        <f t="shared" si="0"/>
        <v>A</v>
      </c>
      <c r="O10" s="14">
        <f t="shared" si="1"/>
        <v>4.0599999999999996</v>
      </c>
      <c r="P10" s="15">
        <f t="shared" si="6"/>
        <v>36.54</v>
      </c>
      <c r="Q10" s="15">
        <f t="shared" si="2"/>
        <v>56.54</v>
      </c>
      <c r="R10" s="12">
        <f t="shared" si="3"/>
        <v>1</v>
      </c>
      <c r="S10" s="12">
        <f t="shared" si="4"/>
        <v>0</v>
      </c>
      <c r="T10" s="12">
        <f t="shared" si="5"/>
        <v>1</v>
      </c>
      <c r="V10" s="12">
        <v>600</v>
      </c>
    </row>
    <row r="11" spans="1:32" ht="15" customHeight="1" x14ac:dyDescent="0.35">
      <c r="A11" s="91" t="s">
        <v>1253</v>
      </c>
      <c r="B11" s="92" t="str">
        <f>'คิดทุน ประตูรั้ว'!B5</f>
        <v>ขาว/ดำ</v>
      </c>
      <c r="D11" s="93" t="s">
        <v>1879</v>
      </c>
      <c r="E11" s="116">
        <f>SUMPRODUCT($T$2:$T$201,$O$2:$O$201)</f>
        <v>215.18000000000009</v>
      </c>
      <c r="G11" s="93" t="s">
        <v>1880</v>
      </c>
      <c r="H11" s="95">
        <f>IF(AND(B15="ต่อ",H6&gt;0),(E9+E10)*80,0)</f>
        <v>0</v>
      </c>
      <c r="J11" s="93" t="s">
        <v>112</v>
      </c>
      <c r="K11" s="97">
        <v>1</v>
      </c>
      <c r="L11" s="95">
        <v>0</v>
      </c>
      <c r="M11" s="12">
        <v>10</v>
      </c>
      <c r="N11" s="12" t="str">
        <f t="shared" si="0"/>
        <v>A</v>
      </c>
      <c r="O11" s="14">
        <f t="shared" si="1"/>
        <v>4.0599999999999996</v>
      </c>
      <c r="P11" s="15">
        <f t="shared" si="6"/>
        <v>40.6</v>
      </c>
      <c r="Q11" s="15">
        <f t="shared" si="2"/>
        <v>63.1</v>
      </c>
      <c r="R11" s="12">
        <f t="shared" si="3"/>
        <v>1</v>
      </c>
      <c r="S11" s="12">
        <f t="shared" si="4"/>
        <v>0</v>
      </c>
      <c r="T11" s="12">
        <f t="shared" si="5"/>
        <v>1</v>
      </c>
    </row>
    <row r="12" spans="1:32" ht="15" customHeight="1" x14ac:dyDescent="0.35">
      <c r="A12" s="91" t="s">
        <v>1771</v>
      </c>
      <c r="B12" s="92" t="s">
        <v>1772</v>
      </c>
      <c r="D12" s="93" t="s">
        <v>1881</v>
      </c>
      <c r="E12" s="94">
        <f>(B9-E11)/(E8-1)</f>
        <v>2.5926923076923059</v>
      </c>
      <c r="J12" s="93" t="s">
        <v>94</v>
      </c>
      <c r="K12" s="97">
        <v>1.5208299999999999</v>
      </c>
      <c r="L12" s="95">
        <v>0</v>
      </c>
      <c r="M12" s="12">
        <v>11</v>
      </c>
      <c r="N12" s="12" t="str">
        <f t="shared" si="0"/>
        <v>A</v>
      </c>
      <c r="O12" s="14">
        <f t="shared" si="1"/>
        <v>4.0599999999999996</v>
      </c>
      <c r="P12" s="15">
        <f t="shared" si="6"/>
        <v>44.660000000000004</v>
      </c>
      <c r="Q12" s="15">
        <f t="shared" si="2"/>
        <v>69.66</v>
      </c>
      <c r="R12" s="12">
        <f t="shared" si="3"/>
        <v>1</v>
      </c>
      <c r="S12" s="12">
        <f t="shared" si="4"/>
        <v>0</v>
      </c>
      <c r="T12" s="12">
        <f t="shared" si="5"/>
        <v>1</v>
      </c>
    </row>
    <row r="13" spans="1:32" ht="15" customHeight="1" x14ac:dyDescent="0.35">
      <c r="A13" s="91" t="s">
        <v>1792</v>
      </c>
      <c r="B13" s="96">
        <v>300</v>
      </c>
      <c r="D13" s="93" t="s">
        <v>1882</v>
      </c>
      <c r="E13" s="95">
        <f>IF(B15="ต่อ",H8,H7)</f>
        <v>7</v>
      </c>
      <c r="J13" s="93" t="s">
        <v>1806</v>
      </c>
      <c r="K13" s="97">
        <v>1.5860000000000001</v>
      </c>
      <c r="L13" s="95">
        <v>0</v>
      </c>
      <c r="M13" s="12">
        <v>12</v>
      </c>
      <c r="N13" s="12" t="str">
        <f t="shared" si="0"/>
        <v>B</v>
      </c>
      <c r="O13" s="14">
        <f t="shared" si="1"/>
        <v>4.0599999999999996</v>
      </c>
      <c r="P13" s="15">
        <f t="shared" si="6"/>
        <v>48.720000000000006</v>
      </c>
      <c r="Q13" s="15">
        <f t="shared" si="2"/>
        <v>76.22</v>
      </c>
      <c r="R13" s="12">
        <f t="shared" si="3"/>
        <v>0</v>
      </c>
      <c r="S13" s="12">
        <f t="shared" si="4"/>
        <v>1</v>
      </c>
      <c r="T13" s="12">
        <f t="shared" si="5"/>
        <v>1</v>
      </c>
    </row>
    <row r="14" spans="1:32" ht="15" customHeight="1" x14ac:dyDescent="0.35">
      <c r="A14" s="25" t="s">
        <v>1801</v>
      </c>
      <c r="B14" s="96">
        <v>600</v>
      </c>
      <c r="D14" s="93" t="s">
        <v>1883</v>
      </c>
      <c r="E14" s="95">
        <f>IF(B15="ต่อ",H10,H9)</f>
        <v>11</v>
      </c>
      <c r="J14" s="93" t="s">
        <v>96</v>
      </c>
      <c r="K14" s="97">
        <v>1.9010400000000001</v>
      </c>
      <c r="L14" s="95">
        <v>2000</v>
      </c>
      <c r="M14" s="12">
        <v>13</v>
      </c>
      <c r="N14" s="12" t="str">
        <f t="shared" si="0"/>
        <v>B</v>
      </c>
      <c r="O14" s="14">
        <f t="shared" si="1"/>
        <v>4.0599999999999996</v>
      </c>
      <c r="P14" s="15">
        <f t="shared" si="6"/>
        <v>52.780000000000008</v>
      </c>
      <c r="Q14" s="15">
        <f t="shared" si="2"/>
        <v>82.78</v>
      </c>
      <c r="R14" s="12">
        <f t="shared" si="3"/>
        <v>0</v>
      </c>
      <c r="S14" s="12">
        <f t="shared" si="4"/>
        <v>1</v>
      </c>
      <c r="T14" s="12">
        <f t="shared" si="5"/>
        <v>1</v>
      </c>
    </row>
    <row r="15" spans="1:32" ht="15" customHeight="1" x14ac:dyDescent="0.35">
      <c r="A15" s="91" t="s">
        <v>1796</v>
      </c>
      <c r="B15" s="92" t="str">
        <f>'คิดทุน ประตูรั้ว'!B17</f>
        <v>ไม่ต่อ</v>
      </c>
      <c r="D15" s="93" t="s">
        <v>1884</v>
      </c>
      <c r="E15" s="95">
        <f>VLOOKUP(B11,$J$11:$L$15,3,0)</f>
        <v>0</v>
      </c>
      <c r="J15" s="93" t="s">
        <v>98</v>
      </c>
      <c r="K15" s="97">
        <v>1.9895799999999999</v>
      </c>
      <c r="L15" s="95">
        <v>2000</v>
      </c>
      <c r="M15" s="12">
        <v>14</v>
      </c>
      <c r="N15" s="12" t="str">
        <f t="shared" si="0"/>
        <v>B</v>
      </c>
      <c r="O15" s="14">
        <f t="shared" si="1"/>
        <v>4.0599999999999996</v>
      </c>
      <c r="P15" s="15">
        <f t="shared" si="6"/>
        <v>56.840000000000011</v>
      </c>
      <c r="Q15" s="15">
        <f t="shared" si="2"/>
        <v>89.34</v>
      </c>
      <c r="R15" s="12">
        <f t="shared" si="3"/>
        <v>0</v>
      </c>
      <c r="S15" s="12">
        <f t="shared" si="4"/>
        <v>1</v>
      </c>
      <c r="T15" s="12">
        <f t="shared" si="5"/>
        <v>1</v>
      </c>
    </row>
    <row r="16" spans="1:32" ht="15" customHeight="1" x14ac:dyDescent="0.35">
      <c r="D16" s="93" t="s">
        <v>1753</v>
      </c>
      <c r="E16" s="95">
        <f>IF(B12="รวม",ROUNDUP(IF(B10&lt;=250,2,3)/MAX(INT(600/B9),1),0),0)</f>
        <v>0</v>
      </c>
      <c r="M16" s="12">
        <v>15</v>
      </c>
      <c r="N16" s="12" t="str">
        <f t="shared" si="0"/>
        <v>B</v>
      </c>
      <c r="O16" s="14">
        <f t="shared" si="1"/>
        <v>4.0599999999999996</v>
      </c>
      <c r="P16" s="15">
        <f t="shared" si="6"/>
        <v>60.900000000000013</v>
      </c>
      <c r="Q16" s="15">
        <f t="shared" si="2"/>
        <v>95.9</v>
      </c>
      <c r="R16" s="12">
        <f t="shared" si="3"/>
        <v>0</v>
      </c>
      <c r="S16" s="12">
        <f t="shared" si="4"/>
        <v>1</v>
      </c>
      <c r="T16" s="12">
        <f t="shared" si="5"/>
        <v>1</v>
      </c>
    </row>
    <row r="17" spans="1:20" ht="15" customHeight="1" x14ac:dyDescent="0.35">
      <c r="D17" s="93" t="s">
        <v>1886</v>
      </c>
      <c r="E17" s="95">
        <f>ROUND(485*E5/5,0)*5</f>
        <v>485</v>
      </c>
      <c r="M17" s="12">
        <v>16</v>
      </c>
      <c r="N17" s="12" t="str">
        <f t="shared" si="0"/>
        <v>B</v>
      </c>
      <c r="O17" s="14">
        <f t="shared" si="1"/>
        <v>4.0599999999999996</v>
      </c>
      <c r="P17" s="15">
        <f t="shared" si="6"/>
        <v>64.960000000000008</v>
      </c>
      <c r="Q17" s="15">
        <f t="shared" si="2"/>
        <v>102.46000000000001</v>
      </c>
      <c r="R17" s="12">
        <f t="shared" si="3"/>
        <v>0</v>
      </c>
      <c r="S17" s="12">
        <f t="shared" si="4"/>
        <v>1</v>
      </c>
      <c r="T17" s="12">
        <f t="shared" si="5"/>
        <v>1</v>
      </c>
    </row>
    <row r="18" spans="1:20" ht="15" customHeight="1" x14ac:dyDescent="0.35">
      <c r="J18" s="93" t="s">
        <v>1756</v>
      </c>
      <c r="K18" s="117">
        <v>1</v>
      </c>
      <c r="M18" s="12">
        <v>17</v>
      </c>
      <c r="N18" s="12" t="str">
        <f t="shared" si="0"/>
        <v>A</v>
      </c>
      <c r="O18" s="14">
        <f t="shared" si="1"/>
        <v>4.0599999999999996</v>
      </c>
      <c r="P18" s="15">
        <f t="shared" si="6"/>
        <v>69.02000000000001</v>
      </c>
      <c r="Q18" s="15">
        <f t="shared" si="2"/>
        <v>109.02000000000001</v>
      </c>
      <c r="R18" s="12">
        <f t="shared" si="3"/>
        <v>1</v>
      </c>
      <c r="S18" s="12">
        <f t="shared" si="4"/>
        <v>0</v>
      </c>
      <c r="T18" s="12">
        <f t="shared" si="5"/>
        <v>1</v>
      </c>
    </row>
    <row r="19" spans="1:20" ht="15" customHeight="1" x14ac:dyDescent="0.35">
      <c r="J19" s="93" t="s">
        <v>1757</v>
      </c>
      <c r="K19" s="117">
        <v>5</v>
      </c>
      <c r="M19" s="12">
        <v>18</v>
      </c>
      <c r="N19" s="12" t="str">
        <f t="shared" si="0"/>
        <v>A</v>
      </c>
      <c r="O19" s="14">
        <f t="shared" si="1"/>
        <v>4.0599999999999996</v>
      </c>
      <c r="P19" s="15">
        <f t="shared" si="6"/>
        <v>73.080000000000013</v>
      </c>
      <c r="Q19" s="15">
        <f t="shared" si="2"/>
        <v>115.58000000000001</v>
      </c>
      <c r="R19" s="12">
        <f t="shared" si="3"/>
        <v>1</v>
      </c>
      <c r="S19" s="12">
        <f t="shared" si="4"/>
        <v>0</v>
      </c>
      <c r="T19" s="12">
        <f t="shared" si="5"/>
        <v>1</v>
      </c>
    </row>
    <row r="20" spans="1:20" ht="15" customHeight="1" x14ac:dyDescent="0.35">
      <c r="A20" s="111" t="s">
        <v>1633</v>
      </c>
      <c r="B20" s="111" t="s">
        <v>1255</v>
      </c>
      <c r="C20" s="111" t="s">
        <v>1687</v>
      </c>
      <c r="D20" s="111" t="s">
        <v>1377</v>
      </c>
      <c r="J20" s="112" t="s">
        <v>1764</v>
      </c>
      <c r="K20" s="118">
        <v>2.54</v>
      </c>
      <c r="M20" s="12">
        <v>19</v>
      </c>
      <c r="N20" s="12" t="str">
        <f t="shared" si="0"/>
        <v>A</v>
      </c>
      <c r="O20" s="14">
        <f t="shared" si="1"/>
        <v>4.0599999999999996</v>
      </c>
      <c r="P20" s="15">
        <f t="shared" si="6"/>
        <v>77.140000000000015</v>
      </c>
      <c r="Q20" s="15">
        <f t="shared" si="2"/>
        <v>122.14000000000001</v>
      </c>
      <c r="R20" s="12">
        <f t="shared" si="3"/>
        <v>1</v>
      </c>
      <c r="S20" s="12">
        <f t="shared" si="4"/>
        <v>0</v>
      </c>
      <c r="T20" s="12">
        <f t="shared" si="5"/>
        <v>1</v>
      </c>
    </row>
    <row r="21" spans="1:20" ht="15" customHeight="1" x14ac:dyDescent="0.35">
      <c r="A21" s="99" t="str">
        <f>B2&amp;" — A (โชว์ "&amp;B3&amp;")"</f>
        <v>กล่อง 1.6"×4" — A (โชว์ 1.6")</v>
      </c>
      <c r="B21" s="82">
        <f>E13</f>
        <v>7</v>
      </c>
      <c r="C21" s="82">
        <f>E6</f>
        <v>1220</v>
      </c>
      <c r="D21" s="82">
        <f t="shared" ref="D21:D26" si="7">B21*C21</f>
        <v>8540</v>
      </c>
      <c r="J21" s="93" t="s">
        <v>1770</v>
      </c>
      <c r="K21" s="117">
        <v>3.81</v>
      </c>
      <c r="M21" s="12">
        <v>20</v>
      </c>
      <c r="N21" s="12" t="str">
        <f t="shared" si="0"/>
        <v>B</v>
      </c>
      <c r="O21" s="14">
        <f t="shared" si="1"/>
        <v>4.0599999999999996</v>
      </c>
      <c r="P21" s="15">
        <f t="shared" si="6"/>
        <v>81.200000000000017</v>
      </c>
      <c r="Q21" s="15">
        <f t="shared" si="2"/>
        <v>128.70000000000002</v>
      </c>
      <c r="R21" s="12">
        <f t="shared" si="3"/>
        <v>0</v>
      </c>
      <c r="S21" s="12">
        <f t="shared" si="4"/>
        <v>1</v>
      </c>
      <c r="T21" s="12">
        <f t="shared" si="5"/>
        <v>1</v>
      </c>
    </row>
    <row r="22" spans="1:20" ht="15" customHeight="1" x14ac:dyDescent="0.35">
      <c r="A22" s="99" t="str">
        <f>B5&amp;" — B (โชว์ "&amp;B6&amp;")"</f>
        <v>กล่อง 1"×1.6" — B (โชว์ 1.6")</v>
      </c>
      <c r="B22" s="82">
        <f>E14</f>
        <v>11</v>
      </c>
      <c r="C22" s="82">
        <f>E7</f>
        <v>485</v>
      </c>
      <c r="D22" s="82">
        <f t="shared" si="7"/>
        <v>5335</v>
      </c>
      <c r="J22" s="93" t="s">
        <v>1759</v>
      </c>
      <c r="K22" s="117">
        <v>4.0599999999999996</v>
      </c>
      <c r="M22" s="12">
        <v>21</v>
      </c>
      <c r="N22" s="12" t="str">
        <f t="shared" si="0"/>
        <v>B</v>
      </c>
      <c r="O22" s="14">
        <f t="shared" si="1"/>
        <v>4.0599999999999996</v>
      </c>
      <c r="P22" s="15">
        <f t="shared" si="6"/>
        <v>85.260000000000019</v>
      </c>
      <c r="Q22" s="15">
        <f t="shared" si="2"/>
        <v>135.26000000000002</v>
      </c>
      <c r="R22" s="12">
        <f t="shared" si="3"/>
        <v>0</v>
      </c>
      <c r="S22" s="12">
        <f t="shared" si="4"/>
        <v>1</v>
      </c>
      <c r="T22" s="12">
        <f t="shared" si="5"/>
        <v>1</v>
      </c>
    </row>
    <row r="23" spans="1:20" ht="15" customHeight="1" x14ac:dyDescent="0.35">
      <c r="A23" s="99" t="s">
        <v>1887</v>
      </c>
      <c r="B23" s="82">
        <f>IF(AND(B15="ต่อ",H6&gt;0),E9+E10,0)</f>
        <v>0</v>
      </c>
      <c r="C23" s="82">
        <v>80</v>
      </c>
      <c r="D23" s="82">
        <f t="shared" si="7"/>
        <v>0</v>
      </c>
      <c r="J23" s="93" t="s">
        <v>1781</v>
      </c>
      <c r="K23" s="117">
        <v>10.16</v>
      </c>
      <c r="M23" s="12">
        <v>22</v>
      </c>
      <c r="N23" s="12" t="str">
        <f t="shared" si="0"/>
        <v>B</v>
      </c>
      <c r="O23" s="14">
        <f t="shared" si="1"/>
        <v>4.0599999999999996</v>
      </c>
      <c r="P23" s="15">
        <f t="shared" si="6"/>
        <v>89.320000000000022</v>
      </c>
      <c r="Q23" s="15">
        <f t="shared" si="2"/>
        <v>141.82000000000002</v>
      </c>
      <c r="R23" s="12">
        <f t="shared" si="3"/>
        <v>0</v>
      </c>
      <c r="S23" s="12">
        <f t="shared" si="4"/>
        <v>1</v>
      </c>
      <c r="T23" s="12">
        <f t="shared" si="5"/>
        <v>1</v>
      </c>
    </row>
    <row r="24" spans="1:20" ht="15" customHeight="1" x14ac:dyDescent="0.35">
      <c r="A24" s="99" t="s">
        <v>1888</v>
      </c>
      <c r="B24" s="82">
        <f>E16</f>
        <v>0</v>
      </c>
      <c r="C24" s="82">
        <f>E17</f>
        <v>485</v>
      </c>
      <c r="D24" s="82">
        <f t="shared" si="7"/>
        <v>0</v>
      </c>
      <c r="M24" s="12">
        <v>23</v>
      </c>
      <c r="N24" s="12" t="str">
        <f t="shared" si="0"/>
        <v>B</v>
      </c>
      <c r="O24" s="14">
        <f t="shared" si="1"/>
        <v>4.0599999999999996</v>
      </c>
      <c r="P24" s="15">
        <f t="shared" si="6"/>
        <v>93.380000000000024</v>
      </c>
      <c r="Q24" s="15">
        <f t="shared" si="2"/>
        <v>148.38000000000002</v>
      </c>
      <c r="R24" s="12">
        <f t="shared" si="3"/>
        <v>0</v>
      </c>
      <c r="S24" s="12">
        <f t="shared" si="4"/>
        <v>1</v>
      </c>
      <c r="T24" s="12">
        <f t="shared" si="5"/>
        <v>1</v>
      </c>
    </row>
    <row r="25" spans="1:20" ht="15" customHeight="1" x14ac:dyDescent="0.35">
      <c r="A25" s="99" t="s">
        <v>1818</v>
      </c>
      <c r="B25" s="82">
        <f>IF(E15&gt;0,1,0)</f>
        <v>0</v>
      </c>
      <c r="C25" s="82">
        <f>E15</f>
        <v>0</v>
      </c>
      <c r="D25" s="82">
        <f t="shared" si="7"/>
        <v>0</v>
      </c>
      <c r="M25" s="12">
        <v>24</v>
      </c>
      <c r="N25" s="12" t="str">
        <f t="shared" si="0"/>
        <v>B</v>
      </c>
      <c r="O25" s="14">
        <f t="shared" si="1"/>
        <v>4.0599999999999996</v>
      </c>
      <c r="P25" s="15">
        <f t="shared" si="6"/>
        <v>97.440000000000026</v>
      </c>
      <c r="Q25" s="15">
        <f t="shared" si="2"/>
        <v>154.94000000000003</v>
      </c>
      <c r="R25" s="12">
        <f t="shared" si="3"/>
        <v>0</v>
      </c>
      <c r="S25" s="12">
        <f t="shared" si="4"/>
        <v>1</v>
      </c>
      <c r="T25" s="12">
        <f t="shared" si="5"/>
        <v>1</v>
      </c>
    </row>
    <row r="26" spans="1:20" ht="15" customHeight="1" x14ac:dyDescent="0.35">
      <c r="A26" s="119" t="s">
        <v>1821</v>
      </c>
      <c r="B26" s="120">
        <f>E2</f>
        <v>7</v>
      </c>
      <c r="C26" s="120">
        <f>B13+B14</f>
        <v>900</v>
      </c>
      <c r="D26" s="120">
        <f t="shared" si="7"/>
        <v>6300</v>
      </c>
      <c r="M26" s="12">
        <v>25</v>
      </c>
      <c r="N26" s="12" t="str">
        <f t="shared" si="0"/>
        <v>A</v>
      </c>
      <c r="O26" s="14">
        <f t="shared" si="1"/>
        <v>4.0599999999999996</v>
      </c>
      <c r="P26" s="15">
        <f t="shared" si="6"/>
        <v>101.50000000000003</v>
      </c>
      <c r="Q26" s="15">
        <f t="shared" si="2"/>
        <v>161.50000000000003</v>
      </c>
      <c r="R26" s="12">
        <f t="shared" si="3"/>
        <v>1</v>
      </c>
      <c r="S26" s="12">
        <f t="shared" si="4"/>
        <v>0</v>
      </c>
      <c r="T26" s="12">
        <f t="shared" si="5"/>
        <v>1</v>
      </c>
    </row>
    <row r="27" spans="1:20" ht="15" customHeight="1" x14ac:dyDescent="0.35">
      <c r="A27" s="101" t="s">
        <v>1268</v>
      </c>
      <c r="B27" s="153"/>
      <c r="C27" s="153"/>
      <c r="D27" s="102">
        <f>SUM(D21:D26)</f>
        <v>20175</v>
      </c>
      <c r="M27" s="12">
        <v>26</v>
      </c>
      <c r="N27" s="12" t="str">
        <f t="shared" si="0"/>
        <v>A</v>
      </c>
      <c r="O27" s="14">
        <f t="shared" si="1"/>
        <v>4.0599999999999996</v>
      </c>
      <c r="P27" s="15">
        <f t="shared" si="6"/>
        <v>105.56000000000003</v>
      </c>
      <c r="Q27" s="15">
        <f t="shared" si="2"/>
        <v>168.06000000000003</v>
      </c>
      <c r="R27" s="12">
        <f t="shared" si="3"/>
        <v>1</v>
      </c>
      <c r="S27" s="12">
        <f t="shared" si="4"/>
        <v>0</v>
      </c>
      <c r="T27" s="12">
        <f t="shared" si="5"/>
        <v>1</v>
      </c>
    </row>
    <row r="28" spans="1:20" ht="15" customHeight="1" x14ac:dyDescent="0.35">
      <c r="A28" s="101" t="s">
        <v>1125</v>
      </c>
      <c r="B28" s="153"/>
      <c r="C28" s="153"/>
      <c r="D28" s="102">
        <f>D27/E2</f>
        <v>2882.1428571428573</v>
      </c>
      <c r="M28" s="12">
        <v>27</v>
      </c>
      <c r="N28" s="12" t="str">
        <f t="shared" si="0"/>
        <v>A</v>
      </c>
      <c r="O28" s="14">
        <f t="shared" si="1"/>
        <v>4.0599999999999996</v>
      </c>
      <c r="P28" s="15">
        <f t="shared" si="6"/>
        <v>109.62000000000003</v>
      </c>
      <c r="Q28" s="15">
        <f t="shared" si="2"/>
        <v>174.62000000000003</v>
      </c>
      <c r="R28" s="12">
        <f t="shared" si="3"/>
        <v>1</v>
      </c>
      <c r="S28" s="12">
        <f t="shared" si="4"/>
        <v>0</v>
      </c>
      <c r="T28" s="12">
        <f t="shared" si="5"/>
        <v>1</v>
      </c>
    </row>
    <row r="29" spans="1:20" ht="15" customHeight="1" x14ac:dyDescent="0.35">
      <c r="A29" s="16"/>
      <c r="M29" s="12">
        <v>28</v>
      </c>
      <c r="N29" s="12" t="str">
        <f t="shared" si="0"/>
        <v>B</v>
      </c>
      <c r="O29" s="14">
        <f t="shared" si="1"/>
        <v>4.0599999999999996</v>
      </c>
      <c r="P29" s="15">
        <f t="shared" si="6"/>
        <v>113.68000000000004</v>
      </c>
      <c r="Q29" s="15">
        <f t="shared" si="2"/>
        <v>181.18000000000004</v>
      </c>
      <c r="R29" s="12">
        <f t="shared" si="3"/>
        <v>0</v>
      </c>
      <c r="S29" s="12">
        <f t="shared" si="4"/>
        <v>1</v>
      </c>
      <c r="T29" s="12">
        <f t="shared" si="5"/>
        <v>1</v>
      </c>
    </row>
    <row r="30" spans="1:20" ht="15" customHeight="1" x14ac:dyDescent="0.35">
      <c r="A30" s="108"/>
      <c r="B30" s="150"/>
      <c r="M30" s="12">
        <v>29</v>
      </c>
      <c r="N30" s="12" t="str">
        <f t="shared" si="0"/>
        <v>B</v>
      </c>
      <c r="O30" s="14">
        <f t="shared" si="1"/>
        <v>4.0599999999999996</v>
      </c>
      <c r="P30" s="15">
        <f t="shared" si="6"/>
        <v>117.74000000000004</v>
      </c>
      <c r="Q30" s="15">
        <f t="shared" si="2"/>
        <v>187.74000000000004</v>
      </c>
      <c r="R30" s="12">
        <f t="shared" si="3"/>
        <v>0</v>
      </c>
      <c r="S30" s="12">
        <f t="shared" si="4"/>
        <v>1</v>
      </c>
      <c r="T30" s="12">
        <f t="shared" si="5"/>
        <v>1</v>
      </c>
    </row>
    <row r="31" spans="1:20" ht="15" customHeight="1" x14ac:dyDescent="0.35">
      <c r="A31" s="30" t="s">
        <v>1889</v>
      </c>
      <c r="D31" s="66">
        <f>SUM(D21:D25)</f>
        <v>13875</v>
      </c>
      <c r="M31" s="12">
        <v>30</v>
      </c>
      <c r="N31" s="12" t="str">
        <f t="shared" si="0"/>
        <v>B</v>
      </c>
      <c r="O31" s="14">
        <f t="shared" si="1"/>
        <v>4.0599999999999996</v>
      </c>
      <c r="P31" s="15">
        <f t="shared" si="6"/>
        <v>121.80000000000004</v>
      </c>
      <c r="Q31" s="15">
        <f t="shared" si="2"/>
        <v>194.30000000000004</v>
      </c>
      <c r="R31" s="12">
        <f t="shared" si="3"/>
        <v>0</v>
      </c>
      <c r="S31" s="12">
        <f t="shared" si="4"/>
        <v>1</v>
      </c>
      <c r="T31" s="12">
        <f t="shared" si="5"/>
        <v>1</v>
      </c>
    </row>
    <row r="32" spans="1:20" ht="15" customHeight="1" x14ac:dyDescent="0.35">
      <c r="A32" s="30" t="s">
        <v>711</v>
      </c>
      <c r="D32" s="66">
        <f>B13*E2</f>
        <v>2100</v>
      </c>
      <c r="M32" s="12">
        <v>31</v>
      </c>
      <c r="N32" s="12" t="str">
        <f t="shared" si="0"/>
        <v>B</v>
      </c>
      <c r="O32" s="14">
        <f t="shared" si="1"/>
        <v>4.0599999999999996</v>
      </c>
      <c r="P32" s="15">
        <f t="shared" si="6"/>
        <v>125.86000000000004</v>
      </c>
      <c r="Q32" s="15">
        <f t="shared" si="2"/>
        <v>200.86000000000004</v>
      </c>
      <c r="R32" s="12">
        <f t="shared" si="3"/>
        <v>0</v>
      </c>
      <c r="S32" s="12">
        <f t="shared" si="4"/>
        <v>1</v>
      </c>
      <c r="T32" s="12">
        <f t="shared" si="5"/>
        <v>1</v>
      </c>
    </row>
    <row r="33" spans="1:20" ht="15" customHeight="1" x14ac:dyDescent="0.35">
      <c r="A33" s="30" t="s">
        <v>654</v>
      </c>
      <c r="D33" s="66">
        <f>B14*E2</f>
        <v>4200</v>
      </c>
      <c r="M33" s="12">
        <v>32</v>
      </c>
      <c r="N33" s="12" t="str">
        <f t="shared" si="0"/>
        <v>B</v>
      </c>
      <c r="O33" s="14">
        <f t="shared" si="1"/>
        <v>4.0599999999999996</v>
      </c>
      <c r="P33" s="15">
        <f t="shared" si="6"/>
        <v>129.92000000000004</v>
      </c>
      <c r="Q33" s="15">
        <f t="shared" si="2"/>
        <v>207.42000000000004</v>
      </c>
      <c r="R33" s="12">
        <f t="shared" si="3"/>
        <v>0</v>
      </c>
      <c r="S33" s="12">
        <f t="shared" si="4"/>
        <v>1</v>
      </c>
      <c r="T33" s="12">
        <f t="shared" si="5"/>
        <v>1</v>
      </c>
    </row>
    <row r="34" spans="1:20" ht="15" customHeight="1" x14ac:dyDescent="0.35">
      <c r="A34" s="25" t="s">
        <v>1890</v>
      </c>
      <c r="D34" s="123">
        <f>(D31+D32)*2</f>
        <v>31950</v>
      </c>
      <c r="M34" s="12">
        <v>33</v>
      </c>
      <c r="N34" s="12" t="str">
        <f t="shared" ref="N34:N65" si="8">IF(MOD(M34-1,$B$4+$B$7)&lt;$B$4,"A","B")</f>
        <v>A</v>
      </c>
      <c r="O34" s="14">
        <f t="shared" ref="O34:O65" si="9">IF(N34="A",$E$3,$E$4)</f>
        <v>4.0599999999999996</v>
      </c>
      <c r="P34" s="15">
        <f t="shared" si="6"/>
        <v>133.98000000000005</v>
      </c>
      <c r="Q34" s="15">
        <f t="shared" ref="Q34:Q65" si="10">P34+(M34-1)*$B$8</f>
        <v>213.98000000000005</v>
      </c>
      <c r="R34" s="12">
        <f t="shared" ref="R34:R65" si="11">IF(AND(Q34&lt;=$B$9,N34="A"),1,0)</f>
        <v>1</v>
      </c>
      <c r="S34" s="12">
        <f t="shared" ref="S34:S65" si="12">IF(AND(Q34&lt;=$B$9,N34="B"),1,0)</f>
        <v>0</v>
      </c>
      <c r="T34" s="12">
        <f t="shared" ref="T34:T65" si="13">IF(Q34&lt;=$B$9,1,0)</f>
        <v>1</v>
      </c>
    </row>
    <row r="35" spans="1:20" ht="15" customHeight="1" x14ac:dyDescent="0.35">
      <c r="A35" s="25" t="s">
        <v>1891</v>
      </c>
      <c r="D35" s="123">
        <f>D34+D33*2</f>
        <v>40350</v>
      </c>
      <c r="M35" s="12">
        <v>34</v>
      </c>
      <c r="N35" s="12" t="str">
        <f t="shared" si="8"/>
        <v>A</v>
      </c>
      <c r="O35" s="14">
        <f t="shared" si="9"/>
        <v>4.0599999999999996</v>
      </c>
      <c r="P35" s="15">
        <f t="shared" ref="P35:P66" si="14">P34+O35</f>
        <v>138.04000000000005</v>
      </c>
      <c r="Q35" s="15">
        <f t="shared" si="10"/>
        <v>220.54000000000005</v>
      </c>
      <c r="R35" s="12">
        <f t="shared" si="11"/>
        <v>1</v>
      </c>
      <c r="S35" s="12">
        <f t="shared" si="12"/>
        <v>0</v>
      </c>
      <c r="T35" s="12">
        <f t="shared" si="13"/>
        <v>1</v>
      </c>
    </row>
    <row r="36" spans="1:20" ht="15" customHeight="1" x14ac:dyDescent="0.35">
      <c r="A36" s="30" t="s">
        <v>1892</v>
      </c>
      <c r="D36" s="124">
        <f>(D34-(D31+D32))/(D31+D32)</f>
        <v>1</v>
      </c>
      <c r="M36" s="12">
        <v>35</v>
      </c>
      <c r="N36" s="12" t="str">
        <f t="shared" si="8"/>
        <v>A</v>
      </c>
      <c r="O36" s="14">
        <f t="shared" si="9"/>
        <v>4.0599999999999996</v>
      </c>
      <c r="P36" s="15">
        <f t="shared" si="14"/>
        <v>142.10000000000005</v>
      </c>
      <c r="Q36" s="15">
        <f t="shared" si="10"/>
        <v>227.10000000000005</v>
      </c>
      <c r="R36" s="12">
        <f t="shared" si="11"/>
        <v>1</v>
      </c>
      <c r="S36" s="12">
        <f t="shared" si="12"/>
        <v>0</v>
      </c>
      <c r="T36" s="12">
        <f t="shared" si="13"/>
        <v>1</v>
      </c>
    </row>
    <row r="37" spans="1:20" ht="15" customHeight="1" x14ac:dyDescent="0.35">
      <c r="M37" s="12">
        <v>36</v>
      </c>
      <c r="N37" s="12" t="str">
        <f t="shared" si="8"/>
        <v>B</v>
      </c>
      <c r="O37" s="14">
        <f t="shared" si="9"/>
        <v>4.0599999999999996</v>
      </c>
      <c r="P37" s="15">
        <f t="shared" si="14"/>
        <v>146.16000000000005</v>
      </c>
      <c r="Q37" s="15">
        <f t="shared" si="10"/>
        <v>233.66000000000005</v>
      </c>
      <c r="R37" s="12">
        <f t="shared" si="11"/>
        <v>0</v>
      </c>
      <c r="S37" s="12">
        <f t="shared" si="12"/>
        <v>1</v>
      </c>
      <c r="T37" s="12">
        <f t="shared" si="13"/>
        <v>1</v>
      </c>
    </row>
    <row r="38" spans="1:20" ht="15" customHeight="1" x14ac:dyDescent="0.35">
      <c r="M38" s="12">
        <v>37</v>
      </c>
      <c r="N38" s="12" t="str">
        <f t="shared" si="8"/>
        <v>B</v>
      </c>
      <c r="O38" s="14">
        <f t="shared" si="9"/>
        <v>4.0599999999999996</v>
      </c>
      <c r="P38" s="15">
        <f t="shared" si="14"/>
        <v>150.22000000000006</v>
      </c>
      <c r="Q38" s="15">
        <f t="shared" si="10"/>
        <v>240.22000000000006</v>
      </c>
      <c r="R38" s="12">
        <f t="shared" si="11"/>
        <v>0</v>
      </c>
      <c r="S38" s="12">
        <f t="shared" si="12"/>
        <v>1</v>
      </c>
      <c r="T38" s="12">
        <f t="shared" si="13"/>
        <v>1</v>
      </c>
    </row>
    <row r="39" spans="1:20" ht="15" customHeight="1" x14ac:dyDescent="0.35">
      <c r="M39" s="12">
        <v>38</v>
      </c>
      <c r="N39" s="12" t="str">
        <f t="shared" si="8"/>
        <v>B</v>
      </c>
      <c r="O39" s="14">
        <f t="shared" si="9"/>
        <v>4.0599999999999996</v>
      </c>
      <c r="P39" s="15">
        <f t="shared" si="14"/>
        <v>154.28000000000006</v>
      </c>
      <c r="Q39" s="15">
        <f t="shared" si="10"/>
        <v>246.78000000000006</v>
      </c>
      <c r="R39" s="12">
        <f t="shared" si="11"/>
        <v>0</v>
      </c>
      <c r="S39" s="12">
        <f t="shared" si="12"/>
        <v>1</v>
      </c>
      <c r="T39" s="12">
        <f t="shared" si="13"/>
        <v>1</v>
      </c>
    </row>
    <row r="40" spans="1:20" ht="15" customHeight="1" x14ac:dyDescent="0.35">
      <c r="M40" s="12">
        <v>39</v>
      </c>
      <c r="N40" s="12" t="str">
        <f t="shared" si="8"/>
        <v>B</v>
      </c>
      <c r="O40" s="14">
        <f t="shared" si="9"/>
        <v>4.0599999999999996</v>
      </c>
      <c r="P40" s="15">
        <f t="shared" si="14"/>
        <v>158.34000000000006</v>
      </c>
      <c r="Q40" s="15">
        <f t="shared" si="10"/>
        <v>253.34000000000006</v>
      </c>
      <c r="R40" s="12">
        <f t="shared" si="11"/>
        <v>0</v>
      </c>
      <c r="S40" s="12">
        <f t="shared" si="12"/>
        <v>1</v>
      </c>
      <c r="T40" s="12">
        <f t="shared" si="13"/>
        <v>1</v>
      </c>
    </row>
    <row r="41" spans="1:20" ht="15" customHeight="1" x14ac:dyDescent="0.35">
      <c r="M41" s="12">
        <v>40</v>
      </c>
      <c r="N41" s="12" t="str">
        <f t="shared" si="8"/>
        <v>B</v>
      </c>
      <c r="O41" s="14">
        <f t="shared" si="9"/>
        <v>4.0599999999999996</v>
      </c>
      <c r="P41" s="15">
        <f t="shared" si="14"/>
        <v>162.40000000000006</v>
      </c>
      <c r="Q41" s="15">
        <f t="shared" si="10"/>
        <v>259.90000000000009</v>
      </c>
      <c r="R41" s="12">
        <f t="shared" si="11"/>
        <v>0</v>
      </c>
      <c r="S41" s="12">
        <f t="shared" si="12"/>
        <v>1</v>
      </c>
      <c r="T41" s="12">
        <f t="shared" si="13"/>
        <v>1</v>
      </c>
    </row>
    <row r="42" spans="1:20" ht="15" customHeight="1" x14ac:dyDescent="0.35">
      <c r="M42" s="12">
        <v>41</v>
      </c>
      <c r="N42" s="12" t="str">
        <f t="shared" si="8"/>
        <v>A</v>
      </c>
      <c r="O42" s="14">
        <f t="shared" si="9"/>
        <v>4.0599999999999996</v>
      </c>
      <c r="P42" s="15">
        <f t="shared" si="14"/>
        <v>166.46000000000006</v>
      </c>
      <c r="Q42" s="15">
        <f t="shared" si="10"/>
        <v>266.46000000000004</v>
      </c>
      <c r="R42" s="12">
        <f t="shared" si="11"/>
        <v>1</v>
      </c>
      <c r="S42" s="12">
        <f t="shared" si="12"/>
        <v>0</v>
      </c>
      <c r="T42" s="12">
        <f t="shared" si="13"/>
        <v>1</v>
      </c>
    </row>
    <row r="43" spans="1:20" ht="15" customHeight="1" x14ac:dyDescent="0.35">
      <c r="M43" s="12">
        <v>42</v>
      </c>
      <c r="N43" s="12" t="str">
        <f t="shared" si="8"/>
        <v>A</v>
      </c>
      <c r="O43" s="14">
        <f t="shared" si="9"/>
        <v>4.0599999999999996</v>
      </c>
      <c r="P43" s="15">
        <f t="shared" si="14"/>
        <v>170.52000000000007</v>
      </c>
      <c r="Q43" s="15">
        <f t="shared" si="10"/>
        <v>273.0200000000001</v>
      </c>
      <c r="R43" s="12">
        <f t="shared" si="11"/>
        <v>1</v>
      </c>
      <c r="S43" s="12">
        <f t="shared" si="12"/>
        <v>0</v>
      </c>
      <c r="T43" s="12">
        <f t="shared" si="13"/>
        <v>1</v>
      </c>
    </row>
    <row r="44" spans="1:20" ht="15" customHeight="1" x14ac:dyDescent="0.35">
      <c r="M44" s="12">
        <v>43</v>
      </c>
      <c r="N44" s="12" t="str">
        <f t="shared" si="8"/>
        <v>A</v>
      </c>
      <c r="O44" s="14">
        <f t="shared" si="9"/>
        <v>4.0599999999999996</v>
      </c>
      <c r="P44" s="15">
        <f t="shared" si="14"/>
        <v>174.58000000000007</v>
      </c>
      <c r="Q44" s="15">
        <f t="shared" si="10"/>
        <v>279.58000000000004</v>
      </c>
      <c r="R44" s="12">
        <f t="shared" si="11"/>
        <v>1</v>
      </c>
      <c r="S44" s="12">
        <f t="shared" si="12"/>
        <v>0</v>
      </c>
      <c r="T44" s="12">
        <f t="shared" si="13"/>
        <v>1</v>
      </c>
    </row>
    <row r="45" spans="1:20" ht="15" customHeight="1" x14ac:dyDescent="0.35">
      <c r="M45" s="12">
        <v>44</v>
      </c>
      <c r="N45" s="12" t="str">
        <f t="shared" si="8"/>
        <v>B</v>
      </c>
      <c r="O45" s="14">
        <f t="shared" si="9"/>
        <v>4.0599999999999996</v>
      </c>
      <c r="P45" s="15">
        <f t="shared" si="14"/>
        <v>178.64000000000007</v>
      </c>
      <c r="Q45" s="15">
        <f t="shared" si="10"/>
        <v>286.1400000000001</v>
      </c>
      <c r="R45" s="12">
        <f t="shared" si="11"/>
        <v>0</v>
      </c>
      <c r="S45" s="12">
        <f t="shared" si="12"/>
        <v>1</v>
      </c>
      <c r="T45" s="12">
        <f t="shared" si="13"/>
        <v>1</v>
      </c>
    </row>
    <row r="46" spans="1:20" ht="15" customHeight="1" x14ac:dyDescent="0.35">
      <c r="M46" s="12">
        <v>45</v>
      </c>
      <c r="N46" s="12" t="str">
        <f t="shared" si="8"/>
        <v>B</v>
      </c>
      <c r="O46" s="14">
        <f t="shared" si="9"/>
        <v>4.0599999999999996</v>
      </c>
      <c r="P46" s="15">
        <f t="shared" si="14"/>
        <v>182.70000000000007</v>
      </c>
      <c r="Q46" s="15">
        <f t="shared" si="10"/>
        <v>292.70000000000005</v>
      </c>
      <c r="R46" s="12">
        <f t="shared" si="11"/>
        <v>0</v>
      </c>
      <c r="S46" s="12">
        <f t="shared" si="12"/>
        <v>1</v>
      </c>
      <c r="T46" s="12">
        <f t="shared" si="13"/>
        <v>1</v>
      </c>
    </row>
    <row r="47" spans="1:20" ht="15" customHeight="1" x14ac:dyDescent="0.35">
      <c r="M47" s="12">
        <v>46</v>
      </c>
      <c r="N47" s="12" t="str">
        <f t="shared" si="8"/>
        <v>B</v>
      </c>
      <c r="O47" s="14">
        <f t="shared" si="9"/>
        <v>4.0599999999999996</v>
      </c>
      <c r="P47" s="15">
        <f t="shared" si="14"/>
        <v>186.76000000000008</v>
      </c>
      <c r="Q47" s="15">
        <f t="shared" si="10"/>
        <v>299.2600000000001</v>
      </c>
      <c r="R47" s="12">
        <f t="shared" si="11"/>
        <v>0</v>
      </c>
      <c r="S47" s="12">
        <f t="shared" si="12"/>
        <v>1</v>
      </c>
      <c r="T47" s="12">
        <f t="shared" si="13"/>
        <v>1</v>
      </c>
    </row>
    <row r="48" spans="1:20" ht="15" customHeight="1" x14ac:dyDescent="0.35">
      <c r="M48" s="12">
        <v>47</v>
      </c>
      <c r="N48" s="12" t="str">
        <f t="shared" si="8"/>
        <v>B</v>
      </c>
      <c r="O48" s="14">
        <f t="shared" si="9"/>
        <v>4.0599999999999996</v>
      </c>
      <c r="P48" s="15">
        <f t="shared" si="14"/>
        <v>190.82000000000008</v>
      </c>
      <c r="Q48" s="15">
        <f t="shared" si="10"/>
        <v>305.82000000000005</v>
      </c>
      <c r="R48" s="12">
        <f t="shared" si="11"/>
        <v>0</v>
      </c>
      <c r="S48" s="12">
        <f t="shared" si="12"/>
        <v>1</v>
      </c>
      <c r="T48" s="12">
        <f t="shared" si="13"/>
        <v>1</v>
      </c>
    </row>
    <row r="49" spans="13:20" ht="15" customHeight="1" x14ac:dyDescent="0.35">
      <c r="M49" s="12">
        <v>48</v>
      </c>
      <c r="N49" s="12" t="str">
        <f t="shared" si="8"/>
        <v>B</v>
      </c>
      <c r="O49" s="14">
        <f t="shared" si="9"/>
        <v>4.0599999999999996</v>
      </c>
      <c r="P49" s="15">
        <f t="shared" si="14"/>
        <v>194.88000000000008</v>
      </c>
      <c r="Q49" s="15">
        <f t="shared" si="10"/>
        <v>312.38000000000011</v>
      </c>
      <c r="R49" s="12">
        <f t="shared" si="11"/>
        <v>0</v>
      </c>
      <c r="S49" s="12">
        <f t="shared" si="12"/>
        <v>1</v>
      </c>
      <c r="T49" s="12">
        <f t="shared" si="13"/>
        <v>1</v>
      </c>
    </row>
    <row r="50" spans="13:20" ht="15" customHeight="1" x14ac:dyDescent="0.35">
      <c r="M50" s="12">
        <v>49</v>
      </c>
      <c r="N50" s="12" t="str">
        <f t="shared" si="8"/>
        <v>A</v>
      </c>
      <c r="O50" s="14">
        <f t="shared" si="9"/>
        <v>4.0599999999999996</v>
      </c>
      <c r="P50" s="15">
        <f t="shared" si="14"/>
        <v>198.94000000000008</v>
      </c>
      <c r="Q50" s="15">
        <f t="shared" si="10"/>
        <v>318.94000000000005</v>
      </c>
      <c r="R50" s="12">
        <f t="shared" si="11"/>
        <v>1</v>
      </c>
      <c r="S50" s="12">
        <f t="shared" si="12"/>
        <v>0</v>
      </c>
      <c r="T50" s="12">
        <f t="shared" si="13"/>
        <v>1</v>
      </c>
    </row>
    <row r="51" spans="13:20" ht="15" customHeight="1" x14ac:dyDescent="0.35">
      <c r="M51" s="12">
        <v>50</v>
      </c>
      <c r="N51" s="12" t="str">
        <f t="shared" si="8"/>
        <v>A</v>
      </c>
      <c r="O51" s="14">
        <f t="shared" si="9"/>
        <v>4.0599999999999996</v>
      </c>
      <c r="P51" s="15">
        <f t="shared" si="14"/>
        <v>203.00000000000009</v>
      </c>
      <c r="Q51" s="15">
        <f t="shared" si="10"/>
        <v>325.50000000000011</v>
      </c>
      <c r="R51" s="12">
        <f t="shared" si="11"/>
        <v>1</v>
      </c>
      <c r="S51" s="12">
        <f t="shared" si="12"/>
        <v>0</v>
      </c>
      <c r="T51" s="12">
        <f t="shared" si="13"/>
        <v>1</v>
      </c>
    </row>
    <row r="52" spans="13:20" ht="15" customHeight="1" x14ac:dyDescent="0.35">
      <c r="M52" s="12">
        <v>51</v>
      </c>
      <c r="N52" s="12" t="str">
        <f t="shared" si="8"/>
        <v>A</v>
      </c>
      <c r="O52" s="14">
        <f t="shared" si="9"/>
        <v>4.0599999999999996</v>
      </c>
      <c r="P52" s="15">
        <f t="shared" si="14"/>
        <v>207.06000000000009</v>
      </c>
      <c r="Q52" s="15">
        <f t="shared" si="10"/>
        <v>332.06000000000006</v>
      </c>
      <c r="R52" s="12">
        <f t="shared" si="11"/>
        <v>1</v>
      </c>
      <c r="S52" s="12">
        <f t="shared" si="12"/>
        <v>0</v>
      </c>
      <c r="T52" s="12">
        <f t="shared" si="13"/>
        <v>1</v>
      </c>
    </row>
    <row r="53" spans="13:20" ht="15" customHeight="1" x14ac:dyDescent="0.35">
      <c r="M53" s="12">
        <v>52</v>
      </c>
      <c r="N53" s="12" t="str">
        <f t="shared" si="8"/>
        <v>B</v>
      </c>
      <c r="O53" s="14">
        <f t="shared" si="9"/>
        <v>4.0599999999999996</v>
      </c>
      <c r="P53" s="15">
        <f t="shared" si="14"/>
        <v>211.12000000000009</v>
      </c>
      <c r="Q53" s="15">
        <f t="shared" si="10"/>
        <v>338.62000000000012</v>
      </c>
      <c r="R53" s="12">
        <f t="shared" si="11"/>
        <v>0</v>
      </c>
      <c r="S53" s="12">
        <f t="shared" si="12"/>
        <v>1</v>
      </c>
      <c r="T53" s="12">
        <f t="shared" si="13"/>
        <v>1</v>
      </c>
    </row>
    <row r="54" spans="13:20" ht="15" customHeight="1" x14ac:dyDescent="0.35">
      <c r="M54" s="12">
        <v>53</v>
      </c>
      <c r="N54" s="12" t="str">
        <f t="shared" si="8"/>
        <v>B</v>
      </c>
      <c r="O54" s="14">
        <f t="shared" si="9"/>
        <v>4.0599999999999996</v>
      </c>
      <c r="P54" s="15">
        <f t="shared" si="14"/>
        <v>215.18000000000009</v>
      </c>
      <c r="Q54" s="15">
        <f t="shared" si="10"/>
        <v>345.18000000000006</v>
      </c>
      <c r="R54" s="12">
        <f t="shared" si="11"/>
        <v>0</v>
      </c>
      <c r="S54" s="12">
        <f t="shared" si="12"/>
        <v>1</v>
      </c>
      <c r="T54" s="12">
        <f t="shared" si="13"/>
        <v>1</v>
      </c>
    </row>
    <row r="55" spans="13:20" ht="15" customHeight="1" x14ac:dyDescent="0.35">
      <c r="M55" s="12">
        <v>54</v>
      </c>
      <c r="N55" s="12" t="str">
        <f t="shared" si="8"/>
        <v>B</v>
      </c>
      <c r="O55" s="14">
        <f t="shared" si="9"/>
        <v>4.0599999999999996</v>
      </c>
      <c r="P55" s="15">
        <f t="shared" si="14"/>
        <v>219.24000000000009</v>
      </c>
      <c r="Q55" s="15">
        <f t="shared" si="10"/>
        <v>351.74000000000012</v>
      </c>
      <c r="R55" s="12">
        <f t="shared" si="11"/>
        <v>0</v>
      </c>
      <c r="S55" s="12">
        <f t="shared" si="12"/>
        <v>0</v>
      </c>
      <c r="T55" s="12">
        <f t="shared" si="13"/>
        <v>0</v>
      </c>
    </row>
    <row r="56" spans="13:20" ht="15" customHeight="1" x14ac:dyDescent="0.35">
      <c r="M56" s="12">
        <v>55</v>
      </c>
      <c r="N56" s="12" t="str">
        <f t="shared" si="8"/>
        <v>B</v>
      </c>
      <c r="O56" s="14">
        <f t="shared" si="9"/>
        <v>4.0599999999999996</v>
      </c>
      <c r="P56" s="15">
        <f t="shared" si="14"/>
        <v>223.3000000000001</v>
      </c>
      <c r="Q56" s="15">
        <f t="shared" si="10"/>
        <v>358.30000000000007</v>
      </c>
      <c r="R56" s="12">
        <f t="shared" si="11"/>
        <v>0</v>
      </c>
      <c r="S56" s="12">
        <f t="shared" si="12"/>
        <v>0</v>
      </c>
      <c r="T56" s="12">
        <f t="shared" si="13"/>
        <v>0</v>
      </c>
    </row>
    <row r="57" spans="13:20" ht="15" customHeight="1" x14ac:dyDescent="0.35">
      <c r="M57" s="12">
        <v>56</v>
      </c>
      <c r="N57" s="12" t="str">
        <f t="shared" si="8"/>
        <v>B</v>
      </c>
      <c r="O57" s="14">
        <f t="shared" si="9"/>
        <v>4.0599999999999996</v>
      </c>
      <c r="P57" s="15">
        <f t="shared" si="14"/>
        <v>227.3600000000001</v>
      </c>
      <c r="Q57" s="15">
        <f t="shared" si="10"/>
        <v>364.86000000000013</v>
      </c>
      <c r="R57" s="12">
        <f t="shared" si="11"/>
        <v>0</v>
      </c>
      <c r="S57" s="12">
        <f t="shared" si="12"/>
        <v>0</v>
      </c>
      <c r="T57" s="12">
        <f t="shared" si="13"/>
        <v>0</v>
      </c>
    </row>
    <row r="58" spans="13:20" ht="15" customHeight="1" x14ac:dyDescent="0.35">
      <c r="M58" s="12">
        <v>57</v>
      </c>
      <c r="N58" s="12" t="str">
        <f t="shared" si="8"/>
        <v>A</v>
      </c>
      <c r="O58" s="14">
        <f t="shared" si="9"/>
        <v>4.0599999999999996</v>
      </c>
      <c r="P58" s="15">
        <f t="shared" si="14"/>
        <v>231.4200000000001</v>
      </c>
      <c r="Q58" s="15">
        <f t="shared" si="10"/>
        <v>371.42000000000007</v>
      </c>
      <c r="R58" s="12">
        <f t="shared" si="11"/>
        <v>0</v>
      </c>
      <c r="S58" s="12">
        <f t="shared" si="12"/>
        <v>0</v>
      </c>
      <c r="T58" s="12">
        <f t="shared" si="13"/>
        <v>0</v>
      </c>
    </row>
    <row r="59" spans="13:20" ht="15" customHeight="1" x14ac:dyDescent="0.35">
      <c r="M59" s="12">
        <v>58</v>
      </c>
      <c r="N59" s="12" t="str">
        <f t="shared" si="8"/>
        <v>A</v>
      </c>
      <c r="O59" s="14">
        <f t="shared" si="9"/>
        <v>4.0599999999999996</v>
      </c>
      <c r="P59" s="15">
        <f t="shared" si="14"/>
        <v>235.4800000000001</v>
      </c>
      <c r="Q59" s="15">
        <f t="shared" si="10"/>
        <v>377.98000000000013</v>
      </c>
      <c r="R59" s="12">
        <f t="shared" si="11"/>
        <v>0</v>
      </c>
      <c r="S59" s="12">
        <f t="shared" si="12"/>
        <v>0</v>
      </c>
      <c r="T59" s="12">
        <f t="shared" si="13"/>
        <v>0</v>
      </c>
    </row>
    <row r="60" spans="13:20" ht="15" customHeight="1" x14ac:dyDescent="0.35">
      <c r="M60" s="12">
        <v>59</v>
      </c>
      <c r="N60" s="12" t="str">
        <f t="shared" si="8"/>
        <v>A</v>
      </c>
      <c r="O60" s="14">
        <f t="shared" si="9"/>
        <v>4.0599999999999996</v>
      </c>
      <c r="P60" s="15">
        <f t="shared" si="14"/>
        <v>239.54000000000011</v>
      </c>
      <c r="Q60" s="15">
        <f t="shared" si="10"/>
        <v>384.54000000000008</v>
      </c>
      <c r="R60" s="12">
        <f t="shared" si="11"/>
        <v>0</v>
      </c>
      <c r="S60" s="12">
        <f t="shared" si="12"/>
        <v>0</v>
      </c>
      <c r="T60" s="12">
        <f t="shared" si="13"/>
        <v>0</v>
      </c>
    </row>
    <row r="61" spans="13:20" ht="15" customHeight="1" x14ac:dyDescent="0.35">
      <c r="M61" s="12">
        <v>60</v>
      </c>
      <c r="N61" s="12" t="str">
        <f t="shared" si="8"/>
        <v>B</v>
      </c>
      <c r="O61" s="14">
        <f t="shared" si="9"/>
        <v>4.0599999999999996</v>
      </c>
      <c r="P61" s="15">
        <f t="shared" si="14"/>
        <v>243.60000000000011</v>
      </c>
      <c r="Q61" s="15">
        <f t="shared" si="10"/>
        <v>391.10000000000014</v>
      </c>
      <c r="R61" s="12">
        <f t="shared" si="11"/>
        <v>0</v>
      </c>
      <c r="S61" s="12">
        <f t="shared" si="12"/>
        <v>0</v>
      </c>
      <c r="T61" s="12">
        <f t="shared" si="13"/>
        <v>0</v>
      </c>
    </row>
    <row r="62" spans="13:20" ht="15" customHeight="1" x14ac:dyDescent="0.35">
      <c r="M62" s="12">
        <v>61</v>
      </c>
      <c r="N62" s="12" t="str">
        <f t="shared" si="8"/>
        <v>B</v>
      </c>
      <c r="O62" s="14">
        <f t="shared" si="9"/>
        <v>4.0599999999999996</v>
      </c>
      <c r="P62" s="15">
        <f t="shared" si="14"/>
        <v>247.66000000000011</v>
      </c>
      <c r="Q62" s="15">
        <f t="shared" si="10"/>
        <v>397.66000000000008</v>
      </c>
      <c r="R62" s="12">
        <f t="shared" si="11"/>
        <v>0</v>
      </c>
      <c r="S62" s="12">
        <f t="shared" si="12"/>
        <v>0</v>
      </c>
      <c r="T62" s="12">
        <f t="shared" si="13"/>
        <v>0</v>
      </c>
    </row>
    <row r="63" spans="13:20" ht="15" customHeight="1" x14ac:dyDescent="0.35">
      <c r="M63" s="12">
        <v>62</v>
      </c>
      <c r="N63" s="12" t="str">
        <f t="shared" si="8"/>
        <v>B</v>
      </c>
      <c r="O63" s="14">
        <f t="shared" si="9"/>
        <v>4.0599999999999996</v>
      </c>
      <c r="P63" s="15">
        <f t="shared" si="14"/>
        <v>251.72000000000011</v>
      </c>
      <c r="Q63" s="15">
        <f t="shared" si="10"/>
        <v>404.22000000000014</v>
      </c>
      <c r="R63" s="12">
        <f t="shared" si="11"/>
        <v>0</v>
      </c>
      <c r="S63" s="12">
        <f t="shared" si="12"/>
        <v>0</v>
      </c>
      <c r="T63" s="12">
        <f t="shared" si="13"/>
        <v>0</v>
      </c>
    </row>
    <row r="64" spans="13:20" ht="15" customHeight="1" x14ac:dyDescent="0.35">
      <c r="M64" s="12">
        <v>63</v>
      </c>
      <c r="N64" s="12" t="str">
        <f t="shared" si="8"/>
        <v>B</v>
      </c>
      <c r="O64" s="14">
        <f t="shared" si="9"/>
        <v>4.0599999999999996</v>
      </c>
      <c r="P64" s="15">
        <f t="shared" si="14"/>
        <v>255.78000000000011</v>
      </c>
      <c r="Q64" s="15">
        <f t="shared" si="10"/>
        <v>410.78000000000009</v>
      </c>
      <c r="R64" s="12">
        <f t="shared" si="11"/>
        <v>0</v>
      </c>
      <c r="S64" s="12">
        <f t="shared" si="12"/>
        <v>0</v>
      </c>
      <c r="T64" s="12">
        <f t="shared" si="13"/>
        <v>0</v>
      </c>
    </row>
    <row r="65" spans="13:20" ht="15" customHeight="1" x14ac:dyDescent="0.35">
      <c r="M65" s="12">
        <v>64</v>
      </c>
      <c r="N65" s="12" t="str">
        <f t="shared" si="8"/>
        <v>B</v>
      </c>
      <c r="O65" s="14">
        <f t="shared" si="9"/>
        <v>4.0599999999999996</v>
      </c>
      <c r="P65" s="15">
        <f t="shared" si="14"/>
        <v>259.84000000000009</v>
      </c>
      <c r="Q65" s="15">
        <f t="shared" si="10"/>
        <v>417.34000000000009</v>
      </c>
      <c r="R65" s="12">
        <f t="shared" si="11"/>
        <v>0</v>
      </c>
      <c r="S65" s="12">
        <f t="shared" si="12"/>
        <v>0</v>
      </c>
      <c r="T65" s="12">
        <f t="shared" si="13"/>
        <v>0</v>
      </c>
    </row>
    <row r="66" spans="13:20" ht="15" customHeight="1" x14ac:dyDescent="0.35">
      <c r="M66" s="12">
        <v>65</v>
      </c>
      <c r="N66" s="12" t="str">
        <f t="shared" ref="N66:N97" si="15">IF(MOD(M66-1,$B$4+$B$7)&lt;$B$4,"A","B")</f>
        <v>A</v>
      </c>
      <c r="O66" s="14">
        <f t="shared" ref="O66:O97" si="16">IF(N66="A",$E$3,$E$4)</f>
        <v>4.0599999999999996</v>
      </c>
      <c r="P66" s="15">
        <f t="shared" si="14"/>
        <v>263.90000000000009</v>
      </c>
      <c r="Q66" s="15">
        <f t="shared" ref="Q66:Q97" si="17">P66+(M66-1)*$B$8</f>
        <v>423.90000000000009</v>
      </c>
      <c r="R66" s="12">
        <f t="shared" ref="R66:R97" si="18">IF(AND(Q66&lt;=$B$9,N66="A"),1,0)</f>
        <v>0</v>
      </c>
      <c r="S66" s="12">
        <f t="shared" ref="S66:S97" si="19">IF(AND(Q66&lt;=$B$9,N66="B"),1,0)</f>
        <v>0</v>
      </c>
      <c r="T66" s="12">
        <f t="shared" ref="T66:T97" si="20">IF(Q66&lt;=$B$9,1,0)</f>
        <v>0</v>
      </c>
    </row>
    <row r="67" spans="13:20" ht="15" customHeight="1" x14ac:dyDescent="0.35">
      <c r="M67" s="12">
        <v>66</v>
      </c>
      <c r="N67" s="12" t="str">
        <f t="shared" si="15"/>
        <v>A</v>
      </c>
      <c r="O67" s="14">
        <f t="shared" si="16"/>
        <v>4.0599999999999996</v>
      </c>
      <c r="P67" s="15">
        <f t="shared" ref="P67:P98" si="21">P66+O67</f>
        <v>267.96000000000009</v>
      </c>
      <c r="Q67" s="15">
        <f t="shared" si="17"/>
        <v>430.46000000000009</v>
      </c>
      <c r="R67" s="12">
        <f t="shared" si="18"/>
        <v>0</v>
      </c>
      <c r="S67" s="12">
        <f t="shared" si="19"/>
        <v>0</v>
      </c>
      <c r="T67" s="12">
        <f t="shared" si="20"/>
        <v>0</v>
      </c>
    </row>
    <row r="68" spans="13:20" ht="15" customHeight="1" x14ac:dyDescent="0.35">
      <c r="M68" s="12">
        <v>67</v>
      </c>
      <c r="N68" s="12" t="str">
        <f t="shared" si="15"/>
        <v>A</v>
      </c>
      <c r="O68" s="14">
        <f t="shared" si="16"/>
        <v>4.0599999999999996</v>
      </c>
      <c r="P68" s="15">
        <f t="shared" si="21"/>
        <v>272.0200000000001</v>
      </c>
      <c r="Q68" s="15">
        <f t="shared" si="17"/>
        <v>437.0200000000001</v>
      </c>
      <c r="R68" s="12">
        <f t="shared" si="18"/>
        <v>0</v>
      </c>
      <c r="S68" s="12">
        <f t="shared" si="19"/>
        <v>0</v>
      </c>
      <c r="T68" s="12">
        <f t="shared" si="20"/>
        <v>0</v>
      </c>
    </row>
    <row r="69" spans="13:20" ht="15" customHeight="1" x14ac:dyDescent="0.35">
      <c r="M69" s="12">
        <v>68</v>
      </c>
      <c r="N69" s="12" t="str">
        <f t="shared" si="15"/>
        <v>B</v>
      </c>
      <c r="O69" s="14">
        <f t="shared" si="16"/>
        <v>4.0599999999999996</v>
      </c>
      <c r="P69" s="15">
        <f t="shared" si="21"/>
        <v>276.0800000000001</v>
      </c>
      <c r="Q69" s="15">
        <f t="shared" si="17"/>
        <v>443.5800000000001</v>
      </c>
      <c r="R69" s="12">
        <f t="shared" si="18"/>
        <v>0</v>
      </c>
      <c r="S69" s="12">
        <f t="shared" si="19"/>
        <v>0</v>
      </c>
      <c r="T69" s="12">
        <f t="shared" si="20"/>
        <v>0</v>
      </c>
    </row>
    <row r="70" spans="13:20" ht="15" customHeight="1" x14ac:dyDescent="0.35">
      <c r="M70" s="12">
        <v>69</v>
      </c>
      <c r="N70" s="12" t="str">
        <f t="shared" si="15"/>
        <v>B</v>
      </c>
      <c r="O70" s="14">
        <f t="shared" si="16"/>
        <v>4.0599999999999996</v>
      </c>
      <c r="P70" s="15">
        <f t="shared" si="21"/>
        <v>280.1400000000001</v>
      </c>
      <c r="Q70" s="15">
        <f t="shared" si="17"/>
        <v>450.1400000000001</v>
      </c>
      <c r="R70" s="12">
        <f t="shared" si="18"/>
        <v>0</v>
      </c>
      <c r="S70" s="12">
        <f t="shared" si="19"/>
        <v>0</v>
      </c>
      <c r="T70" s="12">
        <f t="shared" si="20"/>
        <v>0</v>
      </c>
    </row>
    <row r="71" spans="13:20" ht="15" customHeight="1" x14ac:dyDescent="0.35">
      <c r="M71" s="12">
        <v>70</v>
      </c>
      <c r="N71" s="12" t="str">
        <f t="shared" si="15"/>
        <v>B</v>
      </c>
      <c r="O71" s="14">
        <f t="shared" si="16"/>
        <v>4.0599999999999996</v>
      </c>
      <c r="P71" s="15">
        <f t="shared" si="21"/>
        <v>284.2000000000001</v>
      </c>
      <c r="Q71" s="15">
        <f t="shared" si="17"/>
        <v>456.7000000000001</v>
      </c>
      <c r="R71" s="12">
        <f t="shared" si="18"/>
        <v>0</v>
      </c>
      <c r="S71" s="12">
        <f t="shared" si="19"/>
        <v>0</v>
      </c>
      <c r="T71" s="12">
        <f t="shared" si="20"/>
        <v>0</v>
      </c>
    </row>
    <row r="72" spans="13:20" ht="15" customHeight="1" x14ac:dyDescent="0.35">
      <c r="M72" s="12">
        <v>71</v>
      </c>
      <c r="N72" s="12" t="str">
        <f t="shared" si="15"/>
        <v>B</v>
      </c>
      <c r="O72" s="14">
        <f t="shared" si="16"/>
        <v>4.0599999999999996</v>
      </c>
      <c r="P72" s="15">
        <f t="shared" si="21"/>
        <v>288.2600000000001</v>
      </c>
      <c r="Q72" s="15">
        <f t="shared" si="17"/>
        <v>463.2600000000001</v>
      </c>
      <c r="R72" s="12">
        <f t="shared" si="18"/>
        <v>0</v>
      </c>
      <c r="S72" s="12">
        <f t="shared" si="19"/>
        <v>0</v>
      </c>
      <c r="T72" s="12">
        <f t="shared" si="20"/>
        <v>0</v>
      </c>
    </row>
    <row r="73" spans="13:20" ht="15" customHeight="1" x14ac:dyDescent="0.35">
      <c r="M73" s="12">
        <v>72</v>
      </c>
      <c r="N73" s="12" t="str">
        <f t="shared" si="15"/>
        <v>B</v>
      </c>
      <c r="O73" s="14">
        <f t="shared" si="16"/>
        <v>4.0599999999999996</v>
      </c>
      <c r="P73" s="15">
        <f t="shared" si="21"/>
        <v>292.32000000000011</v>
      </c>
      <c r="Q73" s="15">
        <f t="shared" si="17"/>
        <v>469.82000000000011</v>
      </c>
      <c r="R73" s="12">
        <f t="shared" si="18"/>
        <v>0</v>
      </c>
      <c r="S73" s="12">
        <f t="shared" si="19"/>
        <v>0</v>
      </c>
      <c r="T73" s="12">
        <f t="shared" si="20"/>
        <v>0</v>
      </c>
    </row>
    <row r="74" spans="13:20" ht="15" customHeight="1" x14ac:dyDescent="0.35">
      <c r="M74" s="12">
        <v>73</v>
      </c>
      <c r="N74" s="12" t="str">
        <f t="shared" si="15"/>
        <v>A</v>
      </c>
      <c r="O74" s="14">
        <f t="shared" si="16"/>
        <v>4.0599999999999996</v>
      </c>
      <c r="P74" s="15">
        <f t="shared" si="21"/>
        <v>296.38000000000011</v>
      </c>
      <c r="Q74" s="15">
        <f t="shared" si="17"/>
        <v>476.38000000000011</v>
      </c>
      <c r="R74" s="12">
        <f t="shared" si="18"/>
        <v>0</v>
      </c>
      <c r="S74" s="12">
        <f t="shared" si="19"/>
        <v>0</v>
      </c>
      <c r="T74" s="12">
        <f t="shared" si="20"/>
        <v>0</v>
      </c>
    </row>
    <row r="75" spans="13:20" ht="15" customHeight="1" x14ac:dyDescent="0.35">
      <c r="M75" s="12">
        <v>74</v>
      </c>
      <c r="N75" s="12" t="str">
        <f t="shared" si="15"/>
        <v>A</v>
      </c>
      <c r="O75" s="14">
        <f t="shared" si="16"/>
        <v>4.0599999999999996</v>
      </c>
      <c r="P75" s="15">
        <f t="shared" si="21"/>
        <v>300.44000000000011</v>
      </c>
      <c r="Q75" s="15">
        <f t="shared" si="17"/>
        <v>482.94000000000011</v>
      </c>
      <c r="R75" s="12">
        <f t="shared" si="18"/>
        <v>0</v>
      </c>
      <c r="S75" s="12">
        <f t="shared" si="19"/>
        <v>0</v>
      </c>
      <c r="T75" s="12">
        <f t="shared" si="20"/>
        <v>0</v>
      </c>
    </row>
    <row r="76" spans="13:20" ht="15" customHeight="1" x14ac:dyDescent="0.35">
      <c r="M76" s="12">
        <v>75</v>
      </c>
      <c r="N76" s="12" t="str">
        <f t="shared" si="15"/>
        <v>A</v>
      </c>
      <c r="O76" s="14">
        <f t="shared" si="16"/>
        <v>4.0599999999999996</v>
      </c>
      <c r="P76" s="15">
        <f t="shared" si="21"/>
        <v>304.50000000000011</v>
      </c>
      <c r="Q76" s="15">
        <f t="shared" si="17"/>
        <v>489.50000000000011</v>
      </c>
      <c r="R76" s="12">
        <f t="shared" si="18"/>
        <v>0</v>
      </c>
      <c r="S76" s="12">
        <f t="shared" si="19"/>
        <v>0</v>
      </c>
      <c r="T76" s="12">
        <f t="shared" si="20"/>
        <v>0</v>
      </c>
    </row>
    <row r="77" spans="13:20" ht="15" customHeight="1" x14ac:dyDescent="0.35">
      <c r="M77" s="12">
        <v>76</v>
      </c>
      <c r="N77" s="12" t="str">
        <f t="shared" si="15"/>
        <v>B</v>
      </c>
      <c r="O77" s="14">
        <f t="shared" si="16"/>
        <v>4.0599999999999996</v>
      </c>
      <c r="P77" s="15">
        <f t="shared" si="21"/>
        <v>308.56000000000012</v>
      </c>
      <c r="Q77" s="15">
        <f t="shared" si="17"/>
        <v>496.06000000000012</v>
      </c>
      <c r="R77" s="12">
        <f t="shared" si="18"/>
        <v>0</v>
      </c>
      <c r="S77" s="12">
        <f t="shared" si="19"/>
        <v>0</v>
      </c>
      <c r="T77" s="12">
        <f t="shared" si="20"/>
        <v>0</v>
      </c>
    </row>
    <row r="78" spans="13:20" ht="15" customHeight="1" x14ac:dyDescent="0.35">
      <c r="M78" s="12">
        <v>77</v>
      </c>
      <c r="N78" s="12" t="str">
        <f t="shared" si="15"/>
        <v>B</v>
      </c>
      <c r="O78" s="14">
        <f t="shared" si="16"/>
        <v>4.0599999999999996</v>
      </c>
      <c r="P78" s="15">
        <f t="shared" si="21"/>
        <v>312.62000000000012</v>
      </c>
      <c r="Q78" s="15">
        <f t="shared" si="17"/>
        <v>502.62000000000012</v>
      </c>
      <c r="R78" s="12">
        <f t="shared" si="18"/>
        <v>0</v>
      </c>
      <c r="S78" s="12">
        <f t="shared" si="19"/>
        <v>0</v>
      </c>
      <c r="T78" s="12">
        <f t="shared" si="20"/>
        <v>0</v>
      </c>
    </row>
    <row r="79" spans="13:20" ht="15" customHeight="1" x14ac:dyDescent="0.35">
      <c r="M79" s="12">
        <v>78</v>
      </c>
      <c r="N79" s="12" t="str">
        <f t="shared" si="15"/>
        <v>B</v>
      </c>
      <c r="O79" s="14">
        <f t="shared" si="16"/>
        <v>4.0599999999999996</v>
      </c>
      <c r="P79" s="15">
        <f t="shared" si="21"/>
        <v>316.68000000000012</v>
      </c>
      <c r="Q79" s="15">
        <f t="shared" si="17"/>
        <v>509.18000000000012</v>
      </c>
      <c r="R79" s="12">
        <f t="shared" si="18"/>
        <v>0</v>
      </c>
      <c r="S79" s="12">
        <f t="shared" si="19"/>
        <v>0</v>
      </c>
      <c r="T79" s="12">
        <f t="shared" si="20"/>
        <v>0</v>
      </c>
    </row>
    <row r="80" spans="13:20" ht="15" customHeight="1" x14ac:dyDescent="0.35">
      <c r="M80" s="12">
        <v>79</v>
      </c>
      <c r="N80" s="12" t="str">
        <f t="shared" si="15"/>
        <v>B</v>
      </c>
      <c r="O80" s="14">
        <f t="shared" si="16"/>
        <v>4.0599999999999996</v>
      </c>
      <c r="P80" s="15">
        <f t="shared" si="21"/>
        <v>320.74000000000012</v>
      </c>
      <c r="Q80" s="15">
        <f t="shared" si="17"/>
        <v>515.74000000000012</v>
      </c>
      <c r="R80" s="12">
        <f t="shared" si="18"/>
        <v>0</v>
      </c>
      <c r="S80" s="12">
        <f t="shared" si="19"/>
        <v>0</v>
      </c>
      <c r="T80" s="12">
        <f t="shared" si="20"/>
        <v>0</v>
      </c>
    </row>
    <row r="81" spans="13:20" ht="15" customHeight="1" x14ac:dyDescent="0.35">
      <c r="M81" s="12">
        <v>80</v>
      </c>
      <c r="N81" s="12" t="str">
        <f t="shared" si="15"/>
        <v>B</v>
      </c>
      <c r="O81" s="14">
        <f t="shared" si="16"/>
        <v>4.0599999999999996</v>
      </c>
      <c r="P81" s="15">
        <f t="shared" si="21"/>
        <v>324.80000000000013</v>
      </c>
      <c r="Q81" s="15">
        <f t="shared" si="17"/>
        <v>522.30000000000018</v>
      </c>
      <c r="R81" s="12">
        <f t="shared" si="18"/>
        <v>0</v>
      </c>
      <c r="S81" s="12">
        <f t="shared" si="19"/>
        <v>0</v>
      </c>
      <c r="T81" s="12">
        <f t="shared" si="20"/>
        <v>0</v>
      </c>
    </row>
    <row r="82" spans="13:20" ht="15" customHeight="1" x14ac:dyDescent="0.35">
      <c r="M82" s="12">
        <v>81</v>
      </c>
      <c r="N82" s="12" t="str">
        <f t="shared" si="15"/>
        <v>A</v>
      </c>
      <c r="O82" s="14">
        <f t="shared" si="16"/>
        <v>4.0599999999999996</v>
      </c>
      <c r="P82" s="15">
        <f t="shared" si="21"/>
        <v>328.86000000000013</v>
      </c>
      <c r="Q82" s="15">
        <f t="shared" si="17"/>
        <v>528.86000000000013</v>
      </c>
      <c r="R82" s="12">
        <f t="shared" si="18"/>
        <v>0</v>
      </c>
      <c r="S82" s="12">
        <f t="shared" si="19"/>
        <v>0</v>
      </c>
      <c r="T82" s="12">
        <f t="shared" si="20"/>
        <v>0</v>
      </c>
    </row>
    <row r="83" spans="13:20" ht="15" customHeight="1" x14ac:dyDescent="0.35">
      <c r="M83" s="12">
        <v>82</v>
      </c>
      <c r="N83" s="12" t="str">
        <f t="shared" si="15"/>
        <v>A</v>
      </c>
      <c r="O83" s="14">
        <f t="shared" si="16"/>
        <v>4.0599999999999996</v>
      </c>
      <c r="P83" s="15">
        <f t="shared" si="21"/>
        <v>332.92000000000013</v>
      </c>
      <c r="Q83" s="15">
        <f t="shared" si="17"/>
        <v>535.42000000000007</v>
      </c>
      <c r="R83" s="12">
        <f t="shared" si="18"/>
        <v>0</v>
      </c>
      <c r="S83" s="12">
        <f t="shared" si="19"/>
        <v>0</v>
      </c>
      <c r="T83" s="12">
        <f t="shared" si="20"/>
        <v>0</v>
      </c>
    </row>
    <row r="84" spans="13:20" ht="15" customHeight="1" x14ac:dyDescent="0.35">
      <c r="M84" s="12">
        <v>83</v>
      </c>
      <c r="N84" s="12" t="str">
        <f t="shared" si="15"/>
        <v>A</v>
      </c>
      <c r="O84" s="14">
        <f t="shared" si="16"/>
        <v>4.0599999999999996</v>
      </c>
      <c r="P84" s="15">
        <f t="shared" si="21"/>
        <v>336.98000000000013</v>
      </c>
      <c r="Q84" s="15">
        <f t="shared" si="17"/>
        <v>541.98000000000013</v>
      </c>
      <c r="R84" s="12">
        <f t="shared" si="18"/>
        <v>0</v>
      </c>
      <c r="S84" s="12">
        <f t="shared" si="19"/>
        <v>0</v>
      </c>
      <c r="T84" s="12">
        <f t="shared" si="20"/>
        <v>0</v>
      </c>
    </row>
    <row r="85" spans="13:20" ht="15" customHeight="1" x14ac:dyDescent="0.35">
      <c r="M85" s="12">
        <v>84</v>
      </c>
      <c r="N85" s="12" t="str">
        <f t="shared" si="15"/>
        <v>B</v>
      </c>
      <c r="O85" s="14">
        <f t="shared" si="16"/>
        <v>4.0599999999999996</v>
      </c>
      <c r="P85" s="15">
        <f t="shared" si="21"/>
        <v>341.04000000000013</v>
      </c>
      <c r="Q85" s="15">
        <f t="shared" si="17"/>
        <v>548.54000000000019</v>
      </c>
      <c r="R85" s="12">
        <f t="shared" si="18"/>
        <v>0</v>
      </c>
      <c r="S85" s="12">
        <f t="shared" si="19"/>
        <v>0</v>
      </c>
      <c r="T85" s="12">
        <f t="shared" si="20"/>
        <v>0</v>
      </c>
    </row>
    <row r="86" spans="13:20" ht="15" customHeight="1" x14ac:dyDescent="0.35">
      <c r="M86" s="12">
        <v>85</v>
      </c>
      <c r="N86" s="12" t="str">
        <f t="shared" si="15"/>
        <v>B</v>
      </c>
      <c r="O86" s="14">
        <f t="shared" si="16"/>
        <v>4.0599999999999996</v>
      </c>
      <c r="P86" s="15">
        <f t="shared" si="21"/>
        <v>345.10000000000014</v>
      </c>
      <c r="Q86" s="15">
        <f t="shared" si="17"/>
        <v>555.10000000000014</v>
      </c>
      <c r="R86" s="12">
        <f t="shared" si="18"/>
        <v>0</v>
      </c>
      <c r="S86" s="12">
        <f t="shared" si="19"/>
        <v>0</v>
      </c>
      <c r="T86" s="12">
        <f t="shared" si="20"/>
        <v>0</v>
      </c>
    </row>
    <row r="87" spans="13:20" ht="15" customHeight="1" x14ac:dyDescent="0.35">
      <c r="M87" s="12">
        <v>86</v>
      </c>
      <c r="N87" s="12" t="str">
        <f t="shared" si="15"/>
        <v>B</v>
      </c>
      <c r="O87" s="14">
        <f t="shared" si="16"/>
        <v>4.0599999999999996</v>
      </c>
      <c r="P87" s="15">
        <f t="shared" si="21"/>
        <v>349.16000000000014</v>
      </c>
      <c r="Q87" s="15">
        <f t="shared" si="17"/>
        <v>561.66000000000008</v>
      </c>
      <c r="R87" s="12">
        <f t="shared" si="18"/>
        <v>0</v>
      </c>
      <c r="S87" s="12">
        <f t="shared" si="19"/>
        <v>0</v>
      </c>
      <c r="T87" s="12">
        <f t="shared" si="20"/>
        <v>0</v>
      </c>
    </row>
    <row r="88" spans="13:20" ht="15" customHeight="1" x14ac:dyDescent="0.35">
      <c r="M88" s="12">
        <v>87</v>
      </c>
      <c r="N88" s="12" t="str">
        <f t="shared" si="15"/>
        <v>B</v>
      </c>
      <c r="O88" s="14">
        <f t="shared" si="16"/>
        <v>4.0599999999999996</v>
      </c>
      <c r="P88" s="15">
        <f t="shared" si="21"/>
        <v>353.22000000000014</v>
      </c>
      <c r="Q88" s="15">
        <f t="shared" si="17"/>
        <v>568.22000000000014</v>
      </c>
      <c r="R88" s="12">
        <f t="shared" si="18"/>
        <v>0</v>
      </c>
      <c r="S88" s="12">
        <f t="shared" si="19"/>
        <v>0</v>
      </c>
      <c r="T88" s="12">
        <f t="shared" si="20"/>
        <v>0</v>
      </c>
    </row>
    <row r="89" spans="13:20" ht="15" customHeight="1" x14ac:dyDescent="0.35">
      <c r="M89" s="12">
        <v>88</v>
      </c>
      <c r="N89" s="12" t="str">
        <f t="shared" si="15"/>
        <v>B</v>
      </c>
      <c r="O89" s="14">
        <f t="shared" si="16"/>
        <v>4.0599999999999996</v>
      </c>
      <c r="P89" s="15">
        <f t="shared" si="21"/>
        <v>357.28000000000014</v>
      </c>
      <c r="Q89" s="15">
        <f t="shared" si="17"/>
        <v>574.7800000000002</v>
      </c>
      <c r="R89" s="12">
        <f t="shared" si="18"/>
        <v>0</v>
      </c>
      <c r="S89" s="12">
        <f t="shared" si="19"/>
        <v>0</v>
      </c>
      <c r="T89" s="12">
        <f t="shared" si="20"/>
        <v>0</v>
      </c>
    </row>
    <row r="90" spans="13:20" ht="15" customHeight="1" x14ac:dyDescent="0.35">
      <c r="M90" s="12">
        <v>89</v>
      </c>
      <c r="N90" s="12" t="str">
        <f t="shared" si="15"/>
        <v>A</v>
      </c>
      <c r="O90" s="14">
        <f t="shared" si="16"/>
        <v>4.0599999999999996</v>
      </c>
      <c r="P90" s="15">
        <f t="shared" si="21"/>
        <v>361.34000000000015</v>
      </c>
      <c r="Q90" s="15">
        <f t="shared" si="17"/>
        <v>581.34000000000015</v>
      </c>
      <c r="R90" s="12">
        <f t="shared" si="18"/>
        <v>0</v>
      </c>
      <c r="S90" s="12">
        <f t="shared" si="19"/>
        <v>0</v>
      </c>
      <c r="T90" s="12">
        <f t="shared" si="20"/>
        <v>0</v>
      </c>
    </row>
    <row r="91" spans="13:20" ht="15" customHeight="1" x14ac:dyDescent="0.35">
      <c r="M91" s="12">
        <v>90</v>
      </c>
      <c r="N91" s="12" t="str">
        <f t="shared" si="15"/>
        <v>A</v>
      </c>
      <c r="O91" s="14">
        <f t="shared" si="16"/>
        <v>4.0599999999999996</v>
      </c>
      <c r="P91" s="15">
        <f t="shared" si="21"/>
        <v>365.40000000000015</v>
      </c>
      <c r="Q91" s="15">
        <f t="shared" si="17"/>
        <v>587.90000000000009</v>
      </c>
      <c r="R91" s="12">
        <f t="shared" si="18"/>
        <v>0</v>
      </c>
      <c r="S91" s="12">
        <f t="shared" si="19"/>
        <v>0</v>
      </c>
      <c r="T91" s="12">
        <f t="shared" si="20"/>
        <v>0</v>
      </c>
    </row>
    <row r="92" spans="13:20" ht="15" customHeight="1" x14ac:dyDescent="0.35">
      <c r="M92" s="12">
        <v>91</v>
      </c>
      <c r="N92" s="12" t="str">
        <f t="shared" si="15"/>
        <v>A</v>
      </c>
      <c r="O92" s="14">
        <f t="shared" si="16"/>
        <v>4.0599999999999996</v>
      </c>
      <c r="P92" s="15">
        <f t="shared" si="21"/>
        <v>369.46000000000015</v>
      </c>
      <c r="Q92" s="15">
        <f t="shared" si="17"/>
        <v>594.46000000000015</v>
      </c>
      <c r="R92" s="12">
        <f t="shared" si="18"/>
        <v>0</v>
      </c>
      <c r="S92" s="12">
        <f t="shared" si="19"/>
        <v>0</v>
      </c>
      <c r="T92" s="12">
        <f t="shared" si="20"/>
        <v>0</v>
      </c>
    </row>
    <row r="93" spans="13:20" ht="15" customHeight="1" x14ac:dyDescent="0.35">
      <c r="M93" s="12">
        <v>92</v>
      </c>
      <c r="N93" s="12" t="str">
        <f t="shared" si="15"/>
        <v>B</v>
      </c>
      <c r="O93" s="14">
        <f t="shared" si="16"/>
        <v>4.0599999999999996</v>
      </c>
      <c r="P93" s="15">
        <f t="shared" si="21"/>
        <v>373.52000000000015</v>
      </c>
      <c r="Q93" s="15">
        <f t="shared" si="17"/>
        <v>601.02000000000021</v>
      </c>
      <c r="R93" s="12">
        <f t="shared" si="18"/>
        <v>0</v>
      </c>
      <c r="S93" s="12">
        <f t="shared" si="19"/>
        <v>0</v>
      </c>
      <c r="T93" s="12">
        <f t="shared" si="20"/>
        <v>0</v>
      </c>
    </row>
    <row r="94" spans="13:20" ht="15" customHeight="1" x14ac:dyDescent="0.35">
      <c r="M94" s="12">
        <v>93</v>
      </c>
      <c r="N94" s="12" t="str">
        <f t="shared" si="15"/>
        <v>B</v>
      </c>
      <c r="O94" s="14">
        <f t="shared" si="16"/>
        <v>4.0599999999999996</v>
      </c>
      <c r="P94" s="15">
        <f t="shared" si="21"/>
        <v>377.58000000000015</v>
      </c>
      <c r="Q94" s="15">
        <f t="shared" si="17"/>
        <v>607.58000000000015</v>
      </c>
      <c r="R94" s="12">
        <f t="shared" si="18"/>
        <v>0</v>
      </c>
      <c r="S94" s="12">
        <f t="shared" si="19"/>
        <v>0</v>
      </c>
      <c r="T94" s="12">
        <f t="shared" si="20"/>
        <v>0</v>
      </c>
    </row>
    <row r="95" spans="13:20" ht="15" customHeight="1" x14ac:dyDescent="0.35">
      <c r="M95" s="12">
        <v>94</v>
      </c>
      <c r="N95" s="12" t="str">
        <f t="shared" si="15"/>
        <v>B</v>
      </c>
      <c r="O95" s="14">
        <f t="shared" si="16"/>
        <v>4.0599999999999996</v>
      </c>
      <c r="P95" s="15">
        <f t="shared" si="21"/>
        <v>381.64000000000016</v>
      </c>
      <c r="Q95" s="15">
        <f t="shared" si="17"/>
        <v>614.1400000000001</v>
      </c>
      <c r="R95" s="12">
        <f t="shared" si="18"/>
        <v>0</v>
      </c>
      <c r="S95" s="12">
        <f t="shared" si="19"/>
        <v>0</v>
      </c>
      <c r="T95" s="12">
        <f t="shared" si="20"/>
        <v>0</v>
      </c>
    </row>
    <row r="96" spans="13:20" ht="15" customHeight="1" x14ac:dyDescent="0.35">
      <c r="M96" s="12">
        <v>95</v>
      </c>
      <c r="N96" s="12" t="str">
        <f t="shared" si="15"/>
        <v>B</v>
      </c>
      <c r="O96" s="14">
        <f t="shared" si="16"/>
        <v>4.0599999999999996</v>
      </c>
      <c r="P96" s="15">
        <f t="shared" si="21"/>
        <v>385.70000000000016</v>
      </c>
      <c r="Q96" s="15">
        <f t="shared" si="17"/>
        <v>620.70000000000016</v>
      </c>
      <c r="R96" s="12">
        <f t="shared" si="18"/>
        <v>0</v>
      </c>
      <c r="S96" s="12">
        <f t="shared" si="19"/>
        <v>0</v>
      </c>
      <c r="T96" s="12">
        <f t="shared" si="20"/>
        <v>0</v>
      </c>
    </row>
    <row r="97" spans="13:20" ht="15" customHeight="1" x14ac:dyDescent="0.35">
      <c r="M97" s="12">
        <v>96</v>
      </c>
      <c r="N97" s="12" t="str">
        <f t="shared" si="15"/>
        <v>B</v>
      </c>
      <c r="O97" s="14">
        <f t="shared" si="16"/>
        <v>4.0599999999999996</v>
      </c>
      <c r="P97" s="15">
        <f t="shared" si="21"/>
        <v>389.76000000000016</v>
      </c>
      <c r="Q97" s="15">
        <f t="shared" si="17"/>
        <v>627.26000000000022</v>
      </c>
      <c r="R97" s="12">
        <f t="shared" si="18"/>
        <v>0</v>
      </c>
      <c r="S97" s="12">
        <f t="shared" si="19"/>
        <v>0</v>
      </c>
      <c r="T97" s="12">
        <f t="shared" si="20"/>
        <v>0</v>
      </c>
    </row>
    <row r="98" spans="13:20" ht="15" customHeight="1" x14ac:dyDescent="0.35">
      <c r="M98" s="12">
        <v>97</v>
      </c>
      <c r="N98" s="12" t="str">
        <f t="shared" ref="N98:N129" si="22">IF(MOD(M98-1,$B$4+$B$7)&lt;$B$4,"A","B")</f>
        <v>A</v>
      </c>
      <c r="O98" s="14">
        <f t="shared" ref="O98:O129" si="23">IF(N98="A",$E$3,$E$4)</f>
        <v>4.0599999999999996</v>
      </c>
      <c r="P98" s="15">
        <f t="shared" si="21"/>
        <v>393.82000000000016</v>
      </c>
      <c r="Q98" s="15">
        <f t="shared" ref="Q98:Q129" si="24">P98+(M98-1)*$B$8</f>
        <v>633.82000000000016</v>
      </c>
      <c r="R98" s="12">
        <f t="shared" ref="R98:R129" si="25">IF(AND(Q98&lt;=$B$9,N98="A"),1,0)</f>
        <v>0</v>
      </c>
      <c r="S98" s="12">
        <f t="shared" ref="S98:S129" si="26">IF(AND(Q98&lt;=$B$9,N98="B"),1,0)</f>
        <v>0</v>
      </c>
      <c r="T98" s="12">
        <f t="shared" ref="T98:T129" si="27">IF(Q98&lt;=$B$9,1,0)</f>
        <v>0</v>
      </c>
    </row>
    <row r="99" spans="13:20" ht="15" customHeight="1" x14ac:dyDescent="0.35">
      <c r="M99" s="12">
        <v>98</v>
      </c>
      <c r="N99" s="12" t="str">
        <f t="shared" si="22"/>
        <v>A</v>
      </c>
      <c r="O99" s="14">
        <f t="shared" si="23"/>
        <v>4.0599999999999996</v>
      </c>
      <c r="P99" s="15">
        <f t="shared" ref="P99:P130" si="28">P98+O99</f>
        <v>397.88000000000017</v>
      </c>
      <c r="Q99" s="15">
        <f t="shared" si="24"/>
        <v>640.38000000000011</v>
      </c>
      <c r="R99" s="12">
        <f t="shared" si="25"/>
        <v>0</v>
      </c>
      <c r="S99" s="12">
        <f t="shared" si="26"/>
        <v>0</v>
      </c>
      <c r="T99" s="12">
        <f t="shared" si="27"/>
        <v>0</v>
      </c>
    </row>
    <row r="100" spans="13:20" ht="15" customHeight="1" x14ac:dyDescent="0.35">
      <c r="M100" s="12">
        <v>99</v>
      </c>
      <c r="N100" s="12" t="str">
        <f t="shared" si="22"/>
        <v>A</v>
      </c>
      <c r="O100" s="14">
        <f t="shared" si="23"/>
        <v>4.0599999999999996</v>
      </c>
      <c r="P100" s="15">
        <f t="shared" si="28"/>
        <v>401.94000000000017</v>
      </c>
      <c r="Q100" s="15">
        <f t="shared" si="24"/>
        <v>646.94000000000017</v>
      </c>
      <c r="R100" s="12">
        <f t="shared" si="25"/>
        <v>0</v>
      </c>
      <c r="S100" s="12">
        <f t="shared" si="26"/>
        <v>0</v>
      </c>
      <c r="T100" s="12">
        <f t="shared" si="27"/>
        <v>0</v>
      </c>
    </row>
    <row r="101" spans="13:20" ht="15" customHeight="1" x14ac:dyDescent="0.35">
      <c r="M101" s="12">
        <v>100</v>
      </c>
      <c r="N101" s="12" t="str">
        <f t="shared" si="22"/>
        <v>B</v>
      </c>
      <c r="O101" s="14">
        <f t="shared" si="23"/>
        <v>4.0599999999999996</v>
      </c>
      <c r="P101" s="15">
        <f t="shared" si="28"/>
        <v>406.00000000000017</v>
      </c>
      <c r="Q101" s="15">
        <f t="shared" si="24"/>
        <v>653.50000000000023</v>
      </c>
      <c r="R101" s="12">
        <f t="shared" si="25"/>
        <v>0</v>
      </c>
      <c r="S101" s="12">
        <f t="shared" si="26"/>
        <v>0</v>
      </c>
      <c r="T101" s="12">
        <f t="shared" si="27"/>
        <v>0</v>
      </c>
    </row>
    <row r="102" spans="13:20" ht="15" customHeight="1" x14ac:dyDescent="0.35">
      <c r="M102" s="12">
        <v>101</v>
      </c>
      <c r="N102" s="12" t="str">
        <f t="shared" si="22"/>
        <v>B</v>
      </c>
      <c r="O102" s="14">
        <f t="shared" si="23"/>
        <v>4.0599999999999996</v>
      </c>
      <c r="P102" s="15">
        <f t="shared" si="28"/>
        <v>410.06000000000017</v>
      </c>
      <c r="Q102" s="15">
        <f t="shared" si="24"/>
        <v>660.06000000000017</v>
      </c>
      <c r="R102" s="12">
        <f t="shared" si="25"/>
        <v>0</v>
      </c>
      <c r="S102" s="12">
        <f t="shared" si="26"/>
        <v>0</v>
      </c>
      <c r="T102" s="12">
        <f t="shared" si="27"/>
        <v>0</v>
      </c>
    </row>
    <row r="103" spans="13:20" ht="15" customHeight="1" x14ac:dyDescent="0.35">
      <c r="M103" s="12">
        <v>102</v>
      </c>
      <c r="N103" s="12" t="str">
        <f t="shared" si="22"/>
        <v>B</v>
      </c>
      <c r="O103" s="14">
        <f t="shared" si="23"/>
        <v>4.0599999999999996</v>
      </c>
      <c r="P103" s="15">
        <f t="shared" si="28"/>
        <v>414.12000000000018</v>
      </c>
      <c r="Q103" s="15">
        <f t="shared" si="24"/>
        <v>666.62000000000012</v>
      </c>
      <c r="R103" s="12">
        <f t="shared" si="25"/>
        <v>0</v>
      </c>
      <c r="S103" s="12">
        <f t="shared" si="26"/>
        <v>0</v>
      </c>
      <c r="T103" s="12">
        <f t="shared" si="27"/>
        <v>0</v>
      </c>
    </row>
    <row r="104" spans="13:20" ht="15" customHeight="1" x14ac:dyDescent="0.35">
      <c r="M104" s="12">
        <v>103</v>
      </c>
      <c r="N104" s="12" t="str">
        <f t="shared" si="22"/>
        <v>B</v>
      </c>
      <c r="O104" s="14">
        <f t="shared" si="23"/>
        <v>4.0599999999999996</v>
      </c>
      <c r="P104" s="15">
        <f t="shared" si="28"/>
        <v>418.18000000000018</v>
      </c>
      <c r="Q104" s="15">
        <f t="shared" si="24"/>
        <v>673.18000000000018</v>
      </c>
      <c r="R104" s="12">
        <f t="shared" si="25"/>
        <v>0</v>
      </c>
      <c r="S104" s="12">
        <f t="shared" si="26"/>
        <v>0</v>
      </c>
      <c r="T104" s="12">
        <f t="shared" si="27"/>
        <v>0</v>
      </c>
    </row>
    <row r="105" spans="13:20" ht="15" customHeight="1" x14ac:dyDescent="0.35">
      <c r="M105" s="12">
        <v>104</v>
      </c>
      <c r="N105" s="12" t="str">
        <f t="shared" si="22"/>
        <v>B</v>
      </c>
      <c r="O105" s="14">
        <f t="shared" si="23"/>
        <v>4.0599999999999996</v>
      </c>
      <c r="P105" s="15">
        <f t="shared" si="28"/>
        <v>422.24000000000018</v>
      </c>
      <c r="Q105" s="15">
        <f t="shared" si="24"/>
        <v>679.74000000000024</v>
      </c>
      <c r="R105" s="12">
        <f t="shared" si="25"/>
        <v>0</v>
      </c>
      <c r="S105" s="12">
        <f t="shared" si="26"/>
        <v>0</v>
      </c>
      <c r="T105" s="12">
        <f t="shared" si="27"/>
        <v>0</v>
      </c>
    </row>
    <row r="106" spans="13:20" ht="15" customHeight="1" x14ac:dyDescent="0.35">
      <c r="M106" s="12">
        <v>105</v>
      </c>
      <c r="N106" s="12" t="str">
        <f t="shared" si="22"/>
        <v>A</v>
      </c>
      <c r="O106" s="14">
        <f t="shared" si="23"/>
        <v>4.0599999999999996</v>
      </c>
      <c r="P106" s="15">
        <f t="shared" si="28"/>
        <v>426.30000000000018</v>
      </c>
      <c r="Q106" s="15">
        <f t="shared" si="24"/>
        <v>686.30000000000018</v>
      </c>
      <c r="R106" s="12">
        <f t="shared" si="25"/>
        <v>0</v>
      </c>
      <c r="S106" s="12">
        <f t="shared" si="26"/>
        <v>0</v>
      </c>
      <c r="T106" s="12">
        <f t="shared" si="27"/>
        <v>0</v>
      </c>
    </row>
    <row r="107" spans="13:20" ht="15" customHeight="1" x14ac:dyDescent="0.35">
      <c r="M107" s="12">
        <v>106</v>
      </c>
      <c r="N107" s="12" t="str">
        <f t="shared" si="22"/>
        <v>A</v>
      </c>
      <c r="O107" s="14">
        <f t="shared" si="23"/>
        <v>4.0599999999999996</v>
      </c>
      <c r="P107" s="15">
        <f t="shared" si="28"/>
        <v>430.36000000000018</v>
      </c>
      <c r="Q107" s="15">
        <f t="shared" si="24"/>
        <v>692.86000000000013</v>
      </c>
      <c r="R107" s="12">
        <f t="shared" si="25"/>
        <v>0</v>
      </c>
      <c r="S107" s="12">
        <f t="shared" si="26"/>
        <v>0</v>
      </c>
      <c r="T107" s="12">
        <f t="shared" si="27"/>
        <v>0</v>
      </c>
    </row>
    <row r="108" spans="13:20" ht="15" customHeight="1" x14ac:dyDescent="0.35">
      <c r="M108" s="12">
        <v>107</v>
      </c>
      <c r="N108" s="12" t="str">
        <f t="shared" si="22"/>
        <v>A</v>
      </c>
      <c r="O108" s="14">
        <f t="shared" si="23"/>
        <v>4.0599999999999996</v>
      </c>
      <c r="P108" s="15">
        <f t="shared" si="28"/>
        <v>434.42000000000019</v>
      </c>
      <c r="Q108" s="15">
        <f t="shared" si="24"/>
        <v>699.42000000000019</v>
      </c>
      <c r="R108" s="12">
        <f t="shared" si="25"/>
        <v>0</v>
      </c>
      <c r="S108" s="12">
        <f t="shared" si="26"/>
        <v>0</v>
      </c>
      <c r="T108" s="12">
        <f t="shared" si="27"/>
        <v>0</v>
      </c>
    </row>
    <row r="109" spans="13:20" ht="15" customHeight="1" x14ac:dyDescent="0.35">
      <c r="M109" s="12">
        <v>108</v>
      </c>
      <c r="N109" s="12" t="str">
        <f t="shared" si="22"/>
        <v>B</v>
      </c>
      <c r="O109" s="14">
        <f t="shared" si="23"/>
        <v>4.0599999999999996</v>
      </c>
      <c r="P109" s="15">
        <f t="shared" si="28"/>
        <v>438.48000000000019</v>
      </c>
      <c r="Q109" s="15">
        <f t="shared" si="24"/>
        <v>705.98000000000025</v>
      </c>
      <c r="R109" s="12">
        <f t="shared" si="25"/>
        <v>0</v>
      </c>
      <c r="S109" s="12">
        <f t="shared" si="26"/>
        <v>0</v>
      </c>
      <c r="T109" s="12">
        <f t="shared" si="27"/>
        <v>0</v>
      </c>
    </row>
    <row r="110" spans="13:20" ht="15" customHeight="1" x14ac:dyDescent="0.35">
      <c r="M110" s="12">
        <v>109</v>
      </c>
      <c r="N110" s="12" t="str">
        <f t="shared" si="22"/>
        <v>B</v>
      </c>
      <c r="O110" s="14">
        <f t="shared" si="23"/>
        <v>4.0599999999999996</v>
      </c>
      <c r="P110" s="15">
        <f t="shared" si="28"/>
        <v>442.54000000000019</v>
      </c>
      <c r="Q110" s="15">
        <f t="shared" si="24"/>
        <v>712.54000000000019</v>
      </c>
      <c r="R110" s="12">
        <f t="shared" si="25"/>
        <v>0</v>
      </c>
      <c r="S110" s="12">
        <f t="shared" si="26"/>
        <v>0</v>
      </c>
      <c r="T110" s="12">
        <f t="shared" si="27"/>
        <v>0</v>
      </c>
    </row>
    <row r="111" spans="13:20" ht="15" customHeight="1" x14ac:dyDescent="0.35">
      <c r="M111" s="12">
        <v>110</v>
      </c>
      <c r="N111" s="12" t="str">
        <f t="shared" si="22"/>
        <v>B</v>
      </c>
      <c r="O111" s="14">
        <f t="shared" si="23"/>
        <v>4.0599999999999996</v>
      </c>
      <c r="P111" s="15">
        <f t="shared" si="28"/>
        <v>446.60000000000019</v>
      </c>
      <c r="Q111" s="15">
        <f t="shared" si="24"/>
        <v>719.10000000000014</v>
      </c>
      <c r="R111" s="12">
        <f t="shared" si="25"/>
        <v>0</v>
      </c>
      <c r="S111" s="12">
        <f t="shared" si="26"/>
        <v>0</v>
      </c>
      <c r="T111" s="12">
        <f t="shared" si="27"/>
        <v>0</v>
      </c>
    </row>
    <row r="112" spans="13:20" ht="15" customHeight="1" x14ac:dyDescent="0.35">
      <c r="M112" s="12">
        <v>111</v>
      </c>
      <c r="N112" s="12" t="str">
        <f t="shared" si="22"/>
        <v>B</v>
      </c>
      <c r="O112" s="14">
        <f t="shared" si="23"/>
        <v>4.0599999999999996</v>
      </c>
      <c r="P112" s="15">
        <f t="shared" si="28"/>
        <v>450.6600000000002</v>
      </c>
      <c r="Q112" s="15">
        <f t="shared" si="24"/>
        <v>725.6600000000002</v>
      </c>
      <c r="R112" s="12">
        <f t="shared" si="25"/>
        <v>0</v>
      </c>
      <c r="S112" s="12">
        <f t="shared" si="26"/>
        <v>0</v>
      </c>
      <c r="T112" s="12">
        <f t="shared" si="27"/>
        <v>0</v>
      </c>
    </row>
    <row r="113" spans="13:20" ht="15" customHeight="1" x14ac:dyDescent="0.35">
      <c r="M113" s="12">
        <v>112</v>
      </c>
      <c r="N113" s="12" t="str">
        <f t="shared" si="22"/>
        <v>B</v>
      </c>
      <c r="O113" s="14">
        <f t="shared" si="23"/>
        <v>4.0599999999999996</v>
      </c>
      <c r="P113" s="15">
        <f t="shared" si="28"/>
        <v>454.7200000000002</v>
      </c>
      <c r="Q113" s="15">
        <f t="shared" si="24"/>
        <v>732.22000000000025</v>
      </c>
      <c r="R113" s="12">
        <f t="shared" si="25"/>
        <v>0</v>
      </c>
      <c r="S113" s="12">
        <f t="shared" si="26"/>
        <v>0</v>
      </c>
      <c r="T113" s="12">
        <f t="shared" si="27"/>
        <v>0</v>
      </c>
    </row>
    <row r="114" spans="13:20" ht="15" customHeight="1" x14ac:dyDescent="0.35">
      <c r="M114" s="12">
        <v>113</v>
      </c>
      <c r="N114" s="12" t="str">
        <f t="shared" si="22"/>
        <v>A</v>
      </c>
      <c r="O114" s="14">
        <f t="shared" si="23"/>
        <v>4.0599999999999996</v>
      </c>
      <c r="P114" s="15">
        <f t="shared" si="28"/>
        <v>458.7800000000002</v>
      </c>
      <c r="Q114" s="15">
        <f t="shared" si="24"/>
        <v>738.7800000000002</v>
      </c>
      <c r="R114" s="12">
        <f t="shared" si="25"/>
        <v>0</v>
      </c>
      <c r="S114" s="12">
        <f t="shared" si="26"/>
        <v>0</v>
      </c>
      <c r="T114" s="12">
        <f t="shared" si="27"/>
        <v>0</v>
      </c>
    </row>
    <row r="115" spans="13:20" ht="15" customHeight="1" x14ac:dyDescent="0.35">
      <c r="M115" s="12">
        <v>114</v>
      </c>
      <c r="N115" s="12" t="str">
        <f t="shared" si="22"/>
        <v>A</v>
      </c>
      <c r="O115" s="14">
        <f t="shared" si="23"/>
        <v>4.0599999999999996</v>
      </c>
      <c r="P115" s="15">
        <f t="shared" si="28"/>
        <v>462.8400000000002</v>
      </c>
      <c r="Q115" s="15">
        <f t="shared" si="24"/>
        <v>745.34000000000015</v>
      </c>
      <c r="R115" s="12">
        <f t="shared" si="25"/>
        <v>0</v>
      </c>
      <c r="S115" s="12">
        <f t="shared" si="26"/>
        <v>0</v>
      </c>
      <c r="T115" s="12">
        <f t="shared" si="27"/>
        <v>0</v>
      </c>
    </row>
    <row r="116" spans="13:20" ht="15" customHeight="1" x14ac:dyDescent="0.35">
      <c r="M116" s="12">
        <v>115</v>
      </c>
      <c r="N116" s="12" t="str">
        <f t="shared" si="22"/>
        <v>A</v>
      </c>
      <c r="O116" s="14">
        <f t="shared" si="23"/>
        <v>4.0599999999999996</v>
      </c>
      <c r="P116" s="15">
        <f t="shared" si="28"/>
        <v>466.9000000000002</v>
      </c>
      <c r="Q116" s="15">
        <f t="shared" si="24"/>
        <v>751.9000000000002</v>
      </c>
      <c r="R116" s="12">
        <f t="shared" si="25"/>
        <v>0</v>
      </c>
      <c r="S116" s="12">
        <f t="shared" si="26"/>
        <v>0</v>
      </c>
      <c r="T116" s="12">
        <f t="shared" si="27"/>
        <v>0</v>
      </c>
    </row>
    <row r="117" spans="13:20" ht="15" customHeight="1" x14ac:dyDescent="0.35">
      <c r="M117" s="12">
        <v>116</v>
      </c>
      <c r="N117" s="12" t="str">
        <f t="shared" si="22"/>
        <v>B</v>
      </c>
      <c r="O117" s="14">
        <f t="shared" si="23"/>
        <v>4.0599999999999996</v>
      </c>
      <c r="P117" s="15">
        <f t="shared" si="28"/>
        <v>470.96000000000021</v>
      </c>
      <c r="Q117" s="15">
        <f t="shared" si="24"/>
        <v>758.46000000000026</v>
      </c>
      <c r="R117" s="12">
        <f t="shared" si="25"/>
        <v>0</v>
      </c>
      <c r="S117" s="12">
        <f t="shared" si="26"/>
        <v>0</v>
      </c>
      <c r="T117" s="12">
        <f t="shared" si="27"/>
        <v>0</v>
      </c>
    </row>
    <row r="118" spans="13:20" ht="15" customHeight="1" x14ac:dyDescent="0.35">
      <c r="M118" s="12">
        <v>117</v>
      </c>
      <c r="N118" s="12" t="str">
        <f t="shared" si="22"/>
        <v>B</v>
      </c>
      <c r="O118" s="14">
        <f t="shared" si="23"/>
        <v>4.0599999999999996</v>
      </c>
      <c r="P118" s="15">
        <f t="shared" si="28"/>
        <v>475.02000000000021</v>
      </c>
      <c r="Q118" s="15">
        <f t="shared" si="24"/>
        <v>765.02000000000021</v>
      </c>
      <c r="R118" s="12">
        <f t="shared" si="25"/>
        <v>0</v>
      </c>
      <c r="S118" s="12">
        <f t="shared" si="26"/>
        <v>0</v>
      </c>
      <c r="T118" s="12">
        <f t="shared" si="27"/>
        <v>0</v>
      </c>
    </row>
    <row r="119" spans="13:20" ht="15" customHeight="1" x14ac:dyDescent="0.35">
      <c r="M119" s="12">
        <v>118</v>
      </c>
      <c r="N119" s="12" t="str">
        <f t="shared" si="22"/>
        <v>B</v>
      </c>
      <c r="O119" s="14">
        <f t="shared" si="23"/>
        <v>4.0599999999999996</v>
      </c>
      <c r="P119" s="15">
        <f t="shared" si="28"/>
        <v>479.08000000000021</v>
      </c>
      <c r="Q119" s="15">
        <f t="shared" si="24"/>
        <v>771.58000000000015</v>
      </c>
      <c r="R119" s="12">
        <f t="shared" si="25"/>
        <v>0</v>
      </c>
      <c r="S119" s="12">
        <f t="shared" si="26"/>
        <v>0</v>
      </c>
      <c r="T119" s="12">
        <f t="shared" si="27"/>
        <v>0</v>
      </c>
    </row>
    <row r="120" spans="13:20" ht="15" customHeight="1" x14ac:dyDescent="0.35">
      <c r="M120" s="12">
        <v>119</v>
      </c>
      <c r="N120" s="12" t="str">
        <f t="shared" si="22"/>
        <v>B</v>
      </c>
      <c r="O120" s="14">
        <f t="shared" si="23"/>
        <v>4.0599999999999996</v>
      </c>
      <c r="P120" s="15">
        <f t="shared" si="28"/>
        <v>483.14000000000021</v>
      </c>
      <c r="Q120" s="15">
        <f t="shared" si="24"/>
        <v>778.14000000000021</v>
      </c>
      <c r="R120" s="12">
        <f t="shared" si="25"/>
        <v>0</v>
      </c>
      <c r="S120" s="12">
        <f t="shared" si="26"/>
        <v>0</v>
      </c>
      <c r="T120" s="12">
        <f t="shared" si="27"/>
        <v>0</v>
      </c>
    </row>
    <row r="121" spans="13:20" ht="15" customHeight="1" x14ac:dyDescent="0.35">
      <c r="M121" s="12">
        <v>120</v>
      </c>
      <c r="N121" s="12" t="str">
        <f t="shared" si="22"/>
        <v>B</v>
      </c>
      <c r="O121" s="14">
        <f t="shared" si="23"/>
        <v>4.0599999999999996</v>
      </c>
      <c r="P121" s="15">
        <f t="shared" si="28"/>
        <v>487.20000000000022</v>
      </c>
      <c r="Q121" s="15">
        <f t="shared" si="24"/>
        <v>784.70000000000027</v>
      </c>
      <c r="R121" s="12">
        <f t="shared" si="25"/>
        <v>0</v>
      </c>
      <c r="S121" s="12">
        <f t="shared" si="26"/>
        <v>0</v>
      </c>
      <c r="T121" s="12">
        <f t="shared" si="27"/>
        <v>0</v>
      </c>
    </row>
    <row r="122" spans="13:20" ht="15" customHeight="1" x14ac:dyDescent="0.35">
      <c r="M122" s="12">
        <v>121</v>
      </c>
      <c r="N122" s="12" t="str">
        <f t="shared" si="22"/>
        <v>A</v>
      </c>
      <c r="O122" s="14">
        <f t="shared" si="23"/>
        <v>4.0599999999999996</v>
      </c>
      <c r="P122" s="15">
        <f t="shared" si="28"/>
        <v>491.26000000000022</v>
      </c>
      <c r="Q122" s="15">
        <f t="shared" si="24"/>
        <v>791.26000000000022</v>
      </c>
      <c r="R122" s="12">
        <f t="shared" si="25"/>
        <v>0</v>
      </c>
      <c r="S122" s="12">
        <f t="shared" si="26"/>
        <v>0</v>
      </c>
      <c r="T122" s="12">
        <f t="shared" si="27"/>
        <v>0</v>
      </c>
    </row>
    <row r="123" spans="13:20" ht="15" customHeight="1" x14ac:dyDescent="0.35">
      <c r="M123" s="12">
        <v>122</v>
      </c>
      <c r="N123" s="12" t="str">
        <f t="shared" si="22"/>
        <v>A</v>
      </c>
      <c r="O123" s="14">
        <f t="shared" si="23"/>
        <v>4.0599999999999996</v>
      </c>
      <c r="P123" s="15">
        <f t="shared" si="28"/>
        <v>495.32000000000022</v>
      </c>
      <c r="Q123" s="15">
        <f t="shared" si="24"/>
        <v>797.82000000000016</v>
      </c>
      <c r="R123" s="12">
        <f t="shared" si="25"/>
        <v>0</v>
      </c>
      <c r="S123" s="12">
        <f t="shared" si="26"/>
        <v>0</v>
      </c>
      <c r="T123" s="12">
        <f t="shared" si="27"/>
        <v>0</v>
      </c>
    </row>
    <row r="124" spans="13:20" ht="15" customHeight="1" x14ac:dyDescent="0.35">
      <c r="M124" s="12">
        <v>123</v>
      </c>
      <c r="N124" s="12" t="str">
        <f t="shared" si="22"/>
        <v>A</v>
      </c>
      <c r="O124" s="14">
        <f t="shared" si="23"/>
        <v>4.0599999999999996</v>
      </c>
      <c r="P124" s="15">
        <f t="shared" si="28"/>
        <v>499.38000000000022</v>
      </c>
      <c r="Q124" s="15">
        <f t="shared" si="24"/>
        <v>804.38000000000022</v>
      </c>
      <c r="R124" s="12">
        <f t="shared" si="25"/>
        <v>0</v>
      </c>
      <c r="S124" s="12">
        <f t="shared" si="26"/>
        <v>0</v>
      </c>
      <c r="T124" s="12">
        <f t="shared" si="27"/>
        <v>0</v>
      </c>
    </row>
    <row r="125" spans="13:20" ht="15" customHeight="1" x14ac:dyDescent="0.35">
      <c r="M125" s="12">
        <v>124</v>
      </c>
      <c r="N125" s="12" t="str">
        <f t="shared" si="22"/>
        <v>B</v>
      </c>
      <c r="O125" s="14">
        <f t="shared" si="23"/>
        <v>4.0599999999999996</v>
      </c>
      <c r="P125" s="15">
        <f t="shared" si="28"/>
        <v>503.44000000000023</v>
      </c>
      <c r="Q125" s="15">
        <f t="shared" si="24"/>
        <v>810.94000000000028</v>
      </c>
      <c r="R125" s="12">
        <f t="shared" si="25"/>
        <v>0</v>
      </c>
      <c r="S125" s="12">
        <f t="shared" si="26"/>
        <v>0</v>
      </c>
      <c r="T125" s="12">
        <f t="shared" si="27"/>
        <v>0</v>
      </c>
    </row>
    <row r="126" spans="13:20" ht="15" customHeight="1" x14ac:dyDescent="0.35">
      <c r="M126" s="12">
        <v>125</v>
      </c>
      <c r="N126" s="12" t="str">
        <f t="shared" si="22"/>
        <v>B</v>
      </c>
      <c r="O126" s="14">
        <f t="shared" si="23"/>
        <v>4.0599999999999996</v>
      </c>
      <c r="P126" s="15">
        <f t="shared" si="28"/>
        <v>507.50000000000023</v>
      </c>
      <c r="Q126" s="15">
        <f t="shared" si="24"/>
        <v>817.50000000000023</v>
      </c>
      <c r="R126" s="12">
        <f t="shared" si="25"/>
        <v>0</v>
      </c>
      <c r="S126" s="12">
        <f t="shared" si="26"/>
        <v>0</v>
      </c>
      <c r="T126" s="12">
        <f t="shared" si="27"/>
        <v>0</v>
      </c>
    </row>
    <row r="127" spans="13:20" ht="15" customHeight="1" x14ac:dyDescent="0.35">
      <c r="M127" s="12">
        <v>126</v>
      </c>
      <c r="N127" s="12" t="str">
        <f t="shared" si="22"/>
        <v>B</v>
      </c>
      <c r="O127" s="14">
        <f t="shared" si="23"/>
        <v>4.0599999999999996</v>
      </c>
      <c r="P127" s="15">
        <f t="shared" si="28"/>
        <v>511.56000000000023</v>
      </c>
      <c r="Q127" s="15">
        <f t="shared" si="24"/>
        <v>824.06000000000017</v>
      </c>
      <c r="R127" s="12">
        <f t="shared" si="25"/>
        <v>0</v>
      </c>
      <c r="S127" s="12">
        <f t="shared" si="26"/>
        <v>0</v>
      </c>
      <c r="T127" s="12">
        <f t="shared" si="27"/>
        <v>0</v>
      </c>
    </row>
    <row r="128" spans="13:20" ht="15" customHeight="1" x14ac:dyDescent="0.35">
      <c r="M128" s="12">
        <v>127</v>
      </c>
      <c r="N128" s="12" t="str">
        <f t="shared" si="22"/>
        <v>B</v>
      </c>
      <c r="O128" s="14">
        <f t="shared" si="23"/>
        <v>4.0599999999999996</v>
      </c>
      <c r="P128" s="15">
        <f t="shared" si="28"/>
        <v>515.62000000000023</v>
      </c>
      <c r="Q128" s="15">
        <f t="shared" si="24"/>
        <v>830.62000000000023</v>
      </c>
      <c r="R128" s="12">
        <f t="shared" si="25"/>
        <v>0</v>
      </c>
      <c r="S128" s="12">
        <f t="shared" si="26"/>
        <v>0</v>
      </c>
      <c r="T128" s="12">
        <f t="shared" si="27"/>
        <v>0</v>
      </c>
    </row>
    <row r="129" spans="13:20" ht="15" customHeight="1" x14ac:dyDescent="0.35">
      <c r="M129" s="12">
        <v>128</v>
      </c>
      <c r="N129" s="12" t="str">
        <f t="shared" si="22"/>
        <v>B</v>
      </c>
      <c r="O129" s="14">
        <f t="shared" si="23"/>
        <v>4.0599999999999996</v>
      </c>
      <c r="P129" s="15">
        <f t="shared" si="28"/>
        <v>519.68000000000018</v>
      </c>
      <c r="Q129" s="15">
        <f t="shared" si="24"/>
        <v>837.18000000000018</v>
      </c>
      <c r="R129" s="12">
        <f t="shared" si="25"/>
        <v>0</v>
      </c>
      <c r="S129" s="12">
        <f t="shared" si="26"/>
        <v>0</v>
      </c>
      <c r="T129" s="12">
        <f t="shared" si="27"/>
        <v>0</v>
      </c>
    </row>
    <row r="130" spans="13:20" ht="15" customHeight="1" x14ac:dyDescent="0.35">
      <c r="M130" s="12">
        <v>129</v>
      </c>
      <c r="N130" s="12" t="str">
        <f t="shared" ref="N130:N161" si="29">IF(MOD(M130-1,$B$4+$B$7)&lt;$B$4,"A","B")</f>
        <v>A</v>
      </c>
      <c r="O130" s="14">
        <f t="shared" ref="O130:O161" si="30">IF(N130="A",$E$3,$E$4)</f>
        <v>4.0599999999999996</v>
      </c>
      <c r="P130" s="15">
        <f t="shared" si="28"/>
        <v>523.74000000000012</v>
      </c>
      <c r="Q130" s="15">
        <f t="shared" ref="Q130:Q161" si="31">P130+(M130-1)*$B$8</f>
        <v>843.74000000000012</v>
      </c>
      <c r="R130" s="12">
        <f t="shared" ref="R130:R161" si="32">IF(AND(Q130&lt;=$B$9,N130="A"),1,0)</f>
        <v>0</v>
      </c>
      <c r="S130" s="12">
        <f t="shared" ref="S130:S161" si="33">IF(AND(Q130&lt;=$B$9,N130="B"),1,0)</f>
        <v>0</v>
      </c>
      <c r="T130" s="12">
        <f t="shared" ref="T130:T161" si="34">IF(Q130&lt;=$B$9,1,0)</f>
        <v>0</v>
      </c>
    </row>
    <row r="131" spans="13:20" ht="15" customHeight="1" x14ac:dyDescent="0.35">
      <c r="M131" s="12">
        <v>130</v>
      </c>
      <c r="N131" s="12" t="str">
        <f t="shared" si="29"/>
        <v>A</v>
      </c>
      <c r="O131" s="14">
        <f t="shared" si="30"/>
        <v>4.0599999999999996</v>
      </c>
      <c r="P131" s="15">
        <f t="shared" ref="P131:P162" si="35">P130+O131</f>
        <v>527.80000000000007</v>
      </c>
      <c r="Q131" s="15">
        <f t="shared" si="31"/>
        <v>850.30000000000007</v>
      </c>
      <c r="R131" s="12">
        <f t="shared" si="32"/>
        <v>0</v>
      </c>
      <c r="S131" s="12">
        <f t="shared" si="33"/>
        <v>0</v>
      </c>
      <c r="T131" s="12">
        <f t="shared" si="34"/>
        <v>0</v>
      </c>
    </row>
    <row r="132" spans="13:20" ht="15" customHeight="1" x14ac:dyDescent="0.35">
      <c r="M132" s="12">
        <v>131</v>
      </c>
      <c r="N132" s="12" t="str">
        <f t="shared" si="29"/>
        <v>A</v>
      </c>
      <c r="O132" s="14">
        <f t="shared" si="30"/>
        <v>4.0599999999999996</v>
      </c>
      <c r="P132" s="15">
        <f t="shared" si="35"/>
        <v>531.86</v>
      </c>
      <c r="Q132" s="15">
        <f t="shared" si="31"/>
        <v>856.86</v>
      </c>
      <c r="R132" s="12">
        <f t="shared" si="32"/>
        <v>0</v>
      </c>
      <c r="S132" s="12">
        <f t="shared" si="33"/>
        <v>0</v>
      </c>
      <c r="T132" s="12">
        <f t="shared" si="34"/>
        <v>0</v>
      </c>
    </row>
    <row r="133" spans="13:20" ht="15" customHeight="1" x14ac:dyDescent="0.35">
      <c r="M133" s="12">
        <v>132</v>
      </c>
      <c r="N133" s="12" t="str">
        <f t="shared" si="29"/>
        <v>B</v>
      </c>
      <c r="O133" s="14">
        <f t="shared" si="30"/>
        <v>4.0599999999999996</v>
      </c>
      <c r="P133" s="15">
        <f t="shared" si="35"/>
        <v>535.91999999999996</v>
      </c>
      <c r="Q133" s="15">
        <f t="shared" si="31"/>
        <v>863.42</v>
      </c>
      <c r="R133" s="12">
        <f t="shared" si="32"/>
        <v>0</v>
      </c>
      <c r="S133" s="12">
        <f t="shared" si="33"/>
        <v>0</v>
      </c>
      <c r="T133" s="12">
        <f t="shared" si="34"/>
        <v>0</v>
      </c>
    </row>
    <row r="134" spans="13:20" ht="15" customHeight="1" x14ac:dyDescent="0.35">
      <c r="M134" s="12">
        <v>133</v>
      </c>
      <c r="N134" s="12" t="str">
        <f t="shared" si="29"/>
        <v>B</v>
      </c>
      <c r="O134" s="14">
        <f t="shared" si="30"/>
        <v>4.0599999999999996</v>
      </c>
      <c r="P134" s="15">
        <f t="shared" si="35"/>
        <v>539.9799999999999</v>
      </c>
      <c r="Q134" s="15">
        <f t="shared" si="31"/>
        <v>869.9799999999999</v>
      </c>
      <c r="R134" s="12">
        <f t="shared" si="32"/>
        <v>0</v>
      </c>
      <c r="S134" s="12">
        <f t="shared" si="33"/>
        <v>0</v>
      </c>
      <c r="T134" s="12">
        <f t="shared" si="34"/>
        <v>0</v>
      </c>
    </row>
    <row r="135" spans="13:20" ht="15" customHeight="1" x14ac:dyDescent="0.35">
      <c r="M135" s="12">
        <v>134</v>
      </c>
      <c r="N135" s="12" t="str">
        <f t="shared" si="29"/>
        <v>B</v>
      </c>
      <c r="O135" s="14">
        <f t="shared" si="30"/>
        <v>4.0599999999999996</v>
      </c>
      <c r="P135" s="15">
        <f t="shared" si="35"/>
        <v>544.03999999999985</v>
      </c>
      <c r="Q135" s="15">
        <f t="shared" si="31"/>
        <v>876.53999999999985</v>
      </c>
      <c r="R135" s="12">
        <f t="shared" si="32"/>
        <v>0</v>
      </c>
      <c r="S135" s="12">
        <f t="shared" si="33"/>
        <v>0</v>
      </c>
      <c r="T135" s="12">
        <f t="shared" si="34"/>
        <v>0</v>
      </c>
    </row>
    <row r="136" spans="13:20" ht="15" customHeight="1" x14ac:dyDescent="0.35">
      <c r="M136" s="12">
        <v>135</v>
      </c>
      <c r="N136" s="12" t="str">
        <f t="shared" si="29"/>
        <v>B</v>
      </c>
      <c r="O136" s="14">
        <f t="shared" si="30"/>
        <v>4.0599999999999996</v>
      </c>
      <c r="P136" s="15">
        <f t="shared" si="35"/>
        <v>548.0999999999998</v>
      </c>
      <c r="Q136" s="15">
        <f t="shared" si="31"/>
        <v>883.0999999999998</v>
      </c>
      <c r="R136" s="12">
        <f t="shared" si="32"/>
        <v>0</v>
      </c>
      <c r="S136" s="12">
        <f t="shared" si="33"/>
        <v>0</v>
      </c>
      <c r="T136" s="12">
        <f t="shared" si="34"/>
        <v>0</v>
      </c>
    </row>
    <row r="137" spans="13:20" ht="15" customHeight="1" x14ac:dyDescent="0.35">
      <c r="M137" s="12">
        <v>136</v>
      </c>
      <c r="N137" s="12" t="str">
        <f t="shared" si="29"/>
        <v>B</v>
      </c>
      <c r="O137" s="14">
        <f t="shared" si="30"/>
        <v>4.0599999999999996</v>
      </c>
      <c r="P137" s="15">
        <f t="shared" si="35"/>
        <v>552.15999999999974</v>
      </c>
      <c r="Q137" s="15">
        <f t="shared" si="31"/>
        <v>889.65999999999974</v>
      </c>
      <c r="R137" s="12">
        <f t="shared" si="32"/>
        <v>0</v>
      </c>
      <c r="S137" s="12">
        <f t="shared" si="33"/>
        <v>0</v>
      </c>
      <c r="T137" s="12">
        <f t="shared" si="34"/>
        <v>0</v>
      </c>
    </row>
    <row r="138" spans="13:20" ht="15" customHeight="1" x14ac:dyDescent="0.35">
      <c r="M138" s="12">
        <v>137</v>
      </c>
      <c r="N138" s="12" t="str">
        <f t="shared" si="29"/>
        <v>A</v>
      </c>
      <c r="O138" s="14">
        <f t="shared" si="30"/>
        <v>4.0599999999999996</v>
      </c>
      <c r="P138" s="15">
        <f t="shared" si="35"/>
        <v>556.21999999999969</v>
      </c>
      <c r="Q138" s="15">
        <f t="shared" si="31"/>
        <v>896.21999999999969</v>
      </c>
      <c r="R138" s="12">
        <f t="shared" si="32"/>
        <v>0</v>
      </c>
      <c r="S138" s="12">
        <f t="shared" si="33"/>
        <v>0</v>
      </c>
      <c r="T138" s="12">
        <f t="shared" si="34"/>
        <v>0</v>
      </c>
    </row>
    <row r="139" spans="13:20" ht="15" customHeight="1" x14ac:dyDescent="0.35">
      <c r="M139" s="12">
        <v>138</v>
      </c>
      <c r="N139" s="12" t="str">
        <f t="shared" si="29"/>
        <v>A</v>
      </c>
      <c r="O139" s="14">
        <f t="shared" si="30"/>
        <v>4.0599999999999996</v>
      </c>
      <c r="P139" s="15">
        <f t="shared" si="35"/>
        <v>560.27999999999963</v>
      </c>
      <c r="Q139" s="15">
        <f t="shared" si="31"/>
        <v>902.77999999999963</v>
      </c>
      <c r="R139" s="12">
        <f t="shared" si="32"/>
        <v>0</v>
      </c>
      <c r="S139" s="12">
        <f t="shared" si="33"/>
        <v>0</v>
      </c>
      <c r="T139" s="12">
        <f t="shared" si="34"/>
        <v>0</v>
      </c>
    </row>
    <row r="140" spans="13:20" ht="15" customHeight="1" x14ac:dyDescent="0.35">
      <c r="M140" s="12">
        <v>139</v>
      </c>
      <c r="N140" s="12" t="str">
        <f t="shared" si="29"/>
        <v>A</v>
      </c>
      <c r="O140" s="14">
        <f t="shared" si="30"/>
        <v>4.0599999999999996</v>
      </c>
      <c r="P140" s="15">
        <f t="shared" si="35"/>
        <v>564.33999999999958</v>
      </c>
      <c r="Q140" s="15">
        <f t="shared" si="31"/>
        <v>909.33999999999958</v>
      </c>
      <c r="R140" s="12">
        <f t="shared" si="32"/>
        <v>0</v>
      </c>
      <c r="S140" s="12">
        <f t="shared" si="33"/>
        <v>0</v>
      </c>
      <c r="T140" s="12">
        <f t="shared" si="34"/>
        <v>0</v>
      </c>
    </row>
    <row r="141" spans="13:20" ht="15" customHeight="1" x14ac:dyDescent="0.35">
      <c r="M141" s="12">
        <v>140</v>
      </c>
      <c r="N141" s="12" t="str">
        <f t="shared" si="29"/>
        <v>B</v>
      </c>
      <c r="O141" s="14">
        <f t="shared" si="30"/>
        <v>4.0599999999999996</v>
      </c>
      <c r="P141" s="15">
        <f t="shared" si="35"/>
        <v>568.39999999999952</v>
      </c>
      <c r="Q141" s="15">
        <f t="shared" si="31"/>
        <v>915.89999999999952</v>
      </c>
      <c r="R141" s="12">
        <f t="shared" si="32"/>
        <v>0</v>
      </c>
      <c r="S141" s="12">
        <f t="shared" si="33"/>
        <v>0</v>
      </c>
      <c r="T141" s="12">
        <f t="shared" si="34"/>
        <v>0</v>
      </c>
    </row>
    <row r="142" spans="13:20" ht="15" customHeight="1" x14ac:dyDescent="0.35">
      <c r="M142" s="12">
        <v>141</v>
      </c>
      <c r="N142" s="12" t="str">
        <f t="shared" si="29"/>
        <v>B</v>
      </c>
      <c r="O142" s="14">
        <f t="shared" si="30"/>
        <v>4.0599999999999996</v>
      </c>
      <c r="P142" s="15">
        <f t="shared" si="35"/>
        <v>572.45999999999947</v>
      </c>
      <c r="Q142" s="15">
        <f t="shared" si="31"/>
        <v>922.45999999999947</v>
      </c>
      <c r="R142" s="12">
        <f t="shared" si="32"/>
        <v>0</v>
      </c>
      <c r="S142" s="12">
        <f t="shared" si="33"/>
        <v>0</v>
      </c>
      <c r="T142" s="12">
        <f t="shared" si="34"/>
        <v>0</v>
      </c>
    </row>
    <row r="143" spans="13:20" ht="15" customHeight="1" x14ac:dyDescent="0.35">
      <c r="M143" s="12">
        <v>142</v>
      </c>
      <c r="N143" s="12" t="str">
        <f t="shared" si="29"/>
        <v>B</v>
      </c>
      <c r="O143" s="14">
        <f t="shared" si="30"/>
        <v>4.0599999999999996</v>
      </c>
      <c r="P143" s="15">
        <f t="shared" si="35"/>
        <v>576.51999999999941</v>
      </c>
      <c r="Q143" s="15">
        <f t="shared" si="31"/>
        <v>929.01999999999941</v>
      </c>
      <c r="R143" s="12">
        <f t="shared" si="32"/>
        <v>0</v>
      </c>
      <c r="S143" s="12">
        <f t="shared" si="33"/>
        <v>0</v>
      </c>
      <c r="T143" s="12">
        <f t="shared" si="34"/>
        <v>0</v>
      </c>
    </row>
    <row r="144" spans="13:20" ht="15" customHeight="1" x14ac:dyDescent="0.35">
      <c r="M144" s="12">
        <v>143</v>
      </c>
      <c r="N144" s="12" t="str">
        <f t="shared" si="29"/>
        <v>B</v>
      </c>
      <c r="O144" s="14">
        <f t="shared" si="30"/>
        <v>4.0599999999999996</v>
      </c>
      <c r="P144" s="15">
        <f t="shared" si="35"/>
        <v>580.57999999999936</v>
      </c>
      <c r="Q144" s="15">
        <f t="shared" si="31"/>
        <v>935.57999999999936</v>
      </c>
      <c r="R144" s="12">
        <f t="shared" si="32"/>
        <v>0</v>
      </c>
      <c r="S144" s="12">
        <f t="shared" si="33"/>
        <v>0</v>
      </c>
      <c r="T144" s="12">
        <f t="shared" si="34"/>
        <v>0</v>
      </c>
    </row>
    <row r="145" spans="13:20" ht="15" customHeight="1" x14ac:dyDescent="0.35">
      <c r="M145" s="12">
        <v>144</v>
      </c>
      <c r="N145" s="12" t="str">
        <f t="shared" si="29"/>
        <v>B</v>
      </c>
      <c r="O145" s="14">
        <f t="shared" si="30"/>
        <v>4.0599999999999996</v>
      </c>
      <c r="P145" s="15">
        <f t="shared" si="35"/>
        <v>584.6399999999993</v>
      </c>
      <c r="Q145" s="15">
        <f t="shared" si="31"/>
        <v>942.1399999999993</v>
      </c>
      <c r="R145" s="12">
        <f t="shared" si="32"/>
        <v>0</v>
      </c>
      <c r="S145" s="12">
        <f t="shared" si="33"/>
        <v>0</v>
      </c>
      <c r="T145" s="12">
        <f t="shared" si="34"/>
        <v>0</v>
      </c>
    </row>
    <row r="146" spans="13:20" ht="15" customHeight="1" x14ac:dyDescent="0.35">
      <c r="M146" s="12">
        <v>145</v>
      </c>
      <c r="N146" s="12" t="str">
        <f t="shared" si="29"/>
        <v>A</v>
      </c>
      <c r="O146" s="14">
        <f t="shared" si="30"/>
        <v>4.0599999999999996</v>
      </c>
      <c r="P146" s="15">
        <f t="shared" si="35"/>
        <v>588.69999999999925</v>
      </c>
      <c r="Q146" s="15">
        <f t="shared" si="31"/>
        <v>948.69999999999925</v>
      </c>
      <c r="R146" s="12">
        <f t="shared" si="32"/>
        <v>0</v>
      </c>
      <c r="S146" s="12">
        <f t="shared" si="33"/>
        <v>0</v>
      </c>
      <c r="T146" s="12">
        <f t="shared" si="34"/>
        <v>0</v>
      </c>
    </row>
    <row r="147" spans="13:20" ht="15" customHeight="1" x14ac:dyDescent="0.35">
      <c r="M147" s="12">
        <v>146</v>
      </c>
      <c r="N147" s="12" t="str">
        <f t="shared" si="29"/>
        <v>A</v>
      </c>
      <c r="O147" s="14">
        <f t="shared" si="30"/>
        <v>4.0599999999999996</v>
      </c>
      <c r="P147" s="15">
        <f t="shared" si="35"/>
        <v>592.7599999999992</v>
      </c>
      <c r="Q147" s="15">
        <f t="shared" si="31"/>
        <v>955.2599999999992</v>
      </c>
      <c r="R147" s="12">
        <f t="shared" si="32"/>
        <v>0</v>
      </c>
      <c r="S147" s="12">
        <f t="shared" si="33"/>
        <v>0</v>
      </c>
      <c r="T147" s="12">
        <f t="shared" si="34"/>
        <v>0</v>
      </c>
    </row>
    <row r="148" spans="13:20" ht="15" customHeight="1" x14ac:dyDescent="0.35">
      <c r="M148" s="12">
        <v>147</v>
      </c>
      <c r="N148" s="12" t="str">
        <f t="shared" si="29"/>
        <v>A</v>
      </c>
      <c r="O148" s="14">
        <f t="shared" si="30"/>
        <v>4.0599999999999996</v>
      </c>
      <c r="P148" s="15">
        <f t="shared" si="35"/>
        <v>596.81999999999914</v>
      </c>
      <c r="Q148" s="15">
        <f t="shared" si="31"/>
        <v>961.81999999999914</v>
      </c>
      <c r="R148" s="12">
        <f t="shared" si="32"/>
        <v>0</v>
      </c>
      <c r="S148" s="12">
        <f t="shared" si="33"/>
        <v>0</v>
      </c>
      <c r="T148" s="12">
        <f t="shared" si="34"/>
        <v>0</v>
      </c>
    </row>
    <row r="149" spans="13:20" ht="15" customHeight="1" x14ac:dyDescent="0.35">
      <c r="M149" s="12">
        <v>148</v>
      </c>
      <c r="N149" s="12" t="str">
        <f t="shared" si="29"/>
        <v>B</v>
      </c>
      <c r="O149" s="14">
        <f t="shared" si="30"/>
        <v>4.0599999999999996</v>
      </c>
      <c r="P149" s="15">
        <f t="shared" si="35"/>
        <v>600.87999999999909</v>
      </c>
      <c r="Q149" s="15">
        <f t="shared" si="31"/>
        <v>968.37999999999909</v>
      </c>
      <c r="R149" s="12">
        <f t="shared" si="32"/>
        <v>0</v>
      </c>
      <c r="S149" s="12">
        <f t="shared" si="33"/>
        <v>0</v>
      </c>
      <c r="T149" s="12">
        <f t="shared" si="34"/>
        <v>0</v>
      </c>
    </row>
    <row r="150" spans="13:20" ht="15" customHeight="1" x14ac:dyDescent="0.35">
      <c r="M150" s="12">
        <v>149</v>
      </c>
      <c r="N150" s="12" t="str">
        <f t="shared" si="29"/>
        <v>B</v>
      </c>
      <c r="O150" s="14">
        <f t="shared" si="30"/>
        <v>4.0599999999999996</v>
      </c>
      <c r="P150" s="15">
        <f t="shared" si="35"/>
        <v>604.93999999999903</v>
      </c>
      <c r="Q150" s="15">
        <f t="shared" si="31"/>
        <v>974.93999999999903</v>
      </c>
      <c r="R150" s="12">
        <f t="shared" si="32"/>
        <v>0</v>
      </c>
      <c r="S150" s="12">
        <f t="shared" si="33"/>
        <v>0</v>
      </c>
      <c r="T150" s="12">
        <f t="shared" si="34"/>
        <v>0</v>
      </c>
    </row>
    <row r="151" spans="13:20" ht="15" customHeight="1" x14ac:dyDescent="0.35">
      <c r="M151" s="12">
        <v>150</v>
      </c>
      <c r="N151" s="12" t="str">
        <f t="shared" si="29"/>
        <v>B</v>
      </c>
      <c r="O151" s="14">
        <f t="shared" si="30"/>
        <v>4.0599999999999996</v>
      </c>
      <c r="P151" s="15">
        <f t="shared" si="35"/>
        <v>608.99999999999898</v>
      </c>
      <c r="Q151" s="15">
        <f t="shared" si="31"/>
        <v>981.49999999999898</v>
      </c>
      <c r="R151" s="12">
        <f t="shared" si="32"/>
        <v>0</v>
      </c>
      <c r="S151" s="12">
        <f t="shared" si="33"/>
        <v>0</v>
      </c>
      <c r="T151" s="12">
        <f t="shared" si="34"/>
        <v>0</v>
      </c>
    </row>
    <row r="152" spans="13:20" ht="15" customHeight="1" x14ac:dyDescent="0.35">
      <c r="M152" s="12">
        <v>151</v>
      </c>
      <c r="N152" s="12" t="str">
        <f t="shared" si="29"/>
        <v>B</v>
      </c>
      <c r="O152" s="14">
        <f t="shared" si="30"/>
        <v>4.0599999999999996</v>
      </c>
      <c r="P152" s="15">
        <f t="shared" si="35"/>
        <v>613.05999999999892</v>
      </c>
      <c r="Q152" s="15">
        <f t="shared" si="31"/>
        <v>988.05999999999892</v>
      </c>
      <c r="R152" s="12">
        <f t="shared" si="32"/>
        <v>0</v>
      </c>
      <c r="S152" s="12">
        <f t="shared" si="33"/>
        <v>0</v>
      </c>
      <c r="T152" s="12">
        <f t="shared" si="34"/>
        <v>0</v>
      </c>
    </row>
    <row r="153" spans="13:20" ht="15" customHeight="1" x14ac:dyDescent="0.35">
      <c r="M153" s="12">
        <v>152</v>
      </c>
      <c r="N153" s="12" t="str">
        <f t="shared" si="29"/>
        <v>B</v>
      </c>
      <c r="O153" s="14">
        <f t="shared" si="30"/>
        <v>4.0599999999999996</v>
      </c>
      <c r="P153" s="15">
        <f t="shared" si="35"/>
        <v>617.11999999999887</v>
      </c>
      <c r="Q153" s="15">
        <f t="shared" si="31"/>
        <v>994.61999999999887</v>
      </c>
      <c r="R153" s="12">
        <f t="shared" si="32"/>
        <v>0</v>
      </c>
      <c r="S153" s="12">
        <f t="shared" si="33"/>
        <v>0</v>
      </c>
      <c r="T153" s="12">
        <f t="shared" si="34"/>
        <v>0</v>
      </c>
    </row>
    <row r="154" spans="13:20" ht="15" customHeight="1" x14ac:dyDescent="0.35">
      <c r="M154" s="12">
        <v>153</v>
      </c>
      <c r="N154" s="12" t="str">
        <f t="shared" si="29"/>
        <v>A</v>
      </c>
      <c r="O154" s="14">
        <f t="shared" si="30"/>
        <v>4.0599999999999996</v>
      </c>
      <c r="P154" s="15">
        <f t="shared" si="35"/>
        <v>621.17999999999881</v>
      </c>
      <c r="Q154" s="15">
        <f t="shared" si="31"/>
        <v>1001.1799999999988</v>
      </c>
      <c r="R154" s="12">
        <f t="shared" si="32"/>
        <v>0</v>
      </c>
      <c r="S154" s="12">
        <f t="shared" si="33"/>
        <v>0</v>
      </c>
      <c r="T154" s="12">
        <f t="shared" si="34"/>
        <v>0</v>
      </c>
    </row>
    <row r="155" spans="13:20" ht="15" customHeight="1" x14ac:dyDescent="0.35">
      <c r="M155" s="12">
        <v>154</v>
      </c>
      <c r="N155" s="12" t="str">
        <f t="shared" si="29"/>
        <v>A</v>
      </c>
      <c r="O155" s="14">
        <f t="shared" si="30"/>
        <v>4.0599999999999996</v>
      </c>
      <c r="P155" s="15">
        <f t="shared" si="35"/>
        <v>625.23999999999876</v>
      </c>
      <c r="Q155" s="15">
        <f t="shared" si="31"/>
        <v>1007.7399999999988</v>
      </c>
      <c r="R155" s="12">
        <f t="shared" si="32"/>
        <v>0</v>
      </c>
      <c r="S155" s="12">
        <f t="shared" si="33"/>
        <v>0</v>
      </c>
      <c r="T155" s="12">
        <f t="shared" si="34"/>
        <v>0</v>
      </c>
    </row>
    <row r="156" spans="13:20" ht="15" customHeight="1" x14ac:dyDescent="0.35">
      <c r="M156" s="12">
        <v>155</v>
      </c>
      <c r="N156" s="12" t="str">
        <f t="shared" si="29"/>
        <v>A</v>
      </c>
      <c r="O156" s="14">
        <f t="shared" si="30"/>
        <v>4.0599999999999996</v>
      </c>
      <c r="P156" s="15">
        <f t="shared" si="35"/>
        <v>629.2999999999987</v>
      </c>
      <c r="Q156" s="15">
        <f t="shared" si="31"/>
        <v>1014.2999999999987</v>
      </c>
      <c r="R156" s="12">
        <f t="shared" si="32"/>
        <v>0</v>
      </c>
      <c r="S156" s="12">
        <f t="shared" si="33"/>
        <v>0</v>
      </c>
      <c r="T156" s="12">
        <f t="shared" si="34"/>
        <v>0</v>
      </c>
    </row>
    <row r="157" spans="13:20" ht="15" customHeight="1" x14ac:dyDescent="0.35">
      <c r="M157" s="12">
        <v>156</v>
      </c>
      <c r="N157" s="12" t="str">
        <f t="shared" si="29"/>
        <v>B</v>
      </c>
      <c r="O157" s="14">
        <f t="shared" si="30"/>
        <v>4.0599999999999996</v>
      </c>
      <c r="P157" s="15">
        <f t="shared" si="35"/>
        <v>633.35999999999865</v>
      </c>
      <c r="Q157" s="15">
        <f t="shared" si="31"/>
        <v>1020.8599999999986</v>
      </c>
      <c r="R157" s="12">
        <f t="shared" si="32"/>
        <v>0</v>
      </c>
      <c r="S157" s="12">
        <f t="shared" si="33"/>
        <v>0</v>
      </c>
      <c r="T157" s="12">
        <f t="shared" si="34"/>
        <v>0</v>
      </c>
    </row>
    <row r="158" spans="13:20" ht="15" customHeight="1" x14ac:dyDescent="0.35">
      <c r="M158" s="12">
        <v>157</v>
      </c>
      <c r="N158" s="12" t="str">
        <f t="shared" si="29"/>
        <v>B</v>
      </c>
      <c r="O158" s="14">
        <f t="shared" si="30"/>
        <v>4.0599999999999996</v>
      </c>
      <c r="P158" s="15">
        <f t="shared" si="35"/>
        <v>637.41999999999859</v>
      </c>
      <c r="Q158" s="15">
        <f t="shared" si="31"/>
        <v>1027.4199999999987</v>
      </c>
      <c r="R158" s="12">
        <f t="shared" si="32"/>
        <v>0</v>
      </c>
      <c r="S158" s="12">
        <f t="shared" si="33"/>
        <v>0</v>
      </c>
      <c r="T158" s="12">
        <f t="shared" si="34"/>
        <v>0</v>
      </c>
    </row>
    <row r="159" spans="13:20" ht="15" customHeight="1" x14ac:dyDescent="0.35">
      <c r="M159" s="12">
        <v>158</v>
      </c>
      <c r="N159" s="12" t="str">
        <f t="shared" si="29"/>
        <v>B</v>
      </c>
      <c r="O159" s="14">
        <f t="shared" si="30"/>
        <v>4.0599999999999996</v>
      </c>
      <c r="P159" s="15">
        <f t="shared" si="35"/>
        <v>641.47999999999854</v>
      </c>
      <c r="Q159" s="15">
        <f t="shared" si="31"/>
        <v>1033.9799999999987</v>
      </c>
      <c r="R159" s="12">
        <f t="shared" si="32"/>
        <v>0</v>
      </c>
      <c r="S159" s="12">
        <f t="shared" si="33"/>
        <v>0</v>
      </c>
      <c r="T159" s="12">
        <f t="shared" si="34"/>
        <v>0</v>
      </c>
    </row>
    <row r="160" spans="13:20" ht="15" customHeight="1" x14ac:dyDescent="0.35">
      <c r="M160" s="12">
        <v>159</v>
      </c>
      <c r="N160" s="12" t="str">
        <f t="shared" si="29"/>
        <v>B</v>
      </c>
      <c r="O160" s="14">
        <f t="shared" si="30"/>
        <v>4.0599999999999996</v>
      </c>
      <c r="P160" s="15">
        <f t="shared" si="35"/>
        <v>645.53999999999849</v>
      </c>
      <c r="Q160" s="15">
        <f t="shared" si="31"/>
        <v>1040.5399999999986</v>
      </c>
      <c r="R160" s="12">
        <f t="shared" si="32"/>
        <v>0</v>
      </c>
      <c r="S160" s="12">
        <f t="shared" si="33"/>
        <v>0</v>
      </c>
      <c r="T160" s="12">
        <f t="shared" si="34"/>
        <v>0</v>
      </c>
    </row>
    <row r="161" spans="13:20" ht="15" customHeight="1" x14ac:dyDescent="0.35">
      <c r="M161" s="12">
        <v>160</v>
      </c>
      <c r="N161" s="12" t="str">
        <f t="shared" si="29"/>
        <v>B</v>
      </c>
      <c r="O161" s="14">
        <f t="shared" si="30"/>
        <v>4.0599999999999996</v>
      </c>
      <c r="P161" s="15">
        <f t="shared" si="35"/>
        <v>649.59999999999843</v>
      </c>
      <c r="Q161" s="15">
        <f t="shared" si="31"/>
        <v>1047.0999999999985</v>
      </c>
      <c r="R161" s="12">
        <f t="shared" si="32"/>
        <v>0</v>
      </c>
      <c r="S161" s="12">
        <f t="shared" si="33"/>
        <v>0</v>
      </c>
      <c r="T161" s="12">
        <f t="shared" si="34"/>
        <v>0</v>
      </c>
    </row>
    <row r="162" spans="13:20" ht="15" customHeight="1" x14ac:dyDescent="0.35">
      <c r="M162" s="12">
        <v>161</v>
      </c>
      <c r="N162" s="12" t="str">
        <f t="shared" ref="N162:N193" si="36">IF(MOD(M162-1,$B$4+$B$7)&lt;$B$4,"A","B")</f>
        <v>A</v>
      </c>
      <c r="O162" s="14">
        <f t="shared" ref="O162:O193" si="37">IF(N162="A",$E$3,$E$4)</f>
        <v>4.0599999999999996</v>
      </c>
      <c r="P162" s="15">
        <f t="shared" si="35"/>
        <v>653.65999999999838</v>
      </c>
      <c r="Q162" s="15">
        <f t="shared" ref="Q162:Q193" si="38">P162+(M162-1)*$B$8</f>
        <v>1053.6599999999985</v>
      </c>
      <c r="R162" s="12">
        <f t="shared" ref="R162:R193" si="39">IF(AND(Q162&lt;=$B$9,N162="A"),1,0)</f>
        <v>0</v>
      </c>
      <c r="S162" s="12">
        <f t="shared" ref="S162:S193" si="40">IF(AND(Q162&lt;=$B$9,N162="B"),1,0)</f>
        <v>0</v>
      </c>
      <c r="T162" s="12">
        <f t="shared" ref="T162:T193" si="41">IF(Q162&lt;=$B$9,1,0)</f>
        <v>0</v>
      </c>
    </row>
    <row r="163" spans="13:20" ht="15" customHeight="1" x14ac:dyDescent="0.35">
      <c r="M163" s="12">
        <v>162</v>
      </c>
      <c r="N163" s="12" t="str">
        <f t="shared" si="36"/>
        <v>A</v>
      </c>
      <c r="O163" s="14">
        <f t="shared" si="37"/>
        <v>4.0599999999999996</v>
      </c>
      <c r="P163" s="15">
        <f t="shared" ref="P163:P194" si="42">P162+O163</f>
        <v>657.71999999999832</v>
      </c>
      <c r="Q163" s="15">
        <f t="shared" si="38"/>
        <v>1060.2199999999984</v>
      </c>
      <c r="R163" s="12">
        <f t="shared" si="39"/>
        <v>0</v>
      </c>
      <c r="S163" s="12">
        <f t="shared" si="40"/>
        <v>0</v>
      </c>
      <c r="T163" s="12">
        <f t="shared" si="41"/>
        <v>0</v>
      </c>
    </row>
    <row r="164" spans="13:20" ht="15" customHeight="1" x14ac:dyDescent="0.35">
      <c r="M164" s="12">
        <v>163</v>
      </c>
      <c r="N164" s="12" t="str">
        <f t="shared" si="36"/>
        <v>A</v>
      </c>
      <c r="O164" s="14">
        <f t="shared" si="37"/>
        <v>4.0599999999999996</v>
      </c>
      <c r="P164" s="15">
        <f t="shared" si="42"/>
        <v>661.77999999999827</v>
      </c>
      <c r="Q164" s="15">
        <f t="shared" si="38"/>
        <v>1066.7799999999984</v>
      </c>
      <c r="R164" s="12">
        <f t="shared" si="39"/>
        <v>0</v>
      </c>
      <c r="S164" s="12">
        <f t="shared" si="40"/>
        <v>0</v>
      </c>
      <c r="T164" s="12">
        <f t="shared" si="41"/>
        <v>0</v>
      </c>
    </row>
    <row r="165" spans="13:20" ht="15" customHeight="1" x14ac:dyDescent="0.35">
      <c r="M165" s="12">
        <v>164</v>
      </c>
      <c r="N165" s="12" t="str">
        <f t="shared" si="36"/>
        <v>B</v>
      </c>
      <c r="O165" s="14">
        <f t="shared" si="37"/>
        <v>4.0599999999999996</v>
      </c>
      <c r="P165" s="15">
        <f t="shared" si="42"/>
        <v>665.83999999999821</v>
      </c>
      <c r="Q165" s="15">
        <f t="shared" si="38"/>
        <v>1073.3399999999983</v>
      </c>
      <c r="R165" s="12">
        <f t="shared" si="39"/>
        <v>0</v>
      </c>
      <c r="S165" s="12">
        <f t="shared" si="40"/>
        <v>0</v>
      </c>
      <c r="T165" s="12">
        <f t="shared" si="41"/>
        <v>0</v>
      </c>
    </row>
    <row r="166" spans="13:20" ht="15" customHeight="1" x14ac:dyDescent="0.35">
      <c r="M166" s="12">
        <v>165</v>
      </c>
      <c r="N166" s="12" t="str">
        <f t="shared" si="36"/>
        <v>B</v>
      </c>
      <c r="O166" s="14">
        <f t="shared" si="37"/>
        <v>4.0599999999999996</v>
      </c>
      <c r="P166" s="15">
        <f t="shared" si="42"/>
        <v>669.89999999999816</v>
      </c>
      <c r="Q166" s="15">
        <f t="shared" si="38"/>
        <v>1079.8999999999983</v>
      </c>
      <c r="R166" s="12">
        <f t="shared" si="39"/>
        <v>0</v>
      </c>
      <c r="S166" s="12">
        <f t="shared" si="40"/>
        <v>0</v>
      </c>
      <c r="T166" s="12">
        <f t="shared" si="41"/>
        <v>0</v>
      </c>
    </row>
    <row r="167" spans="13:20" ht="15" customHeight="1" x14ac:dyDescent="0.35">
      <c r="M167" s="12">
        <v>166</v>
      </c>
      <c r="N167" s="12" t="str">
        <f t="shared" si="36"/>
        <v>B</v>
      </c>
      <c r="O167" s="14">
        <f t="shared" si="37"/>
        <v>4.0599999999999996</v>
      </c>
      <c r="P167" s="15">
        <f t="shared" si="42"/>
        <v>673.9599999999981</v>
      </c>
      <c r="Q167" s="15">
        <f t="shared" si="38"/>
        <v>1086.4599999999982</v>
      </c>
      <c r="R167" s="12">
        <f t="shared" si="39"/>
        <v>0</v>
      </c>
      <c r="S167" s="12">
        <f t="shared" si="40"/>
        <v>0</v>
      </c>
      <c r="T167" s="12">
        <f t="shared" si="41"/>
        <v>0</v>
      </c>
    </row>
    <row r="168" spans="13:20" ht="15" customHeight="1" x14ac:dyDescent="0.35">
      <c r="M168" s="12">
        <v>167</v>
      </c>
      <c r="N168" s="12" t="str">
        <f t="shared" si="36"/>
        <v>B</v>
      </c>
      <c r="O168" s="14">
        <f t="shared" si="37"/>
        <v>4.0599999999999996</v>
      </c>
      <c r="P168" s="15">
        <f t="shared" si="42"/>
        <v>678.01999999999805</v>
      </c>
      <c r="Q168" s="15">
        <f t="shared" si="38"/>
        <v>1093.0199999999982</v>
      </c>
      <c r="R168" s="12">
        <f t="shared" si="39"/>
        <v>0</v>
      </c>
      <c r="S168" s="12">
        <f t="shared" si="40"/>
        <v>0</v>
      </c>
      <c r="T168" s="12">
        <f t="shared" si="41"/>
        <v>0</v>
      </c>
    </row>
    <row r="169" spans="13:20" ht="15" customHeight="1" x14ac:dyDescent="0.35">
      <c r="M169" s="12">
        <v>168</v>
      </c>
      <c r="N169" s="12" t="str">
        <f t="shared" si="36"/>
        <v>B</v>
      </c>
      <c r="O169" s="14">
        <f t="shared" si="37"/>
        <v>4.0599999999999996</v>
      </c>
      <c r="P169" s="15">
        <f t="shared" si="42"/>
        <v>682.07999999999799</v>
      </c>
      <c r="Q169" s="15">
        <f t="shared" si="38"/>
        <v>1099.5799999999981</v>
      </c>
      <c r="R169" s="12">
        <f t="shared" si="39"/>
        <v>0</v>
      </c>
      <c r="S169" s="12">
        <f t="shared" si="40"/>
        <v>0</v>
      </c>
      <c r="T169" s="12">
        <f t="shared" si="41"/>
        <v>0</v>
      </c>
    </row>
    <row r="170" spans="13:20" ht="15" customHeight="1" x14ac:dyDescent="0.35">
      <c r="M170" s="12">
        <v>169</v>
      </c>
      <c r="N170" s="12" t="str">
        <f t="shared" si="36"/>
        <v>A</v>
      </c>
      <c r="O170" s="14">
        <f t="shared" si="37"/>
        <v>4.0599999999999996</v>
      </c>
      <c r="P170" s="15">
        <f t="shared" si="42"/>
        <v>686.13999999999794</v>
      </c>
      <c r="Q170" s="15">
        <f t="shared" si="38"/>
        <v>1106.1399999999981</v>
      </c>
      <c r="R170" s="12">
        <f t="shared" si="39"/>
        <v>0</v>
      </c>
      <c r="S170" s="12">
        <f t="shared" si="40"/>
        <v>0</v>
      </c>
      <c r="T170" s="12">
        <f t="shared" si="41"/>
        <v>0</v>
      </c>
    </row>
    <row r="171" spans="13:20" ht="15" customHeight="1" x14ac:dyDescent="0.35">
      <c r="M171" s="12">
        <v>170</v>
      </c>
      <c r="N171" s="12" t="str">
        <f t="shared" si="36"/>
        <v>A</v>
      </c>
      <c r="O171" s="14">
        <f t="shared" si="37"/>
        <v>4.0599999999999996</v>
      </c>
      <c r="P171" s="15">
        <f t="shared" si="42"/>
        <v>690.19999999999789</v>
      </c>
      <c r="Q171" s="15">
        <f t="shared" si="38"/>
        <v>1112.699999999998</v>
      </c>
      <c r="R171" s="12">
        <f t="shared" si="39"/>
        <v>0</v>
      </c>
      <c r="S171" s="12">
        <f t="shared" si="40"/>
        <v>0</v>
      </c>
      <c r="T171" s="12">
        <f t="shared" si="41"/>
        <v>0</v>
      </c>
    </row>
    <row r="172" spans="13:20" ht="15" customHeight="1" x14ac:dyDescent="0.35">
      <c r="M172" s="12">
        <v>171</v>
      </c>
      <c r="N172" s="12" t="str">
        <f t="shared" si="36"/>
        <v>A</v>
      </c>
      <c r="O172" s="14">
        <f t="shared" si="37"/>
        <v>4.0599999999999996</v>
      </c>
      <c r="P172" s="15">
        <f t="shared" si="42"/>
        <v>694.25999999999783</v>
      </c>
      <c r="Q172" s="15">
        <f t="shared" si="38"/>
        <v>1119.2599999999979</v>
      </c>
      <c r="R172" s="12">
        <f t="shared" si="39"/>
        <v>0</v>
      </c>
      <c r="S172" s="12">
        <f t="shared" si="40"/>
        <v>0</v>
      </c>
      <c r="T172" s="12">
        <f t="shared" si="41"/>
        <v>0</v>
      </c>
    </row>
    <row r="173" spans="13:20" ht="15" customHeight="1" x14ac:dyDescent="0.35">
      <c r="M173" s="12">
        <v>172</v>
      </c>
      <c r="N173" s="12" t="str">
        <f t="shared" si="36"/>
        <v>B</v>
      </c>
      <c r="O173" s="14">
        <f t="shared" si="37"/>
        <v>4.0599999999999996</v>
      </c>
      <c r="P173" s="15">
        <f t="shared" si="42"/>
        <v>698.31999999999778</v>
      </c>
      <c r="Q173" s="15">
        <f t="shared" si="38"/>
        <v>1125.8199999999979</v>
      </c>
      <c r="R173" s="12">
        <f t="shared" si="39"/>
        <v>0</v>
      </c>
      <c r="S173" s="12">
        <f t="shared" si="40"/>
        <v>0</v>
      </c>
      <c r="T173" s="12">
        <f t="shared" si="41"/>
        <v>0</v>
      </c>
    </row>
    <row r="174" spans="13:20" ht="15" customHeight="1" x14ac:dyDescent="0.35">
      <c r="M174" s="12">
        <v>173</v>
      </c>
      <c r="N174" s="12" t="str">
        <f t="shared" si="36"/>
        <v>B</v>
      </c>
      <c r="O174" s="14">
        <f t="shared" si="37"/>
        <v>4.0599999999999996</v>
      </c>
      <c r="P174" s="15">
        <f t="shared" si="42"/>
        <v>702.37999999999772</v>
      </c>
      <c r="Q174" s="15">
        <f t="shared" si="38"/>
        <v>1132.3799999999978</v>
      </c>
      <c r="R174" s="12">
        <f t="shared" si="39"/>
        <v>0</v>
      </c>
      <c r="S174" s="12">
        <f t="shared" si="40"/>
        <v>0</v>
      </c>
      <c r="T174" s="12">
        <f t="shared" si="41"/>
        <v>0</v>
      </c>
    </row>
    <row r="175" spans="13:20" ht="15" customHeight="1" x14ac:dyDescent="0.35">
      <c r="M175" s="12">
        <v>174</v>
      </c>
      <c r="N175" s="12" t="str">
        <f t="shared" si="36"/>
        <v>B</v>
      </c>
      <c r="O175" s="14">
        <f t="shared" si="37"/>
        <v>4.0599999999999996</v>
      </c>
      <c r="P175" s="15">
        <f t="shared" si="42"/>
        <v>706.43999999999767</v>
      </c>
      <c r="Q175" s="15">
        <f t="shared" si="38"/>
        <v>1138.9399999999978</v>
      </c>
      <c r="R175" s="12">
        <f t="shared" si="39"/>
        <v>0</v>
      </c>
      <c r="S175" s="12">
        <f t="shared" si="40"/>
        <v>0</v>
      </c>
      <c r="T175" s="12">
        <f t="shared" si="41"/>
        <v>0</v>
      </c>
    </row>
    <row r="176" spans="13:20" ht="15" customHeight="1" x14ac:dyDescent="0.35">
      <c r="M176" s="12">
        <v>175</v>
      </c>
      <c r="N176" s="12" t="str">
        <f t="shared" si="36"/>
        <v>B</v>
      </c>
      <c r="O176" s="14">
        <f t="shared" si="37"/>
        <v>4.0599999999999996</v>
      </c>
      <c r="P176" s="15">
        <f t="shared" si="42"/>
        <v>710.49999999999761</v>
      </c>
      <c r="Q176" s="15">
        <f t="shared" si="38"/>
        <v>1145.4999999999977</v>
      </c>
      <c r="R176" s="12">
        <f t="shared" si="39"/>
        <v>0</v>
      </c>
      <c r="S176" s="12">
        <f t="shared" si="40"/>
        <v>0</v>
      </c>
      <c r="T176" s="12">
        <f t="shared" si="41"/>
        <v>0</v>
      </c>
    </row>
    <row r="177" spans="13:20" ht="15" customHeight="1" x14ac:dyDescent="0.35">
      <c r="M177" s="12">
        <v>176</v>
      </c>
      <c r="N177" s="12" t="str">
        <f t="shared" si="36"/>
        <v>B</v>
      </c>
      <c r="O177" s="14">
        <f t="shared" si="37"/>
        <v>4.0599999999999996</v>
      </c>
      <c r="P177" s="15">
        <f t="shared" si="42"/>
        <v>714.55999999999756</v>
      </c>
      <c r="Q177" s="15">
        <f t="shared" si="38"/>
        <v>1152.0599999999977</v>
      </c>
      <c r="R177" s="12">
        <f t="shared" si="39"/>
        <v>0</v>
      </c>
      <c r="S177" s="12">
        <f t="shared" si="40"/>
        <v>0</v>
      </c>
      <c r="T177" s="12">
        <f t="shared" si="41"/>
        <v>0</v>
      </c>
    </row>
    <row r="178" spans="13:20" ht="15" customHeight="1" x14ac:dyDescent="0.35">
      <c r="M178" s="12">
        <v>177</v>
      </c>
      <c r="N178" s="12" t="str">
        <f t="shared" si="36"/>
        <v>A</v>
      </c>
      <c r="O178" s="14">
        <f t="shared" si="37"/>
        <v>4.0599999999999996</v>
      </c>
      <c r="P178" s="15">
        <f t="shared" si="42"/>
        <v>718.6199999999975</v>
      </c>
      <c r="Q178" s="15">
        <f t="shared" si="38"/>
        <v>1158.6199999999976</v>
      </c>
      <c r="R178" s="12">
        <f t="shared" si="39"/>
        <v>0</v>
      </c>
      <c r="S178" s="12">
        <f t="shared" si="40"/>
        <v>0</v>
      </c>
      <c r="T178" s="12">
        <f t="shared" si="41"/>
        <v>0</v>
      </c>
    </row>
    <row r="179" spans="13:20" ht="15" customHeight="1" x14ac:dyDescent="0.35">
      <c r="M179" s="12">
        <v>178</v>
      </c>
      <c r="N179" s="12" t="str">
        <f t="shared" si="36"/>
        <v>A</v>
      </c>
      <c r="O179" s="14">
        <f t="shared" si="37"/>
        <v>4.0599999999999996</v>
      </c>
      <c r="P179" s="15">
        <f t="shared" si="42"/>
        <v>722.67999999999745</v>
      </c>
      <c r="Q179" s="15">
        <f t="shared" si="38"/>
        <v>1165.1799999999976</v>
      </c>
      <c r="R179" s="12">
        <f t="shared" si="39"/>
        <v>0</v>
      </c>
      <c r="S179" s="12">
        <f t="shared" si="40"/>
        <v>0</v>
      </c>
      <c r="T179" s="12">
        <f t="shared" si="41"/>
        <v>0</v>
      </c>
    </row>
    <row r="180" spans="13:20" ht="15" customHeight="1" x14ac:dyDescent="0.35">
      <c r="M180" s="12">
        <v>179</v>
      </c>
      <c r="N180" s="12" t="str">
        <f t="shared" si="36"/>
        <v>A</v>
      </c>
      <c r="O180" s="14">
        <f t="shared" si="37"/>
        <v>4.0599999999999996</v>
      </c>
      <c r="P180" s="15">
        <f t="shared" si="42"/>
        <v>726.73999999999739</v>
      </c>
      <c r="Q180" s="15">
        <f t="shared" si="38"/>
        <v>1171.7399999999975</v>
      </c>
      <c r="R180" s="12">
        <f t="shared" si="39"/>
        <v>0</v>
      </c>
      <c r="S180" s="12">
        <f t="shared" si="40"/>
        <v>0</v>
      </c>
      <c r="T180" s="12">
        <f t="shared" si="41"/>
        <v>0</v>
      </c>
    </row>
    <row r="181" spans="13:20" ht="15" customHeight="1" x14ac:dyDescent="0.35">
      <c r="M181" s="12">
        <v>180</v>
      </c>
      <c r="N181" s="12" t="str">
        <f t="shared" si="36"/>
        <v>B</v>
      </c>
      <c r="O181" s="14">
        <f t="shared" si="37"/>
        <v>4.0599999999999996</v>
      </c>
      <c r="P181" s="15">
        <f t="shared" si="42"/>
        <v>730.79999999999734</v>
      </c>
      <c r="Q181" s="15">
        <f t="shared" si="38"/>
        <v>1178.2999999999975</v>
      </c>
      <c r="R181" s="12">
        <f t="shared" si="39"/>
        <v>0</v>
      </c>
      <c r="S181" s="12">
        <f t="shared" si="40"/>
        <v>0</v>
      </c>
      <c r="T181" s="12">
        <f t="shared" si="41"/>
        <v>0</v>
      </c>
    </row>
    <row r="182" spans="13:20" ht="15" customHeight="1" x14ac:dyDescent="0.35">
      <c r="M182" s="12">
        <v>181</v>
      </c>
      <c r="N182" s="12" t="str">
        <f t="shared" si="36"/>
        <v>B</v>
      </c>
      <c r="O182" s="14">
        <f t="shared" si="37"/>
        <v>4.0599999999999996</v>
      </c>
      <c r="P182" s="15">
        <f t="shared" si="42"/>
        <v>734.85999999999729</v>
      </c>
      <c r="Q182" s="15">
        <f t="shared" si="38"/>
        <v>1184.8599999999974</v>
      </c>
      <c r="R182" s="12">
        <f t="shared" si="39"/>
        <v>0</v>
      </c>
      <c r="S182" s="12">
        <f t="shared" si="40"/>
        <v>0</v>
      </c>
      <c r="T182" s="12">
        <f t="shared" si="41"/>
        <v>0</v>
      </c>
    </row>
    <row r="183" spans="13:20" ht="15" customHeight="1" x14ac:dyDescent="0.35">
      <c r="M183" s="12">
        <v>182</v>
      </c>
      <c r="N183" s="12" t="str">
        <f t="shared" si="36"/>
        <v>B</v>
      </c>
      <c r="O183" s="14">
        <f t="shared" si="37"/>
        <v>4.0599999999999996</v>
      </c>
      <c r="P183" s="15">
        <f t="shared" si="42"/>
        <v>738.91999999999723</v>
      </c>
      <c r="Q183" s="15">
        <f t="shared" si="38"/>
        <v>1191.4199999999973</v>
      </c>
      <c r="R183" s="12">
        <f t="shared" si="39"/>
        <v>0</v>
      </c>
      <c r="S183" s="12">
        <f t="shared" si="40"/>
        <v>0</v>
      </c>
      <c r="T183" s="12">
        <f t="shared" si="41"/>
        <v>0</v>
      </c>
    </row>
    <row r="184" spans="13:20" ht="15" customHeight="1" x14ac:dyDescent="0.35">
      <c r="M184" s="12">
        <v>183</v>
      </c>
      <c r="N184" s="12" t="str">
        <f t="shared" si="36"/>
        <v>B</v>
      </c>
      <c r="O184" s="14">
        <f t="shared" si="37"/>
        <v>4.0599999999999996</v>
      </c>
      <c r="P184" s="15">
        <f t="shared" si="42"/>
        <v>742.97999999999718</v>
      </c>
      <c r="Q184" s="15">
        <f t="shared" si="38"/>
        <v>1197.9799999999973</v>
      </c>
      <c r="R184" s="12">
        <f t="shared" si="39"/>
        <v>0</v>
      </c>
      <c r="S184" s="12">
        <f t="shared" si="40"/>
        <v>0</v>
      </c>
      <c r="T184" s="12">
        <f t="shared" si="41"/>
        <v>0</v>
      </c>
    </row>
    <row r="185" spans="13:20" ht="15" customHeight="1" x14ac:dyDescent="0.35">
      <c r="M185" s="12">
        <v>184</v>
      </c>
      <c r="N185" s="12" t="str">
        <f t="shared" si="36"/>
        <v>B</v>
      </c>
      <c r="O185" s="14">
        <f t="shared" si="37"/>
        <v>4.0599999999999996</v>
      </c>
      <c r="P185" s="15">
        <f t="shared" si="42"/>
        <v>747.03999999999712</v>
      </c>
      <c r="Q185" s="15">
        <f t="shared" si="38"/>
        <v>1204.5399999999972</v>
      </c>
      <c r="R185" s="12">
        <f t="shared" si="39"/>
        <v>0</v>
      </c>
      <c r="S185" s="12">
        <f t="shared" si="40"/>
        <v>0</v>
      </c>
      <c r="T185" s="12">
        <f t="shared" si="41"/>
        <v>0</v>
      </c>
    </row>
    <row r="186" spans="13:20" ht="15" customHeight="1" x14ac:dyDescent="0.35">
      <c r="M186" s="12">
        <v>185</v>
      </c>
      <c r="N186" s="12" t="str">
        <f t="shared" si="36"/>
        <v>A</v>
      </c>
      <c r="O186" s="14">
        <f t="shared" si="37"/>
        <v>4.0599999999999996</v>
      </c>
      <c r="P186" s="15">
        <f t="shared" si="42"/>
        <v>751.09999999999707</v>
      </c>
      <c r="Q186" s="15">
        <f t="shared" si="38"/>
        <v>1211.0999999999972</v>
      </c>
      <c r="R186" s="12">
        <f t="shared" si="39"/>
        <v>0</v>
      </c>
      <c r="S186" s="12">
        <f t="shared" si="40"/>
        <v>0</v>
      </c>
      <c r="T186" s="12">
        <f t="shared" si="41"/>
        <v>0</v>
      </c>
    </row>
    <row r="187" spans="13:20" ht="15" customHeight="1" x14ac:dyDescent="0.35">
      <c r="M187" s="12">
        <v>186</v>
      </c>
      <c r="N187" s="12" t="str">
        <f t="shared" si="36"/>
        <v>A</v>
      </c>
      <c r="O187" s="14">
        <f t="shared" si="37"/>
        <v>4.0599999999999996</v>
      </c>
      <c r="P187" s="15">
        <f t="shared" si="42"/>
        <v>755.15999999999701</v>
      </c>
      <c r="Q187" s="15">
        <f t="shared" si="38"/>
        <v>1217.6599999999971</v>
      </c>
      <c r="R187" s="12">
        <f t="shared" si="39"/>
        <v>0</v>
      </c>
      <c r="S187" s="12">
        <f t="shared" si="40"/>
        <v>0</v>
      </c>
      <c r="T187" s="12">
        <f t="shared" si="41"/>
        <v>0</v>
      </c>
    </row>
    <row r="188" spans="13:20" ht="15" customHeight="1" x14ac:dyDescent="0.35">
      <c r="M188" s="12">
        <v>187</v>
      </c>
      <c r="N188" s="12" t="str">
        <f t="shared" si="36"/>
        <v>A</v>
      </c>
      <c r="O188" s="14">
        <f t="shared" si="37"/>
        <v>4.0599999999999996</v>
      </c>
      <c r="P188" s="15">
        <f t="shared" si="42"/>
        <v>759.21999999999696</v>
      </c>
      <c r="Q188" s="15">
        <f t="shared" si="38"/>
        <v>1224.2199999999971</v>
      </c>
      <c r="R188" s="12">
        <f t="shared" si="39"/>
        <v>0</v>
      </c>
      <c r="S188" s="12">
        <f t="shared" si="40"/>
        <v>0</v>
      </c>
      <c r="T188" s="12">
        <f t="shared" si="41"/>
        <v>0</v>
      </c>
    </row>
    <row r="189" spans="13:20" ht="15" customHeight="1" x14ac:dyDescent="0.35">
      <c r="M189" s="12">
        <v>188</v>
      </c>
      <c r="N189" s="12" t="str">
        <f t="shared" si="36"/>
        <v>B</v>
      </c>
      <c r="O189" s="14">
        <f t="shared" si="37"/>
        <v>4.0599999999999996</v>
      </c>
      <c r="P189" s="15">
        <f t="shared" si="42"/>
        <v>763.2799999999969</v>
      </c>
      <c r="Q189" s="15">
        <f t="shared" si="38"/>
        <v>1230.779999999997</v>
      </c>
      <c r="R189" s="12">
        <f t="shared" si="39"/>
        <v>0</v>
      </c>
      <c r="S189" s="12">
        <f t="shared" si="40"/>
        <v>0</v>
      </c>
      <c r="T189" s="12">
        <f t="shared" si="41"/>
        <v>0</v>
      </c>
    </row>
    <row r="190" spans="13:20" ht="15" customHeight="1" x14ac:dyDescent="0.35">
      <c r="M190" s="12">
        <v>189</v>
      </c>
      <c r="N190" s="12" t="str">
        <f t="shared" si="36"/>
        <v>B</v>
      </c>
      <c r="O190" s="14">
        <f t="shared" si="37"/>
        <v>4.0599999999999996</v>
      </c>
      <c r="P190" s="15">
        <f t="shared" si="42"/>
        <v>767.33999999999685</v>
      </c>
      <c r="Q190" s="15">
        <f t="shared" si="38"/>
        <v>1237.339999999997</v>
      </c>
      <c r="R190" s="12">
        <f t="shared" si="39"/>
        <v>0</v>
      </c>
      <c r="S190" s="12">
        <f t="shared" si="40"/>
        <v>0</v>
      </c>
      <c r="T190" s="12">
        <f t="shared" si="41"/>
        <v>0</v>
      </c>
    </row>
    <row r="191" spans="13:20" ht="15" customHeight="1" x14ac:dyDescent="0.35">
      <c r="M191" s="12">
        <v>190</v>
      </c>
      <c r="N191" s="12" t="str">
        <f t="shared" si="36"/>
        <v>B</v>
      </c>
      <c r="O191" s="14">
        <f t="shared" si="37"/>
        <v>4.0599999999999996</v>
      </c>
      <c r="P191" s="15">
        <f t="shared" si="42"/>
        <v>771.39999999999679</v>
      </c>
      <c r="Q191" s="15">
        <f t="shared" si="38"/>
        <v>1243.8999999999969</v>
      </c>
      <c r="R191" s="12">
        <f t="shared" si="39"/>
        <v>0</v>
      </c>
      <c r="S191" s="12">
        <f t="shared" si="40"/>
        <v>0</v>
      </c>
      <c r="T191" s="12">
        <f t="shared" si="41"/>
        <v>0</v>
      </c>
    </row>
    <row r="192" spans="13:20" ht="15" customHeight="1" x14ac:dyDescent="0.35">
      <c r="M192" s="12">
        <v>191</v>
      </c>
      <c r="N192" s="12" t="str">
        <f t="shared" si="36"/>
        <v>B</v>
      </c>
      <c r="O192" s="14">
        <f t="shared" si="37"/>
        <v>4.0599999999999996</v>
      </c>
      <c r="P192" s="15">
        <f t="shared" si="42"/>
        <v>775.45999999999674</v>
      </c>
      <c r="Q192" s="15">
        <f t="shared" si="38"/>
        <v>1250.4599999999969</v>
      </c>
      <c r="R192" s="12">
        <f t="shared" si="39"/>
        <v>0</v>
      </c>
      <c r="S192" s="12">
        <f t="shared" si="40"/>
        <v>0</v>
      </c>
      <c r="T192" s="12">
        <f t="shared" si="41"/>
        <v>0</v>
      </c>
    </row>
    <row r="193" spans="13:20" ht="15" customHeight="1" x14ac:dyDescent="0.35">
      <c r="M193" s="12">
        <v>192</v>
      </c>
      <c r="N193" s="12" t="str">
        <f t="shared" si="36"/>
        <v>B</v>
      </c>
      <c r="O193" s="14">
        <f t="shared" si="37"/>
        <v>4.0599999999999996</v>
      </c>
      <c r="P193" s="15">
        <f t="shared" si="42"/>
        <v>779.51999999999668</v>
      </c>
      <c r="Q193" s="15">
        <f t="shared" si="38"/>
        <v>1257.0199999999968</v>
      </c>
      <c r="R193" s="12">
        <f t="shared" si="39"/>
        <v>0</v>
      </c>
      <c r="S193" s="12">
        <f t="shared" si="40"/>
        <v>0</v>
      </c>
      <c r="T193" s="12">
        <f t="shared" si="41"/>
        <v>0</v>
      </c>
    </row>
    <row r="194" spans="13:20" ht="15" customHeight="1" x14ac:dyDescent="0.35">
      <c r="M194" s="12">
        <v>193</v>
      </c>
      <c r="N194" s="12" t="str">
        <f t="shared" ref="N194:N225" si="43">IF(MOD(M194-1,$B$4+$B$7)&lt;$B$4,"A","B")</f>
        <v>A</v>
      </c>
      <c r="O194" s="14">
        <f t="shared" ref="O194:O225" si="44">IF(N194="A",$E$3,$E$4)</f>
        <v>4.0599999999999996</v>
      </c>
      <c r="P194" s="15">
        <f t="shared" si="42"/>
        <v>783.57999999999663</v>
      </c>
      <c r="Q194" s="15">
        <f t="shared" ref="Q194:Q225" si="45">P194+(M194-1)*$B$8</f>
        <v>1263.5799999999967</v>
      </c>
      <c r="R194" s="12">
        <f t="shared" ref="R194:R225" si="46">IF(AND(Q194&lt;=$B$9,N194="A"),1,0)</f>
        <v>0</v>
      </c>
      <c r="S194" s="12">
        <f t="shared" ref="S194:S201" si="47">IF(AND(Q194&lt;=$B$9,N194="B"),1,0)</f>
        <v>0</v>
      </c>
      <c r="T194" s="12">
        <f t="shared" ref="T194:T201" si="48">IF(Q194&lt;=$B$9,1,0)</f>
        <v>0</v>
      </c>
    </row>
    <row r="195" spans="13:20" ht="15" customHeight="1" x14ac:dyDescent="0.35">
      <c r="M195" s="12">
        <v>194</v>
      </c>
      <c r="N195" s="12" t="str">
        <f t="shared" si="43"/>
        <v>A</v>
      </c>
      <c r="O195" s="14">
        <f t="shared" si="44"/>
        <v>4.0599999999999996</v>
      </c>
      <c r="P195" s="15">
        <f t="shared" ref="P195:P226" si="49">P194+O195</f>
        <v>787.63999999999658</v>
      </c>
      <c r="Q195" s="15">
        <f t="shared" si="45"/>
        <v>1270.1399999999967</v>
      </c>
      <c r="R195" s="12">
        <f t="shared" si="46"/>
        <v>0</v>
      </c>
      <c r="S195" s="12">
        <f t="shared" si="47"/>
        <v>0</v>
      </c>
      <c r="T195" s="12">
        <f t="shared" si="48"/>
        <v>0</v>
      </c>
    </row>
    <row r="196" spans="13:20" ht="15" customHeight="1" x14ac:dyDescent="0.35">
      <c r="M196" s="12">
        <v>195</v>
      </c>
      <c r="N196" s="12" t="str">
        <f t="shared" si="43"/>
        <v>A</v>
      </c>
      <c r="O196" s="14">
        <f t="shared" si="44"/>
        <v>4.0599999999999996</v>
      </c>
      <c r="P196" s="15">
        <f t="shared" si="49"/>
        <v>791.69999999999652</v>
      </c>
      <c r="Q196" s="15">
        <f t="shared" si="45"/>
        <v>1276.6999999999966</v>
      </c>
      <c r="R196" s="12">
        <f t="shared" si="46"/>
        <v>0</v>
      </c>
      <c r="S196" s="12">
        <f t="shared" si="47"/>
        <v>0</v>
      </c>
      <c r="T196" s="12">
        <f t="shared" si="48"/>
        <v>0</v>
      </c>
    </row>
    <row r="197" spans="13:20" ht="15" customHeight="1" x14ac:dyDescent="0.35">
      <c r="M197" s="12">
        <v>196</v>
      </c>
      <c r="N197" s="12" t="str">
        <f t="shared" si="43"/>
        <v>B</v>
      </c>
      <c r="O197" s="14">
        <f t="shared" si="44"/>
        <v>4.0599999999999996</v>
      </c>
      <c r="P197" s="15">
        <f t="shared" si="49"/>
        <v>795.75999999999647</v>
      </c>
      <c r="Q197" s="15">
        <f t="shared" si="45"/>
        <v>1283.2599999999966</v>
      </c>
      <c r="R197" s="12">
        <f t="shared" si="46"/>
        <v>0</v>
      </c>
      <c r="S197" s="12">
        <f t="shared" si="47"/>
        <v>0</v>
      </c>
      <c r="T197" s="12">
        <f t="shared" si="48"/>
        <v>0</v>
      </c>
    </row>
    <row r="198" spans="13:20" ht="15" customHeight="1" x14ac:dyDescent="0.35">
      <c r="M198" s="12">
        <v>197</v>
      </c>
      <c r="N198" s="12" t="str">
        <f t="shared" si="43"/>
        <v>B</v>
      </c>
      <c r="O198" s="14">
        <f t="shared" si="44"/>
        <v>4.0599999999999996</v>
      </c>
      <c r="P198" s="15">
        <f t="shared" si="49"/>
        <v>799.81999999999641</v>
      </c>
      <c r="Q198" s="15">
        <f t="shared" si="45"/>
        <v>1289.8199999999965</v>
      </c>
      <c r="R198" s="12">
        <f t="shared" si="46"/>
        <v>0</v>
      </c>
      <c r="S198" s="12">
        <f t="shared" si="47"/>
        <v>0</v>
      </c>
      <c r="T198" s="12">
        <f t="shared" si="48"/>
        <v>0</v>
      </c>
    </row>
    <row r="199" spans="13:20" ht="15" customHeight="1" x14ac:dyDescent="0.35">
      <c r="M199" s="12">
        <v>198</v>
      </c>
      <c r="N199" s="12" t="str">
        <f t="shared" si="43"/>
        <v>B</v>
      </c>
      <c r="O199" s="14">
        <f t="shared" si="44"/>
        <v>4.0599999999999996</v>
      </c>
      <c r="P199" s="15">
        <f t="shared" si="49"/>
        <v>803.87999999999636</v>
      </c>
      <c r="Q199" s="15">
        <f t="shared" si="45"/>
        <v>1296.3799999999965</v>
      </c>
      <c r="R199" s="12">
        <f t="shared" si="46"/>
        <v>0</v>
      </c>
      <c r="S199" s="12">
        <f t="shared" si="47"/>
        <v>0</v>
      </c>
      <c r="T199" s="12">
        <f t="shared" si="48"/>
        <v>0</v>
      </c>
    </row>
    <row r="200" spans="13:20" ht="15" customHeight="1" x14ac:dyDescent="0.35">
      <c r="M200" s="12">
        <v>199</v>
      </c>
      <c r="N200" s="12" t="str">
        <f t="shared" si="43"/>
        <v>B</v>
      </c>
      <c r="O200" s="14">
        <f t="shared" si="44"/>
        <v>4.0599999999999996</v>
      </c>
      <c r="P200" s="15">
        <f t="shared" si="49"/>
        <v>807.9399999999963</v>
      </c>
      <c r="Q200" s="15">
        <f t="shared" si="45"/>
        <v>1302.9399999999964</v>
      </c>
      <c r="R200" s="12">
        <f t="shared" si="46"/>
        <v>0</v>
      </c>
      <c r="S200" s="12">
        <f t="shared" si="47"/>
        <v>0</v>
      </c>
      <c r="T200" s="12">
        <f t="shared" si="48"/>
        <v>0</v>
      </c>
    </row>
    <row r="201" spans="13:20" ht="15" customHeight="1" x14ac:dyDescent="0.35">
      <c r="M201" s="12">
        <v>200</v>
      </c>
      <c r="N201" s="12" t="str">
        <f t="shared" si="43"/>
        <v>B</v>
      </c>
      <c r="O201" s="14">
        <f t="shared" si="44"/>
        <v>4.0599999999999996</v>
      </c>
      <c r="P201" s="15">
        <f t="shared" si="49"/>
        <v>811.99999999999625</v>
      </c>
      <c r="Q201" s="15">
        <f t="shared" si="45"/>
        <v>1309.4999999999964</v>
      </c>
      <c r="R201" s="12">
        <f t="shared" si="46"/>
        <v>0</v>
      </c>
      <c r="S201" s="12">
        <f t="shared" si="47"/>
        <v>0</v>
      </c>
      <c r="T201" s="12">
        <f t="shared" si="48"/>
        <v>0</v>
      </c>
    </row>
  </sheetData>
  <mergeCells count="1">
    <mergeCell ref="A1:F1"/>
  </mergeCells>
  <hyperlinks>
    <hyperlink ref="G1" location="'สารบัญ'!A1" display="🏠 สารบัญ" xr:uid="{00000000-0004-0000-3C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15</vt:i4>
      </vt:variant>
    </vt:vector>
  </HeadingPairs>
  <TitlesOfParts>
    <vt:vector size="76" baseType="lpstr">
      <vt:lpstr>สารบัญ</vt:lpstr>
      <vt:lpstr>อัปเดตราคาอลู</vt:lpstr>
      <vt:lpstr>ราคาสี</vt:lpstr>
      <vt:lpstr>บันทึกราคาขึ้น</vt:lpstr>
      <vt:lpstr>ราคางานเสริม</vt:lpstr>
      <vt:lpstr>ราคาออโต้</vt:lpstr>
      <vt:lpstr>ราคาวัสดุ</vt:lpstr>
      <vt:lpstr>ค่าแรง</vt:lpstr>
      <vt:lpstr>ราคามุ้ง</vt:lpstr>
      <vt:lpstr>log กระจก</vt:lpstr>
      <vt:lpstr>LUT_ฝ้าไม้เทียม</vt:lpstr>
      <vt:lpstr>น้ำหนักโปรไฟล์</vt:lpstr>
      <vt:lpstr>ราคาวัสดุกลาง</vt:lpstr>
      <vt:lpstr>คิดทุน SMS</vt:lpstr>
      <vt:lpstr>คิดทุน ยูโร</vt:lpstr>
      <vt:lpstr>คิดทุน SlimLux</vt:lpstr>
      <vt:lpstr>คิดทุน บานเลื่อนรางบน</vt:lpstr>
      <vt:lpstr>คิดทุน บานเปิด</vt:lpstr>
      <vt:lpstr>คิดทุน กระทุ้ง</vt:lpstr>
      <vt:lpstr>คิดทุน เฟี้ยม</vt:lpstr>
      <vt:lpstr>คิดทุน ติดตาย</vt:lpstr>
      <vt:lpstr>คิดทุน Velora</vt:lpstr>
      <vt:lpstr>คิดทุน E-series</vt:lpstr>
      <vt:lpstr>คิดทุน PC Door</vt:lpstr>
      <vt:lpstr>คิดทุน บานยก</vt:lpstr>
      <vt:lpstr>คิดทุน เฟี้ยมยูโร</vt:lpstr>
      <vt:lpstr>คิดทุน ตายดัดโค้ง</vt:lpstr>
      <vt:lpstr>คิดทุน เปิดดัดโค้ง</vt:lpstr>
      <vt:lpstr>คิดทุน ระแนง</vt:lpstr>
      <vt:lpstr>คิดทุน ระแนงสลับ</vt:lpstr>
      <vt:lpstr>คิดทุน ประตูรั้ว</vt:lpstr>
      <vt:lpstr>คิดทุน บานเกล็ด</vt:lpstr>
      <vt:lpstr>คิดทุน ระแนงหมุน</vt:lpstr>
      <vt:lpstr>คิดทุน หลังคา (รวม)</vt:lpstr>
      <vt:lpstr>ฝ้ายิปซัม</vt:lpstr>
      <vt:lpstr>งานไฟ</vt:lpstr>
      <vt:lpstr>สมาร์ทบอร์ด</vt:lpstr>
      <vt:lpstr>ไอโซวอล</vt:lpstr>
      <vt:lpstr>คิดทุนฝ้าไม้เทียม</vt:lpstr>
      <vt:lpstr>หน้าตารางรวม</vt:lpstr>
      <vt:lpstr>สรุปค่าแรง</vt:lpstr>
      <vt:lpstr>สรุปงานเสริม</vt:lpstr>
      <vt:lpstr>เทียบ R3.9 SMS</vt:lpstr>
      <vt:lpstr>เทียบ R3.9 ยูโร</vt:lpstr>
      <vt:lpstr>เทียบ E-series</vt:lpstr>
      <vt:lpstr>เทียบ เฟี้ยมยูโร</vt:lpstr>
      <vt:lpstr>ทุนไวนิล</vt:lpstr>
      <vt:lpstr>ทุนดีไลท์</vt:lpstr>
      <vt:lpstr>ทุนโพลีตัน</vt:lpstr>
      <vt:lpstr>ทุนชินโคร์ HC</vt:lpstr>
      <vt:lpstr>ทุนชินโคร์ Sup</vt:lpstr>
      <vt:lpstr>ทุนเมทัลชีท</vt:lpstr>
      <vt:lpstr>ทุนกระจก 4+4</vt:lpstr>
      <vt:lpstr>ทุนกระจก 5+5</vt:lpstr>
      <vt:lpstr>เทียบ R3.9</vt:lpstr>
      <vt:lpstr>สีฝ้าไม้เทียม</vt:lpstr>
      <vt:lpstr>เช็กขนาดกระจก</vt:lpstr>
      <vt:lpstr>คิดทุน หลังคา</vt:lpstr>
      <vt:lpstr>คิดทุน หลังคาจั่ว</vt:lpstr>
      <vt:lpstr>คิดทุน หลังคาเลื่อน</vt:lpstr>
      <vt:lpstr>ระแนงสลับ_ประตู</vt:lpstr>
      <vt:lpstr>ClothList</vt:lpstr>
      <vt:lpstr>GlassNames</vt:lpstr>
      <vt:lpstr>mult_euro</vt:lpstr>
      <vt:lpstr>mult_mtong</vt:lpstr>
      <vt:lpstr>mult_slim</vt:lpstr>
      <vt:lpstr>mult_sms</vt:lpstr>
      <vt:lpstr>mult_velora</vt:lpstr>
      <vt:lpstr>mult_wood</vt:lpstr>
      <vt:lpstr>MungList</vt:lpstr>
      <vt:lpstr>MungReady</vt:lpstr>
      <vt:lpstr>rate_grey</vt:lpstr>
      <vt:lpstr>rate_special</vt:lpstr>
      <vt:lpstr>rate_woodbake</vt:lpstr>
      <vt:lpstr>rate_woodstock</vt:lpstr>
      <vt:lpstr>SlimLuxGlass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Siwanut Limkul</cp:lastModifiedBy>
  <cp:revision>0</cp:revision>
  <dcterms:created xsi:type="dcterms:W3CDTF">2026-06-09T08:50:21Z</dcterms:created>
  <dcterms:modified xsi:type="dcterms:W3CDTF">2026-06-25T12:56:47Z</dcterms:modified>
  <dc:language>en-US</dc:language>
</cp:coreProperties>
</file>