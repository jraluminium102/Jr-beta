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ralu\AppData\Local\Temp\claude\C--Users-jralu-OneDrive-Desktop-------------------\7e99c45c-ab35-42a5-8d92-b50b680d895a\scratchpad\"/>
    </mc:Choice>
  </mc:AlternateContent>
  <xr:revisionPtr revIDLastSave="0" documentId="13_ncr:1_{76860C4F-499B-4B87-BB3A-7639E335DD4D}" xr6:coauthVersionLast="47" xr6:coauthVersionMax="47" xr10:uidLastSave="{00000000-0000-0000-0000-000000000000}"/>
  <bookViews>
    <workbookView xWindow="-108" yWindow="-108" windowWidth="23256" windowHeight="13896" tabRatio="500" firstSheet="12" activeTab="12" xr2:uid="{00000000-000D-0000-FFFF-FFFF00000000}"/>
  </bookViews>
  <sheets>
    <sheet name="สารบัญ" sheetId="1" r:id="rId1"/>
    <sheet name="อัปเดตราคาอลู" sheetId="2" r:id="rId2"/>
    <sheet name="ราคาสี" sheetId="3" r:id="rId3"/>
    <sheet name="บันทึกราคาขึ้น" sheetId="4" r:id="rId4"/>
    <sheet name="ราคางานเสริม" sheetId="5" r:id="rId5"/>
    <sheet name="ราคาออโต้" sheetId="6" r:id="rId6"/>
    <sheet name="ราคาหลังคา" sheetId="7" r:id="rId7"/>
    <sheet name="ราคาเหล็ก" sheetId="8" r:id="rId8"/>
    <sheet name="ค่าแรง" sheetId="9" r:id="rId9"/>
    <sheet name="ราคามุ้ง" sheetId="10" r:id="rId10"/>
    <sheet name="ราคาฝ้าไม้เทียม" sheetId="12" r:id="rId11"/>
    <sheet name="น้ำหนักโปรไฟล์" sheetId="13" r:id="rId12"/>
    <sheet name="ราคากระจก" sheetId="14" r:id="rId13"/>
    <sheet name="คิดทุน SMS" sheetId="15" r:id="rId14"/>
    <sheet name="คิดทุน ยูโร" sheetId="16" r:id="rId15"/>
    <sheet name="คิดทุน SlimLux" sheetId="17" r:id="rId16"/>
    <sheet name="คิดทุน บานเลื่อนรางบน" sheetId="18" r:id="rId17"/>
    <sheet name="คิดทุน บานเปิด" sheetId="19" r:id="rId18"/>
    <sheet name="คิดทุน บานหมุน" sheetId="20" r:id="rId19"/>
    <sheet name="คิดทุน กระทุ้ง" sheetId="21" r:id="rId20"/>
    <sheet name="คิดทุน เฟี้ยม" sheetId="22" r:id="rId21"/>
    <sheet name="คิดทุน ติดตาย" sheetId="23" r:id="rId22"/>
    <sheet name="คิดทุน Velora" sheetId="24" r:id="rId23"/>
    <sheet name="คิดทุน E-series" sheetId="25" r:id="rId24"/>
    <sheet name="คิดทุน PC Door" sheetId="26" r:id="rId25"/>
    <sheet name="คิดทุน บานยก" sheetId="27" r:id="rId26"/>
    <sheet name="คิดทุน เฟี้ยมยูโร" sheetId="28" r:id="rId27"/>
    <sheet name="คิดทุน ตายดัดโค้ง" sheetId="29" r:id="rId28"/>
    <sheet name="คิดทุน เปิดดัดโค้ง" sheetId="30" r:id="rId29"/>
    <sheet name="คิดทุน ระแนง" sheetId="31" r:id="rId30"/>
    <sheet name="คิดทุน ระแนงสลับ" sheetId="32" r:id="rId31"/>
    <sheet name="คิดทุน ประตูรั้ว" sheetId="33" r:id="rId32"/>
    <sheet name="คิดทุน บานเกล็ด" sheetId="34" r:id="rId33"/>
    <sheet name="คิดทุน ระแนงหมุน" sheetId="35" r:id="rId34"/>
    <sheet name="คิดทุน หลังคา (รวม)" sheetId="36" r:id="rId35"/>
    <sheet name="ฝ้ายิปซัม" sheetId="37" r:id="rId36"/>
    <sheet name="งานไฟ" sheetId="38" r:id="rId37"/>
    <sheet name="สมาร์ทบอร์ด" sheetId="39" r:id="rId38"/>
    <sheet name="ไอโซวอล" sheetId="40" r:id="rId39"/>
    <sheet name="คิดทุนฝ้าไม้เทียม" sheetId="41" r:id="rId40"/>
    <sheet name="หน้าตารางรวม" sheetId="42" r:id="rId41"/>
    <sheet name="สรุปค่าแรง" sheetId="43" r:id="rId42"/>
    <sheet name="สรุปงานเสริม" sheetId="44" r:id="rId43"/>
    <sheet name="สีฝ้าไม้เทียม" sheetId="58" r:id="rId44"/>
    <sheet name="เช็กขนาดกระจก" sheetId="59" r:id="rId45"/>
    <sheet name="คิดทุน หลังคา" sheetId="60" state="hidden" r:id="rId46"/>
    <sheet name="คิดทุน หลังคาจั่ว" sheetId="61" state="hidden" r:id="rId47"/>
    <sheet name="คิดทุน หลังคาเลื่อน" sheetId="62" state="hidden" r:id="rId48"/>
    <sheet name="ระแนงสลับ_ประตู" sheetId="63" r:id="rId49"/>
    <sheet name="คิดทุน สมาร์ทบอร์ดพื้น" sheetId="64" r:id="rId50"/>
    <sheet name="ชีทอุปกรณ์" sheetId="65" r:id="rId51"/>
    <sheet name="คิดทุน บานตู้ Futuretech" sheetId="66" r:id="rId52"/>
    <sheet name="คิดทุน ชุด Shower" sheetId="67" r:id="rId53"/>
    <sheet name="คิดทุน ราวกันตก" sheetId="68" r:id="rId54"/>
    <sheet name="คิดทุน บานโซลิด" sheetId="69" r:id="rId55"/>
    <sheet name="คิดทุน บานระแนงเลื่อน" sheetId="70" r:id="rId56"/>
    <sheet name="คิดทุน YKK" sheetId="71" r:id="rId57"/>
    <sheet name="คิดทุน เฟี้ยมยก" sheetId="72" r:id="rId58"/>
    <sheet name="คิดทุน บานเปลือย" sheetId="73" r:id="rId59"/>
    <sheet name="SlimLux_ตัด" sheetId="74" state="hidden" r:id="rId60"/>
    <sheet name="Velora_ตัด" sheetId="75" state="hidden" r:id="rId61"/>
  </sheets>
  <definedNames>
    <definedName name="buf_roof">อัปเดตราคาอลู!$B$23</definedName>
    <definedName name="buf_scrap">อัปเดตราคาอลู!$B$22</definedName>
    <definedName name="ClothList">ราคามุ้ง!$I$2:$I$5</definedName>
    <definedName name="GlassNames">ราคากระจก!$A$3:$A$112</definedName>
    <definedName name="mult_euro">อัปเดตราคาอลู!$C$5</definedName>
    <definedName name="mult_mtong">อัปเดตราคาอลู!$C$8</definedName>
    <definedName name="mult_slim">อัปเดตราคาอลู!$C$6</definedName>
    <definedName name="mult_sms">อัปเดตราคาอลู!$C$4</definedName>
    <definedName name="mult_velora">อัปเดตราคาอลู!$C$7</definedName>
    <definedName name="mult_wood">อัปเดตราคาอลู!$C$20</definedName>
    <definedName name="MungList">ราคามุ้ง!$G$1:$G$15</definedName>
    <definedName name="MungReady">ราคามุ้ง!$G$1:$G$12</definedName>
    <definedName name="_xlnm.Print_Titles" localSheetId="12">ราคากระจก!$1:$2</definedName>
    <definedName name="rate_anodize">อัปเดตราคาอลู!$B$18</definedName>
    <definedName name="rate_grey">อัปเดตราคาอลู!$B$13</definedName>
    <definedName name="rate_special">อัปเดตราคาอลู!$B$14</definedName>
    <definedName name="rate_woodbake">อัปเดตราคาอลู!$B$15</definedName>
    <definedName name="rate_woodstock">อัปเดตราคาอลู!$B$16</definedName>
    <definedName name="SlimLuxGlass">'คิดทุน SlimLux'!$AA$1:$AA$21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3" l="1"/>
  <c r="B2" i="63"/>
  <c r="H20" i="62"/>
  <c r="H19" i="62"/>
  <c r="B33" i="69"/>
  <c r="B24" i="69"/>
  <c r="C5" i="25"/>
  <c r="C5" i="70"/>
  <c r="C5" i="16"/>
  <c r="C5" i="15"/>
  <c r="C5" i="35"/>
  <c r="C5" i="31"/>
  <c r="C6" i="19"/>
  <c r="C6" i="69"/>
  <c r="C6" i="20"/>
  <c r="C8" i="73"/>
  <c r="C7" i="17"/>
  <c r="C2" i="17"/>
  <c r="C6" i="34"/>
  <c r="C11" i="67"/>
  <c r="C9" i="67"/>
  <c r="C8" i="66"/>
  <c r="C7" i="66"/>
  <c r="B6" i="66"/>
  <c r="C23" i="66" s="1"/>
  <c r="H14" i="62"/>
  <c r="C9" i="36"/>
  <c r="A11" i="36"/>
  <c r="A10" i="36"/>
  <c r="A9" i="36"/>
  <c r="C15" i="36"/>
  <c r="B6" i="62"/>
  <c r="B3" i="60"/>
  <c r="B12" i="60" s="1"/>
  <c r="A40" i="36"/>
  <c r="K6" i="62"/>
  <c r="B18" i="16"/>
  <c r="B17" i="16"/>
  <c r="C14" i="16"/>
  <c r="B14" i="16"/>
  <c r="B13" i="16"/>
  <c r="B19" i="27"/>
  <c r="B18" i="27"/>
  <c r="B17" i="27"/>
  <c r="F4" i="18"/>
  <c r="F35" i="75"/>
  <c r="F14" i="75"/>
  <c r="F13" i="75"/>
  <c r="F12" i="75"/>
  <c r="F11" i="75"/>
  <c r="F10" i="75"/>
  <c r="F9" i="75"/>
  <c r="C5" i="75"/>
  <c r="E12" i="75" s="1"/>
  <c r="G21" i="75" s="1"/>
  <c r="C4" i="75"/>
  <c r="D37" i="74"/>
  <c r="F29" i="74"/>
  <c r="F28" i="74"/>
  <c r="F25" i="74"/>
  <c r="F24" i="74"/>
  <c r="F21" i="74"/>
  <c r="C20" i="74"/>
  <c r="F18" i="74"/>
  <c r="C15" i="74"/>
  <c r="F20" i="74" s="1"/>
  <c r="C12" i="74"/>
  <c r="E50" i="74" s="1"/>
  <c r="C10" i="74"/>
  <c r="C27" i="74" s="1"/>
  <c r="C9" i="74"/>
  <c r="C13" i="74" s="1"/>
  <c r="C6" i="74"/>
  <c r="H48" i="74" s="1"/>
  <c r="C5" i="74"/>
  <c r="D45" i="74" s="1"/>
  <c r="C4" i="74"/>
  <c r="D44" i="74" s="1"/>
  <c r="C19" i="73"/>
  <c r="D18" i="73"/>
  <c r="C18" i="73"/>
  <c r="D17" i="73"/>
  <c r="C17" i="73"/>
  <c r="D16" i="73"/>
  <c r="C16" i="73"/>
  <c r="D15" i="73"/>
  <c r="C15" i="73"/>
  <c r="B7" i="73"/>
  <c r="H4" i="73"/>
  <c r="D14" i="73" s="1"/>
  <c r="E34" i="72"/>
  <c r="B33" i="72"/>
  <c r="B31" i="72"/>
  <c r="C31" i="72" s="1"/>
  <c r="E31" i="72" s="1"/>
  <c r="B30" i="72"/>
  <c r="C30" i="72" s="1"/>
  <c r="E30" i="72" s="1"/>
  <c r="B29" i="72"/>
  <c r="C29" i="72" s="1"/>
  <c r="E29" i="72" s="1"/>
  <c r="C27" i="72"/>
  <c r="E27" i="72" s="1"/>
  <c r="C26" i="72"/>
  <c r="E26" i="72" s="1"/>
  <c r="E25" i="72"/>
  <c r="E24" i="72"/>
  <c r="E23" i="72"/>
  <c r="D22" i="72"/>
  <c r="E22" i="72" s="1"/>
  <c r="D21" i="72"/>
  <c r="E21" i="72" s="1"/>
  <c r="C20" i="72"/>
  <c r="E20" i="72" s="1"/>
  <c r="D19" i="72"/>
  <c r="E19" i="72" s="1"/>
  <c r="D17" i="72"/>
  <c r="B17" i="72"/>
  <c r="C17" i="72" s="1"/>
  <c r="D16" i="72"/>
  <c r="B16" i="72"/>
  <c r="C16" i="72" s="1"/>
  <c r="D15" i="72"/>
  <c r="B15" i="72"/>
  <c r="C15" i="72" s="1"/>
  <c r="D14" i="72"/>
  <c r="B14" i="72"/>
  <c r="C14" i="72" s="1"/>
  <c r="D13" i="72"/>
  <c r="B13" i="72"/>
  <c r="C13" i="72" s="1"/>
  <c r="D12" i="72"/>
  <c r="B12" i="72"/>
  <c r="C12" i="72" s="1"/>
  <c r="D11" i="72"/>
  <c r="B11" i="72"/>
  <c r="C11" i="72" s="1"/>
  <c r="C8" i="72"/>
  <c r="B5" i="72"/>
  <c r="F10" i="71"/>
  <c r="G10" i="71" s="1"/>
  <c r="D10" i="71"/>
  <c r="F9" i="71"/>
  <c r="G9" i="71" s="1"/>
  <c r="I9" i="71" s="1"/>
  <c r="D9" i="71"/>
  <c r="F8" i="71"/>
  <c r="G8" i="71" s="1"/>
  <c r="D8" i="71"/>
  <c r="F7" i="71"/>
  <c r="G7" i="71" s="1"/>
  <c r="D7" i="71"/>
  <c r="G59" i="70"/>
  <c r="C59" i="70"/>
  <c r="B59" i="70"/>
  <c r="G58" i="70"/>
  <c r="B58" i="70"/>
  <c r="D58" i="70" s="1"/>
  <c r="G57" i="70"/>
  <c r="D57" i="70"/>
  <c r="G56" i="70"/>
  <c r="G55" i="70"/>
  <c r="G54" i="70"/>
  <c r="G53" i="70"/>
  <c r="G52" i="70"/>
  <c r="G51" i="70"/>
  <c r="H39" i="70"/>
  <c r="H38" i="70"/>
  <c r="C38" i="70"/>
  <c r="C37" i="70"/>
  <c r="H36" i="70"/>
  <c r="C36" i="70"/>
  <c r="H35" i="70"/>
  <c r="D41" i="70" s="1"/>
  <c r="H34" i="70"/>
  <c r="C39" i="70" s="1"/>
  <c r="D34" i="70"/>
  <c r="C34" i="70"/>
  <c r="C27" i="70"/>
  <c r="B27" i="70"/>
  <c r="C26" i="70"/>
  <c r="B26" i="70"/>
  <c r="B25" i="70"/>
  <c r="D25" i="70" s="1"/>
  <c r="C23" i="70"/>
  <c r="C20" i="70"/>
  <c r="B20" i="70"/>
  <c r="C19" i="70"/>
  <c r="C18" i="70"/>
  <c r="B18" i="70"/>
  <c r="C17" i="70"/>
  <c r="B17" i="70"/>
  <c r="C16" i="70"/>
  <c r="C15" i="70"/>
  <c r="C14" i="70"/>
  <c r="C13" i="70"/>
  <c r="B13" i="70"/>
  <c r="C12" i="70"/>
  <c r="B12" i="70"/>
  <c r="C11" i="70"/>
  <c r="B11" i="70"/>
  <c r="F6" i="70"/>
  <c r="B16" i="70" s="1"/>
  <c r="B6" i="70"/>
  <c r="F5" i="70"/>
  <c r="F4" i="70"/>
  <c r="B23" i="70" s="1"/>
  <c r="F3" i="70"/>
  <c r="B22" i="70" s="1"/>
  <c r="D22" i="70" s="1"/>
  <c r="F2" i="70"/>
  <c r="B19" i="70" s="1"/>
  <c r="H50" i="69"/>
  <c r="H49" i="69"/>
  <c r="H48" i="69"/>
  <c r="C48" i="69"/>
  <c r="C47" i="69"/>
  <c r="H46" i="69"/>
  <c r="C46" i="69"/>
  <c r="H45" i="69"/>
  <c r="H44" i="69"/>
  <c r="C49" i="69" s="1"/>
  <c r="D44" i="69"/>
  <c r="C44" i="69"/>
  <c r="G36" i="69"/>
  <c r="G33" i="69"/>
  <c r="G34" i="69" s="1"/>
  <c r="C33" i="69"/>
  <c r="C26" i="69"/>
  <c r="B26" i="69"/>
  <c r="C25" i="69"/>
  <c r="B25" i="69"/>
  <c r="C24" i="69"/>
  <c r="B23" i="69"/>
  <c r="D23" i="69" s="1"/>
  <c r="B22" i="69"/>
  <c r="D22" i="69" s="1"/>
  <c r="C21" i="69"/>
  <c r="B21" i="69"/>
  <c r="C20" i="69"/>
  <c r="B20" i="69"/>
  <c r="C19" i="69"/>
  <c r="B19" i="69"/>
  <c r="C18" i="69"/>
  <c r="B18" i="69"/>
  <c r="C17" i="69"/>
  <c r="B17" i="69"/>
  <c r="C16" i="69"/>
  <c r="B16" i="69"/>
  <c r="C15" i="69"/>
  <c r="B15" i="69"/>
  <c r="C14" i="69"/>
  <c r="B14" i="69"/>
  <c r="C13" i="69"/>
  <c r="B13" i="69"/>
  <c r="C12" i="69"/>
  <c r="B12" i="69"/>
  <c r="B7" i="69"/>
  <c r="C26" i="68"/>
  <c r="D25" i="68"/>
  <c r="C25" i="68"/>
  <c r="D24" i="68"/>
  <c r="C24" i="68"/>
  <c r="C23" i="68"/>
  <c r="D22" i="68"/>
  <c r="C22" i="68"/>
  <c r="D21" i="68"/>
  <c r="C21" i="68"/>
  <c r="D20" i="68"/>
  <c r="C20" i="68"/>
  <c r="D19" i="68"/>
  <c r="C19" i="68"/>
  <c r="G18" i="68"/>
  <c r="D18" i="68"/>
  <c r="C18" i="68"/>
  <c r="G17" i="68"/>
  <c r="H11" i="68"/>
  <c r="D27" i="68" s="1"/>
  <c r="B8" i="68"/>
  <c r="C27" i="68" s="1"/>
  <c r="H7" i="68"/>
  <c r="D23" i="68" s="1"/>
  <c r="C26" i="67"/>
  <c r="C25" i="67"/>
  <c r="C24" i="67"/>
  <c r="C23" i="67"/>
  <c r="C22" i="67"/>
  <c r="C21" i="67"/>
  <c r="C20" i="67"/>
  <c r="C19" i="67"/>
  <c r="H15" i="67"/>
  <c r="H12" i="67"/>
  <c r="D18" i="67" s="1"/>
  <c r="H11" i="67"/>
  <c r="H10" i="67"/>
  <c r="D26" i="67" s="1"/>
  <c r="H9" i="67"/>
  <c r="D25" i="67" s="1"/>
  <c r="H8" i="67"/>
  <c r="D24" i="67" s="1"/>
  <c r="B8" i="67"/>
  <c r="C18" i="67" s="1"/>
  <c r="H7" i="67"/>
  <c r="D23" i="67" s="1"/>
  <c r="H6" i="67"/>
  <c r="D22" i="67" s="1"/>
  <c r="H5" i="67"/>
  <c r="D21" i="67" s="1"/>
  <c r="H4" i="67"/>
  <c r="D20" i="67" s="1"/>
  <c r="H3" i="67"/>
  <c r="D19" i="67" s="1"/>
  <c r="D22" i="66"/>
  <c r="C22" i="66"/>
  <c r="D21" i="66"/>
  <c r="C21" i="66"/>
  <c r="D20" i="66"/>
  <c r="C20" i="66"/>
  <c r="D19" i="66"/>
  <c r="C19" i="66"/>
  <c r="D18" i="66"/>
  <c r="C18" i="66"/>
  <c r="D17" i="66"/>
  <c r="C17" i="66"/>
  <c r="D16" i="66"/>
  <c r="C16" i="66"/>
  <c r="D15" i="66"/>
  <c r="C15" i="66"/>
  <c r="H12" i="66"/>
  <c r="D23" i="66" s="1"/>
  <c r="B9" i="66"/>
  <c r="D13" i="64"/>
  <c r="B13" i="64"/>
  <c r="D12" i="64"/>
  <c r="D11" i="64"/>
  <c r="B6" i="64"/>
  <c r="E16" i="63"/>
  <c r="B24" i="63" s="1"/>
  <c r="B22" i="33" s="1"/>
  <c r="B15" i="63"/>
  <c r="B11" i="63"/>
  <c r="E15" i="63" s="1"/>
  <c r="C25" i="63" s="1"/>
  <c r="B10" i="63"/>
  <c r="B9" i="63"/>
  <c r="K8" i="63"/>
  <c r="B8" i="63"/>
  <c r="K7" i="63"/>
  <c r="B7" i="63"/>
  <c r="K6" i="63"/>
  <c r="B6" i="63"/>
  <c r="K5" i="63"/>
  <c r="B5" i="63"/>
  <c r="AF4" i="63" s="1"/>
  <c r="K4" i="63"/>
  <c r="B4" i="63"/>
  <c r="K3" i="63"/>
  <c r="K2" i="63"/>
  <c r="B8" i="62"/>
  <c r="D18" i="62" s="1"/>
  <c r="B28" i="62" s="1"/>
  <c r="C7" i="62"/>
  <c r="J6" i="62" s="1"/>
  <c r="B42" i="36" s="1"/>
  <c r="B7" i="62"/>
  <c r="C6" i="62"/>
  <c r="H6" i="62" s="1"/>
  <c r="B5" i="62"/>
  <c r="B4" i="62"/>
  <c r="E3" i="62"/>
  <c r="D20" i="62" s="1"/>
  <c r="D46" i="36" s="1"/>
  <c r="B3" i="62"/>
  <c r="B2" i="62"/>
  <c r="H1" i="62" s="1"/>
  <c r="C15" i="61"/>
  <c r="C14" i="61"/>
  <c r="B7" i="61"/>
  <c r="D8" i="61" s="1"/>
  <c r="B6" i="61"/>
  <c r="B5" i="61"/>
  <c r="B4" i="61"/>
  <c r="B12" i="61" s="1"/>
  <c r="B3" i="61"/>
  <c r="B2" i="61"/>
  <c r="C15" i="60"/>
  <c r="C14" i="60"/>
  <c r="B6" i="60"/>
  <c r="D9" i="60" s="1"/>
  <c r="B5" i="60"/>
  <c r="B4" i="60"/>
  <c r="E7" i="60" s="1"/>
  <c r="B2" i="60"/>
  <c r="B10" i="59"/>
  <c r="B9" i="59"/>
  <c r="B8" i="59"/>
  <c r="B35" i="42"/>
  <c r="B33" i="42"/>
  <c r="B32" i="42"/>
  <c r="B31" i="42"/>
  <c r="B30" i="42"/>
  <c r="B29" i="42"/>
  <c r="B27" i="42"/>
  <c r="B26" i="42"/>
  <c r="B25" i="42"/>
  <c r="B23" i="42"/>
  <c r="B19" i="42"/>
  <c r="B18" i="42"/>
  <c r="B17" i="42"/>
  <c r="B16" i="42"/>
  <c r="B14" i="42"/>
  <c r="B13" i="42"/>
  <c r="B12" i="42"/>
  <c r="B10" i="42"/>
  <c r="B9" i="42"/>
  <c r="B8" i="42"/>
  <c r="B7" i="42"/>
  <c r="B6" i="42"/>
  <c r="B5" i="42"/>
  <c r="E17" i="41"/>
  <c r="E15" i="41"/>
  <c r="C10" i="41"/>
  <c r="C9" i="41"/>
  <c r="C18" i="41" s="1"/>
  <c r="I1" i="41"/>
  <c r="E17" i="40"/>
  <c r="E16" i="40"/>
  <c r="C16" i="40"/>
  <c r="E15" i="40"/>
  <c r="E14" i="40"/>
  <c r="C13" i="40"/>
  <c r="C9" i="40"/>
  <c r="E13" i="40" s="1"/>
  <c r="C8" i="40"/>
  <c r="C7" i="40"/>
  <c r="C17" i="40" s="1"/>
  <c r="C6" i="40"/>
  <c r="F27" i="40" s="1"/>
  <c r="F7" i="44" s="1"/>
  <c r="E19" i="39"/>
  <c r="E18" i="39"/>
  <c r="E17" i="39"/>
  <c r="E16" i="39"/>
  <c r="E15" i="39"/>
  <c r="E14" i="39"/>
  <c r="C14" i="39"/>
  <c r="E13" i="39"/>
  <c r="C13" i="39"/>
  <c r="E12" i="39"/>
  <c r="C12" i="39"/>
  <c r="E11" i="39"/>
  <c r="C6" i="39"/>
  <c r="C11" i="39" s="1"/>
  <c r="C20" i="38"/>
  <c r="C19" i="38"/>
  <c r="E18" i="38"/>
  <c r="C18" i="38"/>
  <c r="E17" i="38"/>
  <c r="C17" i="38"/>
  <c r="E16" i="38"/>
  <c r="C16" i="38"/>
  <c r="E15" i="38"/>
  <c r="C15" i="38"/>
  <c r="E14" i="38"/>
  <c r="C14" i="38"/>
  <c r="E13" i="38"/>
  <c r="C13" i="38"/>
  <c r="E12" i="38"/>
  <c r="C12" i="38"/>
  <c r="E21" i="37"/>
  <c r="C21" i="37"/>
  <c r="E20" i="37"/>
  <c r="E19" i="37"/>
  <c r="E18" i="37"/>
  <c r="E17" i="37"/>
  <c r="E16" i="37"/>
  <c r="E15" i="37"/>
  <c r="E14" i="37"/>
  <c r="E13" i="37"/>
  <c r="E12" i="37"/>
  <c r="C7" i="37"/>
  <c r="C20" i="37" s="1"/>
  <c r="C6" i="37"/>
  <c r="C19" i="37" s="1"/>
  <c r="A44" i="36"/>
  <c r="B43" i="36"/>
  <c r="A43" i="36"/>
  <c r="A42" i="36"/>
  <c r="A41" i="36"/>
  <c r="A39" i="36"/>
  <c r="A38" i="36"/>
  <c r="A37" i="36"/>
  <c r="A36" i="36"/>
  <c r="D35" i="36"/>
  <c r="B35" i="36"/>
  <c r="A35" i="36"/>
  <c r="A33" i="36"/>
  <c r="A32" i="36"/>
  <c r="A31" i="36"/>
  <c r="A30" i="36"/>
  <c r="A29" i="36"/>
  <c r="A28" i="36"/>
  <c r="A27" i="36"/>
  <c r="A26" i="36"/>
  <c r="A25" i="36"/>
  <c r="B24" i="36"/>
  <c r="A24" i="36"/>
  <c r="I15" i="36"/>
  <c r="A15" i="36"/>
  <c r="I14" i="36"/>
  <c r="C14" i="36"/>
  <c r="A14" i="36"/>
  <c r="I13" i="36"/>
  <c r="C13" i="36"/>
  <c r="A13" i="36"/>
  <c r="I12" i="36"/>
  <c r="C12" i="36"/>
  <c r="A12" i="36"/>
  <c r="I11" i="36"/>
  <c r="C11" i="36"/>
  <c r="I10" i="36"/>
  <c r="F9" i="36"/>
  <c r="C21" i="35"/>
  <c r="C19" i="35"/>
  <c r="B19" i="35"/>
  <c r="B18" i="35"/>
  <c r="H17" i="35"/>
  <c r="E6" i="35" s="1"/>
  <c r="A16" i="35"/>
  <c r="H14" i="35"/>
  <c r="H13" i="35"/>
  <c r="H11" i="35"/>
  <c r="E11" i="35"/>
  <c r="E12" i="35" s="1"/>
  <c r="E13" i="35" s="1"/>
  <c r="H5" i="35" s="1"/>
  <c r="H10" i="35"/>
  <c r="H12" i="35" s="1"/>
  <c r="H16" i="35" s="1"/>
  <c r="K8" i="35"/>
  <c r="K7" i="35"/>
  <c r="K6" i="35"/>
  <c r="K5" i="35"/>
  <c r="K4" i="35"/>
  <c r="H4" i="35"/>
  <c r="B21" i="35" s="1"/>
  <c r="K3" i="35"/>
  <c r="E3" i="35"/>
  <c r="E4" i="35" s="1"/>
  <c r="AF2" i="35"/>
  <c r="K2" i="35"/>
  <c r="H2" i="35"/>
  <c r="B17" i="35" s="1"/>
  <c r="AF1" i="35"/>
  <c r="D31" i="34"/>
  <c r="B29" i="34"/>
  <c r="B25" i="34"/>
  <c r="B15" i="34" s="1"/>
  <c r="E20" i="34"/>
  <c r="C29" i="34" s="1"/>
  <c r="E19" i="34"/>
  <c r="E17" i="34"/>
  <c r="E18" i="34" s="1"/>
  <c r="B24" i="34" s="1"/>
  <c r="E8" i="34"/>
  <c r="E16" i="34" s="1"/>
  <c r="E7" i="34"/>
  <c r="B28" i="34" s="1"/>
  <c r="E6" i="34"/>
  <c r="E3" i="34"/>
  <c r="E9" i="34" s="1"/>
  <c r="E2" i="34"/>
  <c r="E5" i="34" s="1"/>
  <c r="D45" i="33"/>
  <c r="D44" i="33"/>
  <c r="C32" i="33"/>
  <c r="B32" i="33"/>
  <c r="B31" i="33"/>
  <c r="C30" i="33"/>
  <c r="B30" i="33"/>
  <c r="C29" i="33"/>
  <c r="D29" i="33" s="1"/>
  <c r="B29" i="33"/>
  <c r="C28" i="33"/>
  <c r="D27" i="33"/>
  <c r="C26" i="33"/>
  <c r="B26" i="33"/>
  <c r="C25" i="33"/>
  <c r="D25" i="33" s="1"/>
  <c r="A22" i="33"/>
  <c r="C21" i="33"/>
  <c r="A21" i="33"/>
  <c r="H18" i="33"/>
  <c r="H19" i="33" s="1"/>
  <c r="H23" i="33" s="1"/>
  <c r="H24" i="33" s="1"/>
  <c r="X17" i="33"/>
  <c r="X16" i="33"/>
  <c r="C31" i="33" s="1"/>
  <c r="X15" i="33"/>
  <c r="B28" i="33" s="1"/>
  <c r="C13" i="33"/>
  <c r="X12" i="33"/>
  <c r="B23" i="33" s="1"/>
  <c r="X11" i="33"/>
  <c r="K8" i="33"/>
  <c r="K7" i="33"/>
  <c r="K6" i="33"/>
  <c r="H6" i="33"/>
  <c r="K5" i="33"/>
  <c r="H5" i="33"/>
  <c r="AF4" i="33"/>
  <c r="K4" i="33"/>
  <c r="AF3" i="33"/>
  <c r="K3" i="33"/>
  <c r="H3" i="33"/>
  <c r="X3" i="33"/>
  <c r="X4" i="33" s="1"/>
  <c r="AF2" i="33"/>
  <c r="K2" i="33"/>
  <c r="H2" i="33"/>
  <c r="AF1" i="33"/>
  <c r="N201" i="32"/>
  <c r="N200" i="32"/>
  <c r="N199" i="32"/>
  <c r="N198" i="32"/>
  <c r="N197" i="32"/>
  <c r="N196" i="32"/>
  <c r="N195" i="32"/>
  <c r="N194" i="32"/>
  <c r="N193" i="32"/>
  <c r="N192" i="32"/>
  <c r="N191" i="32"/>
  <c r="N190" i="32"/>
  <c r="N189" i="32"/>
  <c r="N188" i="32"/>
  <c r="N187" i="32"/>
  <c r="N186" i="32"/>
  <c r="N185" i="32"/>
  <c r="N184" i="32"/>
  <c r="N183" i="32"/>
  <c r="N182" i="32"/>
  <c r="N181" i="32"/>
  <c r="N180" i="32"/>
  <c r="N179" i="32"/>
  <c r="N178" i="32"/>
  <c r="N177" i="32"/>
  <c r="N176" i="32"/>
  <c r="N175" i="32"/>
  <c r="N174" i="32"/>
  <c r="N173" i="32"/>
  <c r="N172" i="32"/>
  <c r="N171" i="32"/>
  <c r="N170" i="32"/>
  <c r="N169" i="32"/>
  <c r="N168" i="32"/>
  <c r="N167" i="32"/>
  <c r="N166" i="32"/>
  <c r="N165" i="32"/>
  <c r="N164" i="32"/>
  <c r="N163" i="32"/>
  <c r="N162" i="32"/>
  <c r="N161" i="32"/>
  <c r="N160" i="32"/>
  <c r="N159" i="32"/>
  <c r="N158" i="32"/>
  <c r="N157" i="32"/>
  <c r="N156" i="32"/>
  <c r="N155" i="32"/>
  <c r="N154" i="32"/>
  <c r="N153" i="32"/>
  <c r="N152" i="32"/>
  <c r="N151" i="32"/>
  <c r="N150" i="32"/>
  <c r="N149" i="32"/>
  <c r="N148" i="32"/>
  <c r="N147" i="32"/>
  <c r="N146" i="32"/>
  <c r="N145" i="32"/>
  <c r="N144" i="32"/>
  <c r="N143" i="32"/>
  <c r="N142" i="32"/>
  <c r="N141" i="32"/>
  <c r="N140" i="32"/>
  <c r="N139" i="32"/>
  <c r="N138" i="32"/>
  <c r="N137" i="32"/>
  <c r="N136" i="32"/>
  <c r="N135" i="32"/>
  <c r="N134" i="32"/>
  <c r="N133" i="32"/>
  <c r="N132" i="32"/>
  <c r="N131" i="32"/>
  <c r="N130" i="32"/>
  <c r="N129" i="32"/>
  <c r="N128" i="32"/>
  <c r="N127" i="32"/>
  <c r="N126" i="32"/>
  <c r="N125" i="32"/>
  <c r="N124" i="32"/>
  <c r="N123" i="32"/>
  <c r="N122" i="32"/>
  <c r="N121" i="32"/>
  <c r="N120" i="32"/>
  <c r="N119" i="32"/>
  <c r="N118" i="32"/>
  <c r="N117" i="32"/>
  <c r="N116" i="32"/>
  <c r="N115" i="32"/>
  <c r="N114" i="32"/>
  <c r="N113" i="32"/>
  <c r="N112" i="32"/>
  <c r="N111" i="32"/>
  <c r="N110" i="32"/>
  <c r="N109" i="32"/>
  <c r="N108" i="32"/>
  <c r="N107" i="32"/>
  <c r="N106" i="32"/>
  <c r="N105" i="32"/>
  <c r="N104" i="32"/>
  <c r="N103" i="32"/>
  <c r="N102" i="32"/>
  <c r="N101" i="32"/>
  <c r="N100" i="32"/>
  <c r="N99" i="32"/>
  <c r="N98" i="32"/>
  <c r="N97" i="32"/>
  <c r="N96" i="32"/>
  <c r="N95" i="32"/>
  <c r="N94" i="32"/>
  <c r="N93" i="32"/>
  <c r="N92" i="32"/>
  <c r="N91" i="32"/>
  <c r="N90" i="32"/>
  <c r="N89" i="32"/>
  <c r="N88" i="32"/>
  <c r="N87" i="32"/>
  <c r="N86" i="32"/>
  <c r="N85" i="32"/>
  <c r="N84" i="32"/>
  <c r="N83" i="32"/>
  <c r="N82" i="32"/>
  <c r="N81" i="32"/>
  <c r="N80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N61" i="32"/>
  <c r="N60" i="32"/>
  <c r="N59" i="32"/>
  <c r="N58" i="32"/>
  <c r="N57" i="32"/>
  <c r="N56" i="32"/>
  <c r="N55" i="32"/>
  <c r="N54" i="32"/>
  <c r="N53" i="32"/>
  <c r="N52" i="32"/>
  <c r="N51" i="32"/>
  <c r="N50" i="32"/>
  <c r="N49" i="32"/>
  <c r="N48" i="32"/>
  <c r="N47" i="32"/>
  <c r="N46" i="32"/>
  <c r="N45" i="32"/>
  <c r="N44" i="32"/>
  <c r="N43" i="32"/>
  <c r="N42" i="32"/>
  <c r="N41" i="32"/>
  <c r="N40" i="32"/>
  <c r="N39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A22" i="32"/>
  <c r="N21" i="32"/>
  <c r="A21" i="32"/>
  <c r="N20" i="32"/>
  <c r="N19" i="32"/>
  <c r="N18" i="32"/>
  <c r="N17" i="32"/>
  <c r="N16" i="32"/>
  <c r="E16" i="32"/>
  <c r="B24" i="32" s="1"/>
  <c r="N15" i="32"/>
  <c r="E15" i="32"/>
  <c r="N14" i="32"/>
  <c r="N13" i="32"/>
  <c r="N12" i="32"/>
  <c r="N11" i="32"/>
  <c r="N10" i="32"/>
  <c r="N9" i="32"/>
  <c r="N8" i="32"/>
  <c r="K8" i="32"/>
  <c r="N7" i="32"/>
  <c r="K7" i="32"/>
  <c r="N6" i="32"/>
  <c r="K6" i="32"/>
  <c r="N5" i="32"/>
  <c r="K5" i="32"/>
  <c r="E5" i="32"/>
  <c r="E17" i="32" s="1"/>
  <c r="C24" i="32" s="1"/>
  <c r="AF4" i="32"/>
  <c r="N4" i="32"/>
  <c r="K4" i="32"/>
  <c r="E4" i="32"/>
  <c r="AF3" i="32"/>
  <c r="N3" i="32"/>
  <c r="K3" i="32"/>
  <c r="H3" i="32"/>
  <c r="E3" i="32"/>
  <c r="AF2" i="32"/>
  <c r="N2" i="32"/>
  <c r="K2" i="32"/>
  <c r="H2" i="32"/>
  <c r="H4" i="32" s="1"/>
  <c r="AF1" i="32"/>
  <c r="C18" i="31"/>
  <c r="H16" i="31"/>
  <c r="E6" i="31" s="1"/>
  <c r="A16" i="31"/>
  <c r="H14" i="31"/>
  <c r="H13" i="31"/>
  <c r="H11" i="31"/>
  <c r="E11" i="31"/>
  <c r="E12" i="31" s="1"/>
  <c r="E13" i="31" s="1"/>
  <c r="H7" i="31" s="1"/>
  <c r="H10" i="31"/>
  <c r="H12" i="31" s="1"/>
  <c r="K8" i="31"/>
  <c r="K7" i="31"/>
  <c r="K6" i="31"/>
  <c r="K5" i="31"/>
  <c r="K4" i="31"/>
  <c r="H4" i="31"/>
  <c r="B18" i="31" s="1"/>
  <c r="K3" i="31"/>
  <c r="E3" i="31"/>
  <c r="E4" i="31" s="1"/>
  <c r="AF2" i="31"/>
  <c r="K2" i="31"/>
  <c r="H2" i="31"/>
  <c r="B17" i="31" s="1"/>
  <c r="AF1" i="31"/>
  <c r="D16" i="30"/>
  <c r="B36" i="30" s="1"/>
  <c r="D12" i="30"/>
  <c r="B11" i="30"/>
  <c r="B8" i="30"/>
  <c r="E3" i="30"/>
  <c r="C14" i="30" s="1"/>
  <c r="E2" i="30"/>
  <c r="G1" i="30"/>
  <c r="B36" i="29"/>
  <c r="D14" i="29"/>
  <c r="C13" i="29"/>
  <c r="B13" i="29"/>
  <c r="D11" i="29"/>
  <c r="B6" i="29"/>
  <c r="B5" i="29"/>
  <c r="C12" i="29" s="1"/>
  <c r="E54" i="28"/>
  <c r="E38" i="28"/>
  <c r="E37" i="28"/>
  <c r="D25" i="28"/>
  <c r="D24" i="28"/>
  <c r="D22" i="28"/>
  <c r="D20" i="28"/>
  <c r="D19" i="28"/>
  <c r="D18" i="28"/>
  <c r="B18" i="28"/>
  <c r="C18" i="28" s="1"/>
  <c r="D17" i="28"/>
  <c r="D16" i="28"/>
  <c r="D15" i="28"/>
  <c r="D14" i="28"/>
  <c r="D13" i="28"/>
  <c r="D12" i="28"/>
  <c r="C10" i="28"/>
  <c r="D36" i="28" s="1"/>
  <c r="E7" i="28"/>
  <c r="B7" i="28"/>
  <c r="B36" i="28" s="1"/>
  <c r="C36" i="28" s="1"/>
  <c r="E6" i="28"/>
  <c r="B16" i="28" s="1"/>
  <c r="C16" i="28" s="1"/>
  <c r="E4" i="28"/>
  <c r="B4" i="28"/>
  <c r="C24" i="28" s="1"/>
  <c r="E3" i="28"/>
  <c r="C23" i="28" s="1"/>
  <c r="E23" i="28" s="1"/>
  <c r="E2" i="28"/>
  <c r="H60" i="27"/>
  <c r="H59" i="27"/>
  <c r="H58" i="27"/>
  <c r="C58" i="27"/>
  <c r="C57" i="27"/>
  <c r="H56" i="27"/>
  <c r="C56" i="27"/>
  <c r="H55" i="27"/>
  <c r="H54" i="27"/>
  <c r="C59" i="27" s="1"/>
  <c r="D54" i="27"/>
  <c r="C54" i="27"/>
  <c r="D51" i="27"/>
  <c r="C30" i="27"/>
  <c r="B30" i="27"/>
  <c r="C29" i="27"/>
  <c r="B29" i="27"/>
  <c r="C28" i="27"/>
  <c r="C27" i="27"/>
  <c r="B27" i="27"/>
  <c r="C26" i="27"/>
  <c r="B26" i="27"/>
  <c r="C25" i="27"/>
  <c r="B25" i="27"/>
  <c r="C24" i="27"/>
  <c r="B24" i="27"/>
  <c r="C23" i="27"/>
  <c r="B23" i="27"/>
  <c r="C22" i="27"/>
  <c r="B22" i="27"/>
  <c r="C21" i="27"/>
  <c r="B21" i="27"/>
  <c r="C20" i="27"/>
  <c r="B20" i="27"/>
  <c r="C19" i="27"/>
  <c r="C18" i="27"/>
  <c r="C17" i="27"/>
  <c r="C16" i="27"/>
  <c r="B16" i="27"/>
  <c r="C15" i="27"/>
  <c r="B15" i="27"/>
  <c r="C14" i="27"/>
  <c r="B14" i="27"/>
  <c r="C13" i="27"/>
  <c r="B13" i="27"/>
  <c r="C12" i="27"/>
  <c r="B12" i="27"/>
  <c r="C10" i="27"/>
  <c r="B7" i="27"/>
  <c r="D58" i="26"/>
  <c r="B42" i="26"/>
  <c r="C33" i="26"/>
  <c r="B33" i="26"/>
  <c r="C32" i="26"/>
  <c r="B32" i="26"/>
  <c r="B29" i="26"/>
  <c r="D29" i="26" s="1"/>
  <c r="C28" i="26"/>
  <c r="D28" i="26" s="1"/>
  <c r="C27" i="26"/>
  <c r="C26" i="26"/>
  <c r="B26" i="26"/>
  <c r="C25" i="26"/>
  <c r="B25" i="26"/>
  <c r="C24" i="26"/>
  <c r="B24" i="26"/>
  <c r="C23" i="26"/>
  <c r="C22" i="26"/>
  <c r="C21" i="26"/>
  <c r="B21" i="26"/>
  <c r="C20" i="26"/>
  <c r="B20" i="26"/>
  <c r="C19" i="26"/>
  <c r="B19" i="26"/>
  <c r="C18" i="26"/>
  <c r="B18" i="26"/>
  <c r="B14" i="26"/>
  <c r="C31" i="26" s="1"/>
  <c r="B13" i="26"/>
  <c r="D43" i="26" s="1"/>
  <c r="D44" i="26" s="1"/>
  <c r="B12" i="26"/>
  <c r="B15" i="42" s="1"/>
  <c r="H49" i="25"/>
  <c r="H48" i="25"/>
  <c r="C48" i="25"/>
  <c r="C47" i="25"/>
  <c r="H46" i="25"/>
  <c r="C46" i="25"/>
  <c r="H45" i="25"/>
  <c r="B49" i="25" s="1"/>
  <c r="H44" i="25"/>
  <c r="C49" i="25" s="1"/>
  <c r="D44" i="25"/>
  <c r="C44" i="25"/>
  <c r="C28" i="25"/>
  <c r="D28" i="25" s="1"/>
  <c r="C27" i="25"/>
  <c r="B27" i="25"/>
  <c r="C26" i="25"/>
  <c r="B26" i="25"/>
  <c r="C25" i="25"/>
  <c r="C24" i="25"/>
  <c r="B24" i="25"/>
  <c r="C23" i="25"/>
  <c r="B22" i="25"/>
  <c r="B20" i="25"/>
  <c r="B19" i="25"/>
  <c r="B16" i="25"/>
  <c r="B15" i="25"/>
  <c r="B14" i="25"/>
  <c r="B13" i="25"/>
  <c r="B11" i="25"/>
  <c r="C7" i="25"/>
  <c r="C22" i="25" s="1"/>
  <c r="H6" i="25"/>
  <c r="C15" i="25" s="1"/>
  <c r="F4" i="25"/>
  <c r="B18" i="25" s="1"/>
  <c r="F3" i="25"/>
  <c r="F2" i="25"/>
  <c r="B23" i="25" s="1"/>
  <c r="H46" i="24"/>
  <c r="H45" i="24"/>
  <c r="H44" i="24"/>
  <c r="C44" i="24"/>
  <c r="C43" i="24"/>
  <c r="H42" i="24"/>
  <c r="C42" i="24"/>
  <c r="H41" i="24"/>
  <c r="H40" i="24"/>
  <c r="C45" i="24" s="1"/>
  <c r="D40" i="24"/>
  <c r="C40" i="24"/>
  <c r="C22" i="24"/>
  <c r="B22" i="24"/>
  <c r="B20" i="24"/>
  <c r="D20" i="24" s="1"/>
  <c r="C19" i="24"/>
  <c r="B19" i="24"/>
  <c r="C18" i="24"/>
  <c r="B18" i="24"/>
  <c r="C17" i="24"/>
  <c r="D17" i="24" s="1"/>
  <c r="B10" i="24"/>
  <c r="B21" i="24" s="1"/>
  <c r="B9" i="24"/>
  <c r="C21" i="24" s="1"/>
  <c r="E5" i="24"/>
  <c r="E3" i="24"/>
  <c r="E2" i="24"/>
  <c r="C19" i="23"/>
  <c r="B19" i="23"/>
  <c r="C18" i="23"/>
  <c r="B18" i="23"/>
  <c r="B16" i="23"/>
  <c r="D16" i="23" s="1"/>
  <c r="B15" i="23"/>
  <c r="D15" i="23" s="1"/>
  <c r="B14" i="23"/>
  <c r="B13" i="23"/>
  <c r="B8" i="23"/>
  <c r="B17" i="23" s="1"/>
  <c r="B7" i="23"/>
  <c r="C17" i="23" s="1"/>
  <c r="D128" i="22"/>
  <c r="C25" i="22"/>
  <c r="B25" i="22"/>
  <c r="C24" i="22"/>
  <c r="B24" i="22"/>
  <c r="C23" i="22"/>
  <c r="D23" i="22" s="1"/>
  <c r="C22" i="22"/>
  <c r="C20" i="22"/>
  <c r="C19" i="22"/>
  <c r="C18" i="22"/>
  <c r="C17" i="22"/>
  <c r="B17" i="22"/>
  <c r="C16" i="22"/>
  <c r="B16" i="22"/>
  <c r="C15" i="22"/>
  <c r="B15" i="22"/>
  <c r="M14" i="22"/>
  <c r="C14" i="22"/>
  <c r="B14" i="22"/>
  <c r="C13" i="22"/>
  <c r="B13" i="22"/>
  <c r="C12" i="22"/>
  <c r="B12" i="22"/>
  <c r="C10" i="22"/>
  <c r="B7" i="22"/>
  <c r="B22" i="22" s="1"/>
  <c r="B4" i="22"/>
  <c r="B21" i="22" s="1"/>
  <c r="D21" i="22" s="1"/>
  <c r="H63" i="21"/>
  <c r="H62" i="21"/>
  <c r="H61" i="21"/>
  <c r="C61" i="21"/>
  <c r="C60" i="21"/>
  <c r="H59" i="21"/>
  <c r="C59" i="21"/>
  <c r="H58" i="21"/>
  <c r="H57" i="21"/>
  <c r="C62" i="21" s="1"/>
  <c r="D57" i="21"/>
  <c r="C57" i="21"/>
  <c r="D54" i="21"/>
  <c r="B52" i="21"/>
  <c r="C32" i="21"/>
  <c r="B32" i="21"/>
  <c r="C31" i="21"/>
  <c r="B31" i="21"/>
  <c r="C30" i="21"/>
  <c r="B29" i="21"/>
  <c r="D29" i="21" s="1"/>
  <c r="B28" i="21"/>
  <c r="D28" i="21" s="1"/>
  <c r="B27" i="21"/>
  <c r="D27" i="21" s="1"/>
  <c r="B26" i="21"/>
  <c r="D26" i="21" s="1"/>
  <c r="B25" i="21"/>
  <c r="D25" i="21" s="1"/>
  <c r="B24" i="21"/>
  <c r="D24" i="21" s="1"/>
  <c r="B23" i="21"/>
  <c r="D23" i="21" s="1"/>
  <c r="B22" i="21"/>
  <c r="D22" i="21" s="1"/>
  <c r="B21" i="21"/>
  <c r="D21" i="21" s="1"/>
  <c r="B20" i="21"/>
  <c r="D20" i="21" s="1"/>
  <c r="C19" i="21"/>
  <c r="B19" i="21"/>
  <c r="C18" i="21"/>
  <c r="B18" i="21"/>
  <c r="C17" i="21"/>
  <c r="B17" i="21"/>
  <c r="C16" i="21"/>
  <c r="B16" i="21"/>
  <c r="C15" i="21"/>
  <c r="B15" i="21"/>
  <c r="C14" i="21"/>
  <c r="B14" i="21"/>
  <c r="C13" i="21"/>
  <c r="B13" i="21"/>
  <c r="C12" i="21"/>
  <c r="B12" i="21"/>
  <c r="C10" i="21"/>
  <c r="B7" i="21"/>
  <c r="H50" i="20"/>
  <c r="H49" i="20"/>
  <c r="H48" i="20"/>
  <c r="C48" i="20"/>
  <c r="C47" i="20"/>
  <c r="H46" i="20"/>
  <c r="C46" i="20"/>
  <c r="H45" i="20"/>
  <c r="B49" i="20" s="1"/>
  <c r="H44" i="20"/>
  <c r="C49" i="20" s="1"/>
  <c r="D44" i="20"/>
  <c r="C44" i="20"/>
  <c r="C26" i="20"/>
  <c r="B26" i="20"/>
  <c r="C25" i="20"/>
  <c r="B25" i="20"/>
  <c r="C24" i="20"/>
  <c r="B23" i="20"/>
  <c r="D23" i="20" s="1"/>
  <c r="B22" i="20"/>
  <c r="D22" i="20" s="1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0" i="20"/>
  <c r="B7" i="20"/>
  <c r="B24" i="20" s="1"/>
  <c r="H52" i="19"/>
  <c r="H51" i="19"/>
  <c r="H50" i="19"/>
  <c r="C50" i="19"/>
  <c r="C49" i="19"/>
  <c r="H48" i="19"/>
  <c r="C48" i="19"/>
  <c r="H47" i="19"/>
  <c r="H46" i="19"/>
  <c r="C51" i="19" s="1"/>
  <c r="D46" i="19"/>
  <c r="C46" i="19"/>
  <c r="C28" i="19"/>
  <c r="B28" i="19"/>
  <c r="C27" i="19"/>
  <c r="B27" i="19"/>
  <c r="C26" i="19"/>
  <c r="B25" i="19"/>
  <c r="D25" i="19" s="1"/>
  <c r="B24" i="19"/>
  <c r="D24" i="19" s="1"/>
  <c r="C23" i="19"/>
  <c r="B23" i="19"/>
  <c r="C22" i="19"/>
  <c r="B22" i="19"/>
  <c r="C21" i="19"/>
  <c r="B21" i="19"/>
  <c r="C20" i="19"/>
  <c r="B20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0" i="19"/>
  <c r="B7" i="19"/>
  <c r="C22" i="18"/>
  <c r="C21" i="18"/>
  <c r="B21" i="18"/>
  <c r="C20" i="18"/>
  <c r="B20" i="18"/>
  <c r="B19" i="18"/>
  <c r="D19" i="18" s="1"/>
  <c r="B18" i="18"/>
  <c r="B17" i="18"/>
  <c r="B15" i="18"/>
  <c r="B14" i="18"/>
  <c r="B13" i="18"/>
  <c r="C12" i="18"/>
  <c r="B12" i="18"/>
  <c r="C11" i="18"/>
  <c r="F7" i="18"/>
  <c r="F6" i="18"/>
  <c r="B22" i="18" s="1"/>
  <c r="F5" i="18"/>
  <c r="C16" i="18" s="1"/>
  <c r="B11" i="18"/>
  <c r="F3" i="18"/>
  <c r="F2" i="18"/>
  <c r="AC67" i="17"/>
  <c r="AC65" i="17" s="1"/>
  <c r="AC66" i="17"/>
  <c r="C65" i="17"/>
  <c r="C64" i="17"/>
  <c r="AC63" i="17"/>
  <c r="C63" i="17"/>
  <c r="AC62" i="17"/>
  <c r="AC61" i="17"/>
  <c r="C66" i="17" s="1"/>
  <c r="D61" i="17"/>
  <c r="C61" i="17"/>
  <c r="D58" i="17"/>
  <c r="C31" i="17"/>
  <c r="B31" i="17"/>
  <c r="C30" i="17"/>
  <c r="C29" i="17"/>
  <c r="B29" i="17"/>
  <c r="C28" i="17"/>
  <c r="C27" i="17"/>
  <c r="C26" i="17"/>
  <c r="C25" i="17"/>
  <c r="C24" i="17"/>
  <c r="C23" i="17"/>
  <c r="C20" i="17"/>
  <c r="C19" i="17"/>
  <c r="C18" i="17"/>
  <c r="C17" i="17"/>
  <c r="C16" i="17"/>
  <c r="C15" i="17"/>
  <c r="C14" i="17"/>
  <c r="C13" i="17"/>
  <c r="C12" i="17"/>
  <c r="C10" i="17"/>
  <c r="B6" i="17"/>
  <c r="B30" i="17" s="1"/>
  <c r="E2" i="17"/>
  <c r="B23" i="17" s="1"/>
  <c r="H69" i="16"/>
  <c r="H68" i="16"/>
  <c r="C68" i="16"/>
  <c r="C67" i="16"/>
  <c r="H66" i="16"/>
  <c r="C66" i="16"/>
  <c r="H65" i="16"/>
  <c r="D71" i="16" s="1"/>
  <c r="H64" i="16"/>
  <c r="C69" i="16" s="1"/>
  <c r="D64" i="16"/>
  <c r="C64" i="16"/>
  <c r="G61" i="16"/>
  <c r="G60" i="16"/>
  <c r="G59" i="16"/>
  <c r="D59" i="16"/>
  <c r="G58" i="16"/>
  <c r="G57" i="16"/>
  <c r="G56" i="16"/>
  <c r="G55" i="16"/>
  <c r="G54" i="16"/>
  <c r="G53" i="16"/>
  <c r="C37" i="16"/>
  <c r="B37" i="16"/>
  <c r="C36" i="16"/>
  <c r="B36" i="16"/>
  <c r="B35" i="16"/>
  <c r="D35" i="16" s="1"/>
  <c r="B33" i="16"/>
  <c r="D33" i="16" s="1"/>
  <c r="B32" i="16"/>
  <c r="D32" i="16" s="1"/>
  <c r="C31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C20" i="16"/>
  <c r="C19" i="16"/>
  <c r="B19" i="16"/>
  <c r="C18" i="16"/>
  <c r="C17" i="16"/>
  <c r="C16" i="16"/>
  <c r="B16" i="16"/>
  <c r="C15" i="16"/>
  <c r="B15" i="16"/>
  <c r="C13" i="16"/>
  <c r="C12" i="16"/>
  <c r="B12" i="16"/>
  <c r="C11" i="16"/>
  <c r="B11" i="16"/>
  <c r="C9" i="16"/>
  <c r="F6" i="16"/>
  <c r="B6" i="16"/>
  <c r="F5" i="16"/>
  <c r="F4" i="16"/>
  <c r="B31" i="16" s="1"/>
  <c r="F3" i="16"/>
  <c r="B30" i="16" s="1"/>
  <c r="D30" i="16" s="1"/>
  <c r="F2" i="16"/>
  <c r="G59" i="15"/>
  <c r="G58" i="15"/>
  <c r="G57" i="15"/>
  <c r="D57" i="15"/>
  <c r="G56" i="15"/>
  <c r="G55" i="15"/>
  <c r="G54" i="15"/>
  <c r="G53" i="15"/>
  <c r="G52" i="15"/>
  <c r="G51" i="15"/>
  <c r="H39" i="15"/>
  <c r="H38" i="15"/>
  <c r="C38" i="15"/>
  <c r="C37" i="15"/>
  <c r="H36" i="15"/>
  <c r="C36" i="15"/>
  <c r="H35" i="15"/>
  <c r="D41" i="15" s="1"/>
  <c r="H34" i="15"/>
  <c r="C39" i="15" s="1"/>
  <c r="D34" i="15"/>
  <c r="C34" i="15"/>
  <c r="C27" i="15"/>
  <c r="B27" i="15"/>
  <c r="C26" i="15"/>
  <c r="B26" i="15"/>
  <c r="B25" i="15"/>
  <c r="D25" i="15" s="1"/>
  <c r="C23" i="15"/>
  <c r="C20" i="15"/>
  <c r="B20" i="15"/>
  <c r="C19" i="15"/>
  <c r="C18" i="15"/>
  <c r="B18" i="15"/>
  <c r="C17" i="15"/>
  <c r="B17" i="15"/>
  <c r="C16" i="15"/>
  <c r="C15" i="15"/>
  <c r="C14" i="15"/>
  <c r="C13" i="15"/>
  <c r="B13" i="15"/>
  <c r="C12" i="15"/>
  <c r="B12" i="15"/>
  <c r="C11" i="15"/>
  <c r="B11" i="15"/>
  <c r="C9" i="15"/>
  <c r="F6" i="15"/>
  <c r="B16" i="15" s="1"/>
  <c r="B6" i="15"/>
  <c r="F5" i="15"/>
  <c r="B14" i="15" s="1"/>
  <c r="F4" i="15"/>
  <c r="B23" i="15" s="1"/>
  <c r="F3" i="15"/>
  <c r="B22" i="15" s="1"/>
  <c r="D22" i="15" s="1"/>
  <c r="F2" i="15"/>
  <c r="H40" i="15" s="1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D21" i="10"/>
  <c r="D20" i="10"/>
  <c r="J5" i="10"/>
  <c r="J4" i="10"/>
  <c r="J3" i="10"/>
  <c r="J2" i="10"/>
  <c r="I67" i="9"/>
  <c r="C67" i="9" s="1"/>
  <c r="E20" i="38" s="1"/>
  <c r="I66" i="9"/>
  <c r="I65" i="9"/>
  <c r="B65" i="9" s="1"/>
  <c r="D15" i="64" s="1"/>
  <c r="I64" i="9"/>
  <c r="C64" i="9" s="1"/>
  <c r="E19" i="40" s="1"/>
  <c r="I63" i="9"/>
  <c r="B63" i="9" s="1"/>
  <c r="E20" i="39" s="1"/>
  <c r="I62" i="9"/>
  <c r="B62" i="9" s="1"/>
  <c r="I61" i="9"/>
  <c r="B61" i="9" s="1"/>
  <c r="I58" i="9"/>
  <c r="D58" i="9" s="1"/>
  <c r="I57" i="9"/>
  <c r="D57" i="9" s="1"/>
  <c r="I56" i="9"/>
  <c r="E56" i="9" s="1"/>
  <c r="I54" i="9"/>
  <c r="I53" i="9"/>
  <c r="E53" i="9" s="1"/>
  <c r="I52" i="9"/>
  <c r="D52" i="9" s="1"/>
  <c r="I51" i="9"/>
  <c r="E51" i="9" s="1"/>
  <c r="I50" i="9"/>
  <c r="D50" i="9" s="1"/>
  <c r="I49" i="9"/>
  <c r="B49" i="9" s="1"/>
  <c r="I47" i="9"/>
  <c r="B47" i="9" s="1"/>
  <c r="I46" i="9"/>
  <c r="D46" i="9" s="1"/>
  <c r="I45" i="9"/>
  <c r="E45" i="9" s="1"/>
  <c r="I44" i="9"/>
  <c r="E44" i="9" s="1"/>
  <c r="I43" i="9"/>
  <c r="D43" i="9" s="1"/>
  <c r="I42" i="9"/>
  <c r="C42" i="9" s="1"/>
  <c r="I41" i="9"/>
  <c r="E41" i="9" s="1"/>
  <c r="I40" i="9"/>
  <c r="B40" i="9" s="1"/>
  <c r="I39" i="9"/>
  <c r="D39" i="9" s="1"/>
  <c r="I38" i="9"/>
  <c r="C38" i="9" s="1"/>
  <c r="I37" i="9"/>
  <c r="C37" i="9" s="1"/>
  <c r="I36" i="9"/>
  <c r="E36" i="9" s="1"/>
  <c r="I35" i="9"/>
  <c r="E35" i="9" s="1"/>
  <c r="I34" i="9"/>
  <c r="I32" i="9"/>
  <c r="C32" i="9" s="1"/>
  <c r="I31" i="9"/>
  <c r="D31" i="9" s="1"/>
  <c r="I30" i="9"/>
  <c r="B30" i="9" s="1"/>
  <c r="I29" i="9"/>
  <c r="E29" i="9" s="1"/>
  <c r="I28" i="9"/>
  <c r="E28" i="9" s="1"/>
  <c r="I27" i="9"/>
  <c r="B27" i="9" s="1"/>
  <c r="I26" i="9"/>
  <c r="B26" i="9" s="1"/>
  <c r="I25" i="9"/>
  <c r="C25" i="9" s="1"/>
  <c r="I24" i="9"/>
  <c r="D24" i="9" s="1"/>
  <c r="I23" i="9"/>
  <c r="B23" i="9" s="1"/>
  <c r="I22" i="9"/>
  <c r="B22" i="9" s="1"/>
  <c r="I21" i="9"/>
  <c r="E21" i="9" s="1"/>
  <c r="I20" i="9"/>
  <c r="E20" i="9" s="1"/>
  <c r="I19" i="9"/>
  <c r="D19" i="9" s="1"/>
  <c r="I18" i="9"/>
  <c r="C18" i="9" s="1"/>
  <c r="I17" i="9"/>
  <c r="B17" i="9" s="1"/>
  <c r="I16" i="9"/>
  <c r="B16" i="9" s="1"/>
  <c r="I15" i="9"/>
  <c r="E15" i="9" s="1"/>
  <c r="I14" i="9"/>
  <c r="D14" i="9" s="1"/>
  <c r="I13" i="9"/>
  <c r="D13" i="9" s="1"/>
  <c r="I12" i="9"/>
  <c r="D12" i="9" s="1"/>
  <c r="E8" i="8"/>
  <c r="E7" i="8"/>
  <c r="E6" i="8"/>
  <c r="E5" i="8"/>
  <c r="E4" i="8"/>
  <c r="D13" i="7"/>
  <c r="D12" i="7"/>
  <c r="F6" i="4"/>
  <c r="E6" i="4"/>
  <c r="D6" i="4"/>
  <c r="C6" i="4"/>
  <c r="B6" i="4"/>
  <c r="A6" i="4"/>
  <c r="Q220" i="3"/>
  <c r="F220" i="3"/>
  <c r="Q219" i="3"/>
  <c r="F219" i="3"/>
  <c r="S218" i="3"/>
  <c r="R218" i="3"/>
  <c r="Q218" i="3"/>
  <c r="P218" i="3"/>
  <c r="O218" i="3"/>
  <c r="N218" i="3"/>
  <c r="S217" i="3"/>
  <c r="R217" i="3"/>
  <c r="Q217" i="3"/>
  <c r="P217" i="3"/>
  <c r="O217" i="3"/>
  <c r="N217" i="3"/>
  <c r="S216" i="3"/>
  <c r="R216" i="3"/>
  <c r="Q216" i="3"/>
  <c r="P216" i="3"/>
  <c r="O216" i="3"/>
  <c r="N216" i="3"/>
  <c r="S215" i="3"/>
  <c r="R215" i="3"/>
  <c r="Q215" i="3"/>
  <c r="P215" i="3"/>
  <c r="O215" i="3"/>
  <c r="N215" i="3"/>
  <c r="S214" i="3"/>
  <c r="R214" i="3"/>
  <c r="Q214" i="3"/>
  <c r="P214" i="3"/>
  <c r="O214" i="3"/>
  <c r="N214" i="3"/>
  <c r="S213" i="3"/>
  <c r="R213" i="3"/>
  <c r="Q213" i="3"/>
  <c r="P213" i="3"/>
  <c r="O213" i="3"/>
  <c r="N213" i="3"/>
  <c r="S212" i="3"/>
  <c r="R212" i="3"/>
  <c r="Q212" i="3"/>
  <c r="P212" i="3"/>
  <c r="O212" i="3"/>
  <c r="N212" i="3"/>
  <c r="S211" i="3"/>
  <c r="R211" i="3"/>
  <c r="Q211" i="3"/>
  <c r="P211" i="3"/>
  <c r="O211" i="3"/>
  <c r="N211" i="3"/>
  <c r="S210" i="3"/>
  <c r="R210" i="3"/>
  <c r="Q210" i="3"/>
  <c r="P210" i="3"/>
  <c r="O210" i="3"/>
  <c r="N210" i="3"/>
  <c r="S209" i="3"/>
  <c r="R209" i="3"/>
  <c r="Q209" i="3"/>
  <c r="P209" i="3"/>
  <c r="O209" i="3"/>
  <c r="N209" i="3"/>
  <c r="S208" i="3"/>
  <c r="R208" i="3"/>
  <c r="Q208" i="3"/>
  <c r="P208" i="3"/>
  <c r="O208" i="3"/>
  <c r="N208" i="3"/>
  <c r="S207" i="3"/>
  <c r="R207" i="3"/>
  <c r="Q207" i="3"/>
  <c r="P207" i="3"/>
  <c r="O207" i="3"/>
  <c r="N207" i="3"/>
  <c r="S206" i="3"/>
  <c r="R206" i="3"/>
  <c r="Q206" i="3"/>
  <c r="P206" i="3"/>
  <c r="O206" i="3"/>
  <c r="N206" i="3"/>
  <c r="S205" i="3"/>
  <c r="R205" i="3"/>
  <c r="Q205" i="3"/>
  <c r="P205" i="3"/>
  <c r="O205" i="3"/>
  <c r="N205" i="3"/>
  <c r="S204" i="3"/>
  <c r="R204" i="3"/>
  <c r="Q204" i="3"/>
  <c r="P204" i="3"/>
  <c r="O204" i="3"/>
  <c r="N204" i="3"/>
  <c r="S203" i="3"/>
  <c r="R203" i="3"/>
  <c r="Q203" i="3"/>
  <c r="P203" i="3"/>
  <c r="O203" i="3"/>
  <c r="N203" i="3"/>
  <c r="S202" i="3"/>
  <c r="R202" i="3"/>
  <c r="Q202" i="3"/>
  <c r="P202" i="3"/>
  <c r="O202" i="3"/>
  <c r="N202" i="3"/>
  <c r="S201" i="3"/>
  <c r="R201" i="3"/>
  <c r="Q201" i="3"/>
  <c r="P201" i="3"/>
  <c r="O201" i="3"/>
  <c r="N201" i="3"/>
  <c r="S200" i="3"/>
  <c r="R200" i="3"/>
  <c r="Q200" i="3"/>
  <c r="P200" i="3"/>
  <c r="O200" i="3"/>
  <c r="N200" i="3"/>
  <c r="S199" i="3"/>
  <c r="R199" i="3"/>
  <c r="Q199" i="3"/>
  <c r="P199" i="3"/>
  <c r="O199" i="3"/>
  <c r="N199" i="3"/>
  <c r="S198" i="3"/>
  <c r="R198" i="3"/>
  <c r="Q198" i="3"/>
  <c r="P198" i="3"/>
  <c r="O198" i="3"/>
  <c r="N198" i="3"/>
  <c r="S197" i="3"/>
  <c r="R197" i="3"/>
  <c r="Q197" i="3"/>
  <c r="P197" i="3"/>
  <c r="O197" i="3"/>
  <c r="N197" i="3"/>
  <c r="S196" i="3"/>
  <c r="R196" i="3"/>
  <c r="Q196" i="3"/>
  <c r="P196" i="3"/>
  <c r="O196" i="3"/>
  <c r="N196" i="3"/>
  <c r="S195" i="3"/>
  <c r="R195" i="3"/>
  <c r="Q195" i="3"/>
  <c r="P195" i="3"/>
  <c r="O195" i="3"/>
  <c r="N195" i="3"/>
  <c r="S194" i="3"/>
  <c r="R194" i="3"/>
  <c r="Q194" i="3"/>
  <c r="P194" i="3"/>
  <c r="O194" i="3"/>
  <c r="N194" i="3"/>
  <c r="S192" i="3"/>
  <c r="R192" i="3"/>
  <c r="Q192" i="3"/>
  <c r="P192" i="3"/>
  <c r="O192" i="3"/>
  <c r="N192" i="3"/>
  <c r="S191" i="3"/>
  <c r="R191" i="3"/>
  <c r="Q191" i="3"/>
  <c r="P191" i="3"/>
  <c r="O191" i="3"/>
  <c r="O188" i="3"/>
  <c r="F187" i="3"/>
  <c r="F186" i="3"/>
  <c r="S185" i="3"/>
  <c r="R185" i="3"/>
  <c r="Q185" i="3"/>
  <c r="P185" i="3"/>
  <c r="F185" i="3"/>
  <c r="S184" i="3"/>
  <c r="R184" i="3"/>
  <c r="Q184" i="3"/>
  <c r="P184" i="3"/>
  <c r="F184" i="3"/>
  <c r="S183" i="3"/>
  <c r="R183" i="3"/>
  <c r="Q183" i="3"/>
  <c r="P183" i="3"/>
  <c r="F183" i="3"/>
  <c r="S182" i="3"/>
  <c r="R182" i="3"/>
  <c r="Q182" i="3"/>
  <c r="P182" i="3"/>
  <c r="F182" i="3"/>
  <c r="S181" i="3"/>
  <c r="R181" i="3"/>
  <c r="Q181" i="3"/>
  <c r="P181" i="3"/>
  <c r="F181" i="3"/>
  <c r="S180" i="3"/>
  <c r="R180" i="3"/>
  <c r="Q180" i="3"/>
  <c r="P180" i="3"/>
  <c r="F180" i="3"/>
  <c r="S179" i="3"/>
  <c r="R179" i="3"/>
  <c r="Q179" i="3"/>
  <c r="P179" i="3"/>
  <c r="F179" i="3"/>
  <c r="S178" i="3"/>
  <c r="R178" i="3"/>
  <c r="Q178" i="3"/>
  <c r="P178" i="3"/>
  <c r="F178" i="3"/>
  <c r="S177" i="3"/>
  <c r="R177" i="3"/>
  <c r="Q177" i="3"/>
  <c r="P177" i="3"/>
  <c r="F177" i="3"/>
  <c r="S176" i="3"/>
  <c r="R176" i="3"/>
  <c r="Q176" i="3"/>
  <c r="P176" i="3"/>
  <c r="F176" i="3"/>
  <c r="S175" i="3"/>
  <c r="R175" i="3"/>
  <c r="Q175" i="3"/>
  <c r="P175" i="3"/>
  <c r="F175" i="3"/>
  <c r="S174" i="3"/>
  <c r="R174" i="3"/>
  <c r="Q174" i="3"/>
  <c r="P174" i="3"/>
  <c r="F174" i="3"/>
  <c r="S173" i="3"/>
  <c r="R173" i="3"/>
  <c r="Q173" i="3"/>
  <c r="P173" i="3"/>
  <c r="F173" i="3"/>
  <c r="S172" i="3"/>
  <c r="R172" i="3"/>
  <c r="Q172" i="3"/>
  <c r="P172" i="3"/>
  <c r="F172" i="3"/>
  <c r="S171" i="3"/>
  <c r="R171" i="3"/>
  <c r="Q171" i="3"/>
  <c r="P171" i="3"/>
  <c r="F171" i="3"/>
  <c r="S170" i="3"/>
  <c r="R170" i="3"/>
  <c r="Q170" i="3"/>
  <c r="P170" i="3"/>
  <c r="F170" i="3"/>
  <c r="S169" i="3"/>
  <c r="R169" i="3"/>
  <c r="Q169" i="3"/>
  <c r="P169" i="3"/>
  <c r="F169" i="3"/>
  <c r="S168" i="3"/>
  <c r="R168" i="3"/>
  <c r="Q168" i="3"/>
  <c r="P168" i="3"/>
  <c r="F168" i="3"/>
  <c r="S167" i="3"/>
  <c r="R167" i="3"/>
  <c r="Q167" i="3"/>
  <c r="P167" i="3"/>
  <c r="F167" i="3"/>
  <c r="S166" i="3"/>
  <c r="R166" i="3"/>
  <c r="Q166" i="3"/>
  <c r="P166" i="3"/>
  <c r="F166" i="3"/>
  <c r="S165" i="3"/>
  <c r="R165" i="3"/>
  <c r="Q165" i="3"/>
  <c r="P165" i="3"/>
  <c r="F165" i="3"/>
  <c r="S164" i="3"/>
  <c r="R164" i="3"/>
  <c r="Q164" i="3"/>
  <c r="P164" i="3"/>
  <c r="F164" i="3"/>
  <c r="F163" i="3"/>
  <c r="S162" i="3"/>
  <c r="R162" i="3"/>
  <c r="Q162" i="3"/>
  <c r="P162" i="3"/>
  <c r="F162" i="3"/>
  <c r="S161" i="3"/>
  <c r="R161" i="3"/>
  <c r="Q161" i="3"/>
  <c r="P161" i="3"/>
  <c r="F161" i="3"/>
  <c r="F160" i="3"/>
  <c r="S159" i="3"/>
  <c r="R159" i="3"/>
  <c r="Q159" i="3"/>
  <c r="P159" i="3"/>
  <c r="F159" i="3"/>
  <c r="S158" i="3"/>
  <c r="R158" i="3"/>
  <c r="Q158" i="3"/>
  <c r="P158" i="3"/>
  <c r="F158" i="3"/>
  <c r="S157" i="3"/>
  <c r="R157" i="3"/>
  <c r="Q157" i="3"/>
  <c r="P157" i="3"/>
  <c r="F157" i="3"/>
  <c r="S156" i="3"/>
  <c r="R156" i="3"/>
  <c r="Q156" i="3"/>
  <c r="P156" i="3"/>
  <c r="F156" i="3"/>
  <c r="S155" i="3"/>
  <c r="R155" i="3"/>
  <c r="Q155" i="3"/>
  <c r="P155" i="3"/>
  <c r="F155" i="3"/>
  <c r="S154" i="3"/>
  <c r="R154" i="3"/>
  <c r="Q154" i="3"/>
  <c r="P154" i="3"/>
  <c r="F154" i="3"/>
  <c r="S153" i="3"/>
  <c r="R153" i="3"/>
  <c r="Q153" i="3"/>
  <c r="P153" i="3"/>
  <c r="F153" i="3"/>
  <c r="S152" i="3"/>
  <c r="R152" i="3"/>
  <c r="Q152" i="3"/>
  <c r="P152" i="3"/>
  <c r="F152" i="3"/>
  <c r="S151" i="3"/>
  <c r="R151" i="3"/>
  <c r="Q151" i="3"/>
  <c r="P151" i="3"/>
  <c r="F151" i="3"/>
  <c r="S150" i="3"/>
  <c r="R150" i="3"/>
  <c r="Q150" i="3"/>
  <c r="P150" i="3"/>
  <c r="F150" i="3"/>
  <c r="S149" i="3"/>
  <c r="R149" i="3"/>
  <c r="Q149" i="3"/>
  <c r="P149" i="3"/>
  <c r="F149" i="3"/>
  <c r="S148" i="3"/>
  <c r="R148" i="3"/>
  <c r="Q148" i="3"/>
  <c r="P148" i="3"/>
  <c r="F148" i="3"/>
  <c r="S147" i="3"/>
  <c r="R147" i="3"/>
  <c r="Q147" i="3"/>
  <c r="P147" i="3"/>
  <c r="F147" i="3"/>
  <c r="S146" i="3"/>
  <c r="R146" i="3"/>
  <c r="Q146" i="3"/>
  <c r="P146" i="3"/>
  <c r="F146" i="3"/>
  <c r="S145" i="3"/>
  <c r="R145" i="3"/>
  <c r="Q145" i="3"/>
  <c r="P145" i="3"/>
  <c r="F145" i="3"/>
  <c r="F144" i="3"/>
  <c r="S143" i="3"/>
  <c r="R143" i="3"/>
  <c r="P143" i="3"/>
  <c r="F143" i="3"/>
  <c r="S142" i="3"/>
  <c r="R142" i="3"/>
  <c r="P142" i="3"/>
  <c r="F142" i="3"/>
  <c r="S141" i="3"/>
  <c r="R141" i="3"/>
  <c r="P141" i="3"/>
  <c r="F141" i="3"/>
  <c r="S140" i="3"/>
  <c r="R140" i="3"/>
  <c r="P140" i="3"/>
  <c r="F140" i="3"/>
  <c r="S139" i="3"/>
  <c r="R139" i="3"/>
  <c r="P139" i="3"/>
  <c r="F139" i="3"/>
  <c r="S138" i="3"/>
  <c r="R138" i="3"/>
  <c r="P138" i="3"/>
  <c r="F138" i="3"/>
  <c r="S137" i="3"/>
  <c r="R137" i="3"/>
  <c r="P137" i="3"/>
  <c r="F137" i="3"/>
  <c r="S136" i="3"/>
  <c r="R136" i="3"/>
  <c r="P136" i="3"/>
  <c r="F136" i="3"/>
  <c r="S135" i="3"/>
  <c r="R135" i="3"/>
  <c r="P135" i="3"/>
  <c r="F135" i="3"/>
  <c r="S134" i="3"/>
  <c r="R134" i="3"/>
  <c r="P134" i="3"/>
  <c r="F134" i="3"/>
  <c r="S133" i="3"/>
  <c r="R133" i="3"/>
  <c r="P133" i="3"/>
  <c r="F133" i="3"/>
  <c r="S132" i="3"/>
  <c r="R132" i="3"/>
  <c r="P132" i="3"/>
  <c r="F132" i="3"/>
  <c r="S131" i="3"/>
  <c r="R131" i="3"/>
  <c r="P131" i="3"/>
  <c r="F131" i="3"/>
  <c r="S130" i="3"/>
  <c r="R130" i="3"/>
  <c r="P130" i="3"/>
  <c r="F130" i="3"/>
  <c r="S129" i="3"/>
  <c r="R129" i="3"/>
  <c r="P129" i="3"/>
  <c r="F129" i="3"/>
  <c r="S128" i="3"/>
  <c r="R128" i="3"/>
  <c r="P128" i="3"/>
  <c r="F128" i="3"/>
  <c r="S127" i="3"/>
  <c r="R127" i="3"/>
  <c r="P127" i="3"/>
  <c r="F127" i="3"/>
  <c r="S126" i="3"/>
  <c r="R126" i="3"/>
  <c r="P126" i="3"/>
  <c r="F126" i="3"/>
  <c r="S125" i="3"/>
  <c r="R125" i="3"/>
  <c r="P125" i="3"/>
  <c r="F125" i="3"/>
  <c r="S124" i="3"/>
  <c r="R124" i="3"/>
  <c r="P124" i="3"/>
  <c r="F124" i="3"/>
  <c r="S123" i="3"/>
  <c r="R123" i="3"/>
  <c r="P123" i="3"/>
  <c r="F123" i="3"/>
  <c r="S122" i="3"/>
  <c r="R122" i="3"/>
  <c r="P122" i="3"/>
  <c r="F122" i="3"/>
  <c r="S121" i="3"/>
  <c r="R121" i="3"/>
  <c r="P121" i="3"/>
  <c r="F121" i="3"/>
  <c r="S120" i="3"/>
  <c r="R120" i="3"/>
  <c r="P120" i="3"/>
  <c r="F120" i="3"/>
  <c r="S119" i="3"/>
  <c r="R119" i="3"/>
  <c r="P119" i="3"/>
  <c r="F119" i="3"/>
  <c r="S118" i="3"/>
  <c r="R118" i="3"/>
  <c r="P118" i="3"/>
  <c r="F118" i="3"/>
  <c r="S117" i="3"/>
  <c r="R117" i="3"/>
  <c r="P117" i="3"/>
  <c r="F117" i="3"/>
  <c r="S116" i="3"/>
  <c r="R116" i="3"/>
  <c r="P116" i="3"/>
  <c r="F116" i="3"/>
  <c r="S115" i="3"/>
  <c r="R115" i="3"/>
  <c r="P115" i="3"/>
  <c r="F115" i="3"/>
  <c r="S114" i="3"/>
  <c r="R114" i="3"/>
  <c r="P114" i="3"/>
  <c r="F114" i="3"/>
  <c r="S113" i="3"/>
  <c r="R113" i="3"/>
  <c r="P113" i="3"/>
  <c r="F113" i="3"/>
  <c r="S112" i="3"/>
  <c r="R112" i="3"/>
  <c r="P112" i="3"/>
  <c r="F112" i="3"/>
  <c r="S111" i="3"/>
  <c r="R111" i="3"/>
  <c r="P111" i="3"/>
  <c r="F111" i="3"/>
  <c r="S110" i="3"/>
  <c r="R110" i="3"/>
  <c r="P110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S63" i="3"/>
  <c r="R63" i="3"/>
  <c r="Q63" i="3"/>
  <c r="P63" i="3"/>
  <c r="N63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S35" i="3"/>
  <c r="R35" i="3"/>
  <c r="P35" i="3"/>
  <c r="F35" i="3"/>
  <c r="S34" i="3"/>
  <c r="R34" i="3"/>
  <c r="P34" i="3"/>
  <c r="F34" i="3"/>
  <c r="S33" i="3"/>
  <c r="R33" i="3"/>
  <c r="P33" i="3"/>
  <c r="F33" i="3"/>
  <c r="S32" i="3"/>
  <c r="R32" i="3"/>
  <c r="P32" i="3"/>
  <c r="F32" i="3"/>
  <c r="S31" i="3"/>
  <c r="R31" i="3"/>
  <c r="P31" i="3"/>
  <c r="F31" i="3"/>
  <c r="S30" i="3"/>
  <c r="R30" i="3"/>
  <c r="P30" i="3"/>
  <c r="F30" i="3"/>
  <c r="S29" i="3"/>
  <c r="R29" i="3"/>
  <c r="P29" i="3"/>
  <c r="F29" i="3"/>
  <c r="S28" i="3"/>
  <c r="R28" i="3"/>
  <c r="P28" i="3"/>
  <c r="F28" i="3"/>
  <c r="S27" i="3"/>
  <c r="R27" i="3"/>
  <c r="P27" i="3"/>
  <c r="F27" i="3"/>
  <c r="S26" i="3"/>
  <c r="R26" i="3"/>
  <c r="P26" i="3"/>
  <c r="F26" i="3"/>
  <c r="S25" i="3"/>
  <c r="R25" i="3"/>
  <c r="P25" i="3"/>
  <c r="F25" i="3"/>
  <c r="S24" i="3"/>
  <c r="R24" i="3"/>
  <c r="P24" i="3"/>
  <c r="F24" i="3"/>
  <c r="S23" i="3"/>
  <c r="R23" i="3"/>
  <c r="P23" i="3"/>
  <c r="F23" i="3"/>
  <c r="S22" i="3"/>
  <c r="R22" i="3"/>
  <c r="P22" i="3"/>
  <c r="F22" i="3"/>
  <c r="S21" i="3"/>
  <c r="R21" i="3"/>
  <c r="P21" i="3"/>
  <c r="F21" i="3"/>
  <c r="S20" i="3"/>
  <c r="R20" i="3"/>
  <c r="P20" i="3"/>
  <c r="F20" i="3"/>
  <c r="S19" i="3"/>
  <c r="R19" i="3"/>
  <c r="P19" i="3"/>
  <c r="F19" i="3"/>
  <c r="S18" i="3"/>
  <c r="R18" i="3"/>
  <c r="P18" i="3"/>
  <c r="F18" i="3"/>
  <c r="S17" i="3"/>
  <c r="R17" i="3"/>
  <c r="P17" i="3"/>
  <c r="F17" i="3"/>
  <c r="S16" i="3"/>
  <c r="R16" i="3"/>
  <c r="P16" i="3"/>
  <c r="F16" i="3"/>
  <c r="S15" i="3"/>
  <c r="R15" i="3"/>
  <c r="P15" i="3"/>
  <c r="F15" i="3"/>
  <c r="S14" i="3"/>
  <c r="R14" i="3"/>
  <c r="P14" i="3"/>
  <c r="F14" i="3"/>
  <c r="S13" i="3"/>
  <c r="R13" i="3"/>
  <c r="P13" i="3"/>
  <c r="F13" i="3"/>
  <c r="S12" i="3"/>
  <c r="R12" i="3"/>
  <c r="P12" i="3"/>
  <c r="F12" i="3"/>
  <c r="S11" i="3"/>
  <c r="R11" i="3"/>
  <c r="P11" i="3"/>
  <c r="F11" i="3"/>
  <c r="S10" i="3"/>
  <c r="R10" i="3"/>
  <c r="P10" i="3"/>
  <c r="F10" i="3"/>
  <c r="S9" i="3"/>
  <c r="R9" i="3"/>
  <c r="P9" i="3"/>
  <c r="F9" i="3"/>
  <c r="S8" i="3"/>
  <c r="R8" i="3"/>
  <c r="P8" i="3"/>
  <c r="F8" i="3"/>
  <c r="S7" i="3"/>
  <c r="R7" i="3"/>
  <c r="P7" i="3"/>
  <c r="F7" i="3"/>
  <c r="S6" i="3"/>
  <c r="R6" i="3"/>
  <c r="P6" i="3"/>
  <c r="F6" i="3"/>
  <c r="S5" i="3"/>
  <c r="R5" i="3"/>
  <c r="P5" i="3"/>
  <c r="F5" i="3"/>
  <c r="S4" i="3"/>
  <c r="R4" i="3"/>
  <c r="P4" i="3"/>
  <c r="F4" i="3"/>
  <c r="S3" i="3"/>
  <c r="R3" i="3"/>
  <c r="P3" i="3"/>
  <c r="F3" i="3"/>
  <c r="C20" i="2"/>
  <c r="Q141" i="3" s="1"/>
  <c r="C8" i="2"/>
  <c r="T194" i="3" s="1"/>
  <c r="C7" i="2"/>
  <c r="M161" i="3" s="1"/>
  <c r="C6" i="2"/>
  <c r="N147" i="3" s="1"/>
  <c r="C5" i="2"/>
  <c r="T108" i="3" s="1"/>
  <c r="C4" i="2"/>
  <c r="T178" i="3" s="1"/>
  <c r="H12" i="62" l="1"/>
  <c r="H15" i="62" s="1"/>
  <c r="D12" i="62" s="1"/>
  <c r="B27" i="62" s="1"/>
  <c r="B86" i="25"/>
  <c r="B11" i="66"/>
  <c r="D13" i="62"/>
  <c r="B32" i="62" s="1"/>
  <c r="B45" i="36"/>
  <c r="C44" i="36"/>
  <c r="B46" i="36"/>
  <c r="H18" i="62"/>
  <c r="H17" i="62"/>
  <c r="H21" i="62"/>
  <c r="C20" i="36" s="1"/>
  <c r="B15" i="15"/>
  <c r="D15" i="15" s="1"/>
  <c r="B27" i="36"/>
  <c r="D24" i="36"/>
  <c r="D21" i="35"/>
  <c r="B38" i="35" s="1"/>
  <c r="E18" i="66"/>
  <c r="E3" i="22"/>
  <c r="E4" i="22" s="1"/>
  <c r="G3" i="28"/>
  <c r="G4" i="28" s="1"/>
  <c r="D26" i="70"/>
  <c r="D26" i="15"/>
  <c r="D53" i="9"/>
  <c r="E40" i="68" s="1"/>
  <c r="C14" i="74"/>
  <c r="F19" i="74" s="1"/>
  <c r="O58" i="3"/>
  <c r="D27" i="15"/>
  <c r="B60" i="21"/>
  <c r="D60" i="21" s="1"/>
  <c r="E12" i="9"/>
  <c r="D44" i="15" s="1"/>
  <c r="C3" i="43" s="1"/>
  <c r="O36" i="32"/>
  <c r="O68" i="32"/>
  <c r="O100" i="32"/>
  <c r="O43" i="3"/>
  <c r="M152" i="3"/>
  <c r="T40" i="3"/>
  <c r="D24" i="27"/>
  <c r="E24" i="9"/>
  <c r="D41" i="27" s="1"/>
  <c r="C9" i="43" s="1"/>
  <c r="C40" i="9"/>
  <c r="O171" i="3"/>
  <c r="O145" i="3"/>
  <c r="C62" i="9"/>
  <c r="E18" i="41" s="1"/>
  <c r="F18" i="41" s="1"/>
  <c r="O73" i="3"/>
  <c r="N145" i="3"/>
  <c r="N148" i="3"/>
  <c r="N154" i="3"/>
  <c r="E14" i="9"/>
  <c r="D32" i="18" s="1"/>
  <c r="C22" i="43" s="1"/>
  <c r="E20" i="66"/>
  <c r="M86" i="3"/>
  <c r="D26" i="26"/>
  <c r="O107" i="3"/>
  <c r="T53" i="3"/>
  <c r="D22" i="22"/>
  <c r="B144" i="22" s="1"/>
  <c r="D43" i="33"/>
  <c r="E33" i="72"/>
  <c r="B47" i="72" s="1"/>
  <c r="P64" i="3"/>
  <c r="O91" i="3"/>
  <c r="T105" i="3"/>
  <c r="D29" i="17"/>
  <c r="O34" i="3"/>
  <c r="O82" i="3"/>
  <c r="O18" i="3"/>
  <c r="O45" i="3"/>
  <c r="N58" i="3"/>
  <c r="O7" i="3"/>
  <c r="O15" i="3"/>
  <c r="M82" i="3"/>
  <c r="O3" i="32"/>
  <c r="N15" i="3"/>
  <c r="D21" i="69"/>
  <c r="O22" i="3"/>
  <c r="N82" i="3"/>
  <c r="O83" i="3"/>
  <c r="P48" i="3"/>
  <c r="P61" i="3"/>
  <c r="O4" i="3"/>
  <c r="O49" i="3"/>
  <c r="N95" i="3"/>
  <c r="T72" i="3"/>
  <c r="O52" i="3"/>
  <c r="P86" i="3"/>
  <c r="N59" i="63"/>
  <c r="B36" i="70"/>
  <c r="D36" i="70" s="1"/>
  <c r="E17" i="73"/>
  <c r="B37" i="70"/>
  <c r="D37" i="70" s="1"/>
  <c r="D14" i="16"/>
  <c r="O85" i="3"/>
  <c r="B64" i="17"/>
  <c r="D64" i="17" s="1"/>
  <c r="B43" i="24"/>
  <c r="D43" i="24" s="1"/>
  <c r="B31" i="26"/>
  <c r="D31" i="26" s="1"/>
  <c r="B68" i="26" s="1"/>
  <c r="B38" i="70"/>
  <c r="D38" i="70" s="1"/>
  <c r="O57" i="3"/>
  <c r="P73" i="3"/>
  <c r="O84" i="3"/>
  <c r="M107" i="3"/>
  <c r="M16" i="3"/>
  <c r="M57" i="3"/>
  <c r="T73" i="3"/>
  <c r="O97" i="3"/>
  <c r="T107" i="3"/>
  <c r="T8" i="3"/>
  <c r="O48" i="3"/>
  <c r="P57" i="3"/>
  <c r="O86" i="3"/>
  <c r="M97" i="3"/>
  <c r="C43" i="9"/>
  <c r="D26" i="20"/>
  <c r="D25" i="22"/>
  <c r="K29" i="22" s="1"/>
  <c r="M77" i="3"/>
  <c r="B34" i="16"/>
  <c r="D34" i="16" s="1"/>
  <c r="M38" i="3"/>
  <c r="M49" i="3"/>
  <c r="O59" i="3"/>
  <c r="O77" i="3"/>
  <c r="O100" i="3"/>
  <c r="P38" i="3"/>
  <c r="T49" i="3"/>
  <c r="T67" i="3"/>
  <c r="P101" i="3"/>
  <c r="C63" i="9"/>
  <c r="E21" i="39" s="1"/>
  <c r="D20" i="18"/>
  <c r="D18" i="24"/>
  <c r="D28" i="33"/>
  <c r="O182" i="3"/>
  <c r="N38" i="3"/>
  <c r="P49" i="3"/>
  <c r="O67" i="3"/>
  <c r="O50" i="3"/>
  <c r="M61" i="3"/>
  <c r="P78" i="3"/>
  <c r="T101" i="3"/>
  <c r="T17" i="3"/>
  <c r="N61" i="3"/>
  <c r="P68" i="3"/>
  <c r="P90" i="3"/>
  <c r="M150" i="3"/>
  <c r="T152" i="3"/>
  <c r="O167" i="3"/>
  <c r="T186" i="3"/>
  <c r="B50" i="9"/>
  <c r="D19" i="24"/>
  <c r="B15" i="70"/>
  <c r="D15" i="70" s="1"/>
  <c r="E22" i="9"/>
  <c r="D37" i="9"/>
  <c r="E50" i="9"/>
  <c r="D28" i="19"/>
  <c r="D20" i="27"/>
  <c r="E15" i="73"/>
  <c r="N45" i="3"/>
  <c r="O54" i="3"/>
  <c r="P45" i="3"/>
  <c r="O63" i="3"/>
  <c r="P108" i="3"/>
  <c r="B13" i="9"/>
  <c r="T9" i="3"/>
  <c r="O21" i="3"/>
  <c r="M37" i="3"/>
  <c r="O46" i="3"/>
  <c r="O56" i="3"/>
  <c r="P80" i="3"/>
  <c r="O10" i="3"/>
  <c r="O38" i="3"/>
  <c r="N56" i="3"/>
  <c r="T80" i="3"/>
  <c r="O90" i="3"/>
  <c r="O101" i="3"/>
  <c r="M149" i="3"/>
  <c r="O152" i="3"/>
  <c r="E13" i="9"/>
  <c r="D46" i="16" s="1"/>
  <c r="C4" i="43" s="1"/>
  <c r="E23" i="9"/>
  <c r="D36" i="9"/>
  <c r="C28" i="34"/>
  <c r="D28" i="34" s="1"/>
  <c r="E19" i="66"/>
  <c r="E27" i="68"/>
  <c r="B52" i="68" s="1"/>
  <c r="O4" i="32"/>
  <c r="O42" i="32"/>
  <c r="O58" i="32"/>
  <c r="O74" i="32"/>
  <c r="D33" i="69"/>
  <c r="D28" i="16"/>
  <c r="D49" i="20"/>
  <c r="B58" i="27"/>
  <c r="D58" i="27" s="1"/>
  <c r="H4" i="33"/>
  <c r="H8" i="33" s="1"/>
  <c r="O108" i="32"/>
  <c r="E5" i="60"/>
  <c r="B11" i="60" s="1"/>
  <c r="O23" i="3"/>
  <c r="T26" i="3"/>
  <c r="O180" i="3"/>
  <c r="D18" i="9"/>
  <c r="T41" i="3"/>
  <c r="P66" i="3"/>
  <c r="P76" i="3"/>
  <c r="O96" i="3"/>
  <c r="M188" i="3"/>
  <c r="E18" i="9"/>
  <c r="B29" i="9"/>
  <c r="D29" i="9"/>
  <c r="D44" i="70" s="1"/>
  <c r="C23" i="43" s="1"/>
  <c r="D20" i="19"/>
  <c r="O44" i="3"/>
  <c r="M53" i="3"/>
  <c r="O61" i="3"/>
  <c r="O68" i="3"/>
  <c r="N86" i="3"/>
  <c r="T97" i="3"/>
  <c r="C20" i="9"/>
  <c r="E43" i="9"/>
  <c r="D12" i="18"/>
  <c r="D19" i="23"/>
  <c r="B41" i="23" s="1"/>
  <c r="D15" i="30"/>
  <c r="B37" i="30" s="1"/>
  <c r="D25" i="20"/>
  <c r="O62" i="3"/>
  <c r="D23" i="15"/>
  <c r="O69" i="3"/>
  <c r="O71" i="3"/>
  <c r="C13" i="9"/>
  <c r="H15" i="31"/>
  <c r="H17" i="31" s="1"/>
  <c r="E5" i="31" s="1"/>
  <c r="H18" i="31" s="1"/>
  <c r="O121" i="32"/>
  <c r="F12" i="39"/>
  <c r="B12" i="59"/>
  <c r="N65" i="63"/>
  <c r="E24" i="68"/>
  <c r="N16" i="3"/>
  <c r="O155" i="3"/>
  <c r="M42" i="3"/>
  <c r="O51" i="3"/>
  <c r="P60" i="3"/>
  <c r="M65" i="3"/>
  <c r="M83" i="3"/>
  <c r="T102" i="3"/>
  <c r="O176" i="3"/>
  <c r="M215" i="3"/>
  <c r="C30" i="9"/>
  <c r="E42" i="9"/>
  <c r="C52" i="9"/>
  <c r="D20" i="15"/>
  <c r="G30" i="15" s="1"/>
  <c r="B24" i="70"/>
  <c r="D24" i="70" s="1"/>
  <c r="Q19" i="3"/>
  <c r="O131" i="3"/>
  <c r="O135" i="3"/>
  <c r="O147" i="3"/>
  <c r="B14" i="9"/>
  <c r="C23" i="9"/>
  <c r="E42" i="72" s="1"/>
  <c r="B26" i="43" s="1"/>
  <c r="E52" i="9"/>
  <c r="C65" i="9"/>
  <c r="D16" i="64" s="1"/>
  <c r="D24" i="22"/>
  <c r="E4" i="24"/>
  <c r="D29" i="24" s="1"/>
  <c r="O133" i="3"/>
  <c r="C14" i="9"/>
  <c r="D23" i="9"/>
  <c r="B43" i="9"/>
  <c r="O81" i="32"/>
  <c r="O97" i="32"/>
  <c r="N153" i="63"/>
  <c r="D22" i="27"/>
  <c r="D30" i="27"/>
  <c r="O82" i="32"/>
  <c r="D31" i="33"/>
  <c r="F17" i="38"/>
  <c r="C16" i="25"/>
  <c r="D16" i="25" s="1"/>
  <c r="D21" i="18"/>
  <c r="C17" i="25"/>
  <c r="D19" i="35"/>
  <c r="B47" i="69"/>
  <c r="D47" i="69" s="1"/>
  <c r="B39" i="70"/>
  <c r="D39" i="70" s="1"/>
  <c r="F37" i="75"/>
  <c r="C36" i="9"/>
  <c r="O37" i="32"/>
  <c r="O53" i="32"/>
  <c r="O38" i="32"/>
  <c r="O54" i="32"/>
  <c r="O102" i="32"/>
  <c r="O118" i="32"/>
  <c r="E16" i="66"/>
  <c r="D40" i="70"/>
  <c r="D26" i="9"/>
  <c r="D36" i="16"/>
  <c r="O87" i="32"/>
  <c r="O165" i="32"/>
  <c r="O135" i="32"/>
  <c r="C12" i="9"/>
  <c r="E27" i="9"/>
  <c r="C61" i="9"/>
  <c r="E22" i="37" s="1"/>
  <c r="D17" i="15"/>
  <c r="D23" i="25"/>
  <c r="B13" i="28"/>
  <c r="C13" i="28" s="1"/>
  <c r="E13" i="28" s="1"/>
  <c r="O14" i="32"/>
  <c r="O41" i="32"/>
  <c r="O57" i="32"/>
  <c r="O73" i="32"/>
  <c r="O89" i="32"/>
  <c r="O183" i="32"/>
  <c r="E25" i="67"/>
  <c r="F19" i="37"/>
  <c r="O125" i="3"/>
  <c r="D18" i="21"/>
  <c r="N82" i="63"/>
  <c r="E23" i="68"/>
  <c r="O113" i="3"/>
  <c r="H50" i="25"/>
  <c r="O5" i="32"/>
  <c r="O16" i="32"/>
  <c r="O29" i="32"/>
  <c r="O45" i="32"/>
  <c r="O61" i="32"/>
  <c r="B52" i="9"/>
  <c r="D18" i="31"/>
  <c r="B35" i="31" s="1"/>
  <c r="O17" i="32"/>
  <c r="D23" i="70"/>
  <c r="Q30" i="3"/>
  <c r="B36" i="15"/>
  <c r="D36" i="15" s="1"/>
  <c r="M7" i="3"/>
  <c r="O14" i="3"/>
  <c r="Q20" i="3"/>
  <c r="N34" i="3"/>
  <c r="T38" i="3"/>
  <c r="R43" i="3"/>
  <c r="N49" i="3"/>
  <c r="N62" i="3"/>
  <c r="N67" i="3"/>
  <c r="O74" i="3"/>
  <c r="M81" i="3"/>
  <c r="O88" i="3"/>
  <c r="R95" i="3"/>
  <c r="O102" i="3"/>
  <c r="T214" i="3"/>
  <c r="B37" i="9"/>
  <c r="C53" i="9"/>
  <c r="O24" i="32"/>
  <c r="O40" i="32"/>
  <c r="O70" i="32"/>
  <c r="H15" i="35"/>
  <c r="B25" i="63"/>
  <c r="D25" i="63" s="1"/>
  <c r="E23" i="67"/>
  <c r="R93" i="3"/>
  <c r="D25" i="26"/>
  <c r="D26" i="33"/>
  <c r="R39" i="3"/>
  <c r="Q44" i="3"/>
  <c r="Q89" i="3"/>
  <c r="Q96" i="3"/>
  <c r="R186" i="3"/>
  <c r="C22" i="9"/>
  <c r="B37" i="15"/>
  <c r="D37" i="15" s="1"/>
  <c r="D31" i="17"/>
  <c r="D11" i="18"/>
  <c r="D24" i="20"/>
  <c r="B62" i="20" s="1"/>
  <c r="D19" i="20"/>
  <c r="D13" i="29"/>
  <c r="B34" i="29" s="1"/>
  <c r="E22" i="68"/>
  <c r="R79" i="3"/>
  <c r="D27" i="19"/>
  <c r="E18" i="73"/>
  <c r="N161" i="3"/>
  <c r="E47" i="9"/>
  <c r="C56" i="9"/>
  <c r="B38" i="15"/>
  <c r="D38" i="15" s="1"/>
  <c r="D22" i="18"/>
  <c r="D21" i="27"/>
  <c r="E7" i="32"/>
  <c r="C22" i="32" s="1"/>
  <c r="O105" i="32"/>
  <c r="O151" i="32"/>
  <c r="O182" i="32"/>
  <c r="F18" i="38"/>
  <c r="B33" i="38" s="1"/>
  <c r="N200" i="63"/>
  <c r="R40" i="3"/>
  <c r="R105" i="3"/>
  <c r="E87" i="74"/>
  <c r="S65" i="3"/>
  <c r="R77" i="3"/>
  <c r="E24" i="28"/>
  <c r="Q21" i="3"/>
  <c r="O41" i="3"/>
  <c r="O106" i="3"/>
  <c r="O184" i="3"/>
  <c r="B39" i="15"/>
  <c r="D39" i="15" s="1"/>
  <c r="O6" i="32"/>
  <c r="O77" i="32"/>
  <c r="O201" i="32"/>
  <c r="H10" i="71"/>
  <c r="Q4" i="3"/>
  <c r="S39" i="3"/>
  <c r="O161" i="3"/>
  <c r="O5" i="3"/>
  <c r="T24" i="3"/>
  <c r="R91" i="3"/>
  <c r="O25" i="3"/>
  <c r="Q45" i="3"/>
  <c r="O64" i="3"/>
  <c r="T91" i="3"/>
  <c r="B41" i="9"/>
  <c r="Q5" i="3"/>
  <c r="Q32" i="3"/>
  <c r="Q41" i="3"/>
  <c r="T45" i="3"/>
  <c r="O53" i="3"/>
  <c r="N60" i="3"/>
  <c r="N64" i="3"/>
  <c r="P71" i="3"/>
  <c r="N78" i="3"/>
  <c r="M85" i="3"/>
  <c r="O112" i="3"/>
  <c r="N158" i="3"/>
  <c r="C41" i="9"/>
  <c r="C50" i="9"/>
  <c r="D17" i="21"/>
  <c r="D17" i="23"/>
  <c r="C20" i="25"/>
  <c r="D20" i="25" s="1"/>
  <c r="D23" i="27"/>
  <c r="D14" i="30"/>
  <c r="O19" i="32"/>
  <c r="O48" i="32"/>
  <c r="O78" i="32"/>
  <c r="O93" i="32"/>
  <c r="O109" i="32"/>
  <c r="F11" i="39"/>
  <c r="B40" i="39" s="1"/>
  <c r="F13" i="40"/>
  <c r="B36" i="40" s="1"/>
  <c r="Q31" i="3"/>
  <c r="Q12" i="3"/>
  <c r="R41" i="3"/>
  <c r="Q92" i="3"/>
  <c r="Q94" i="3"/>
  <c r="B24" i="9"/>
  <c r="D16" i="15"/>
  <c r="O9" i="3"/>
  <c r="O37" i="3"/>
  <c r="S41" i="3"/>
  <c r="O47" i="3"/>
  <c r="P53" i="3"/>
  <c r="O65" i="3"/>
  <c r="R72" i="3"/>
  <c r="N100" i="3"/>
  <c r="N107" i="3"/>
  <c r="Q120" i="3"/>
  <c r="O128" i="3"/>
  <c r="O136" i="3"/>
  <c r="O150" i="3"/>
  <c r="M162" i="3"/>
  <c r="B18" i="9"/>
  <c r="D17" i="30" s="1"/>
  <c r="C24" i="9"/>
  <c r="D42" i="9"/>
  <c r="D16" i="27"/>
  <c r="E6" i="32"/>
  <c r="C21" i="32" s="1"/>
  <c r="O50" i="32"/>
  <c r="O65" i="32"/>
  <c r="O126" i="32"/>
  <c r="F13" i="38"/>
  <c r="C14" i="40"/>
  <c r="F14" i="40" s="1"/>
  <c r="D26" i="68"/>
  <c r="E26" i="68" s="1"/>
  <c r="D19" i="69"/>
  <c r="D24" i="25"/>
  <c r="O96" i="32"/>
  <c r="O127" i="32"/>
  <c r="O142" i="32"/>
  <c r="E4" i="61"/>
  <c r="D32" i="33"/>
  <c r="F14" i="38"/>
  <c r="C15" i="40"/>
  <c r="F15" i="40" s="1"/>
  <c r="E19" i="68"/>
  <c r="D20" i="69"/>
  <c r="B23" i="26"/>
  <c r="D23" i="26" s="1"/>
  <c r="R42" i="3"/>
  <c r="Q73" i="3"/>
  <c r="F15" i="38"/>
  <c r="E15" i="66"/>
  <c r="D59" i="70"/>
  <c r="E16" i="73"/>
  <c r="Q3" i="3"/>
  <c r="Q125" i="3"/>
  <c r="O167" i="32"/>
  <c r="O39" i="32"/>
  <c r="O85" i="32"/>
  <c r="O193" i="32"/>
  <c r="H5" i="32"/>
  <c r="H6" i="32" s="1"/>
  <c r="E2" i="32"/>
  <c r="B26" i="32" s="1"/>
  <c r="N83" i="3"/>
  <c r="D31" i="16"/>
  <c r="T10" i="3"/>
  <c r="O29" i="3"/>
  <c r="P69" i="3"/>
  <c r="M79" i="3"/>
  <c r="N93" i="3"/>
  <c r="T155" i="3"/>
  <c r="B19" i="15"/>
  <c r="D19" i="15" s="1"/>
  <c r="D18" i="16"/>
  <c r="N8" i="3"/>
  <c r="T25" i="3"/>
  <c r="D27" i="16"/>
  <c r="D67" i="17"/>
  <c r="O9" i="32"/>
  <c r="O32" i="32"/>
  <c r="O161" i="32"/>
  <c r="O190" i="32"/>
  <c r="D25" i="69"/>
  <c r="P46" i="3"/>
  <c r="N65" i="3"/>
  <c r="T78" i="3"/>
  <c r="T92" i="3"/>
  <c r="N175" i="3"/>
  <c r="E21" i="4"/>
  <c r="D18" i="15"/>
  <c r="M8" i="3"/>
  <c r="O17" i="3"/>
  <c r="M23" i="3"/>
  <c r="M47" i="3"/>
  <c r="P65" i="3"/>
  <c r="T74" i="3"/>
  <c r="N88" i="3"/>
  <c r="O104" i="3"/>
  <c r="T150" i="3"/>
  <c r="D40" i="15"/>
  <c r="O11" i="3"/>
  <c r="M17" i="3"/>
  <c r="N23" i="3"/>
  <c r="T39" i="3"/>
  <c r="N47" i="3"/>
  <c r="M51" i="3"/>
  <c r="M55" i="3"/>
  <c r="N59" i="3"/>
  <c r="M63" i="3"/>
  <c r="O70" i="3"/>
  <c r="O75" i="3"/>
  <c r="N84" i="3"/>
  <c r="M99" i="3"/>
  <c r="T104" i="3"/>
  <c r="O130" i="3"/>
  <c r="O134" i="3"/>
  <c r="O138" i="3"/>
  <c r="O146" i="3"/>
  <c r="B21" i="9"/>
  <c r="D64" i="22" s="1"/>
  <c r="B12" i="43" s="1"/>
  <c r="C51" i="9"/>
  <c r="O40" i="3"/>
  <c r="N51" i="3"/>
  <c r="M75" i="3"/>
  <c r="T93" i="3"/>
  <c r="O105" i="3"/>
  <c r="C21" i="9"/>
  <c r="D38" i="9"/>
  <c r="D13" i="19"/>
  <c r="D21" i="19"/>
  <c r="O21" i="32"/>
  <c r="O33" i="32"/>
  <c r="O177" i="32"/>
  <c r="H13" i="62"/>
  <c r="B48" i="69"/>
  <c r="D48" i="69" s="1"/>
  <c r="M39" i="3"/>
  <c r="O98" i="3"/>
  <c r="B66" i="17"/>
  <c r="D66" i="17" s="1"/>
  <c r="M84" i="3"/>
  <c r="O99" i="3"/>
  <c r="B51" i="9"/>
  <c r="O26" i="3"/>
  <c r="O36" i="3"/>
  <c r="P43" i="3"/>
  <c r="N55" i="3"/>
  <c r="R70" i="3"/>
  <c r="P88" i="3"/>
  <c r="N99" i="3"/>
  <c r="M151" i="3"/>
  <c r="B32" i="9"/>
  <c r="E38" i="66" s="1"/>
  <c r="D51" i="9"/>
  <c r="B45" i="24"/>
  <c r="D45" i="24" s="1"/>
  <c r="O3" i="3"/>
  <c r="O33" i="3"/>
  <c r="M36" i="3"/>
  <c r="N40" i="3"/>
  <c r="Q43" i="3"/>
  <c r="P47" i="3"/>
  <c r="P55" i="3"/>
  <c r="P59" i="3"/>
  <c r="N66" i="3"/>
  <c r="T70" i="3"/>
  <c r="R75" i="3"/>
  <c r="M80" i="3"/>
  <c r="P84" i="3"/>
  <c r="T88" i="3"/>
  <c r="O94" i="3"/>
  <c r="M105" i="3"/>
  <c r="O115" i="3"/>
  <c r="O149" i="3"/>
  <c r="T162" i="3"/>
  <c r="D21" i="9"/>
  <c r="D65" i="22" s="1"/>
  <c r="C12" i="43" s="1"/>
  <c r="B25" i="9"/>
  <c r="D26" i="23" s="1"/>
  <c r="B14" i="43" s="1"/>
  <c r="D32" i="9"/>
  <c r="E38" i="9"/>
  <c r="C45" i="9"/>
  <c r="B58" i="9"/>
  <c r="D11" i="15"/>
  <c r="D68" i="17"/>
  <c r="D22" i="19"/>
  <c r="D21" i="20"/>
  <c r="O133" i="32"/>
  <c r="D29" i="34"/>
  <c r="F21" i="37"/>
  <c r="B41" i="37" s="1"/>
  <c r="C18" i="39"/>
  <c r="F18" i="39" s="1"/>
  <c r="C18" i="40"/>
  <c r="B25" i="60"/>
  <c r="AF2" i="63"/>
  <c r="D26" i="69"/>
  <c r="B65" i="17"/>
  <c r="D65" i="17" s="1"/>
  <c r="N35" i="3"/>
  <c r="O6" i="3"/>
  <c r="O30" i="3"/>
  <c r="N36" i="3"/>
  <c r="T51" i="3"/>
  <c r="O66" i="3"/>
  <c r="T75" i="3"/>
  <c r="N80" i="3"/>
  <c r="M100" i="3"/>
  <c r="M173" i="3"/>
  <c r="O179" i="3"/>
  <c r="E25" i="9"/>
  <c r="E32" i="9"/>
  <c r="C58" i="9"/>
  <c r="B67" i="9"/>
  <c r="D12" i="15"/>
  <c r="D23" i="17"/>
  <c r="D46" i="24"/>
  <c r="O22" i="32"/>
  <c r="O46" i="32"/>
  <c r="O71" i="32"/>
  <c r="O94" i="32"/>
  <c r="O120" i="32"/>
  <c r="O149" i="32"/>
  <c r="C19" i="40"/>
  <c r="F19" i="40" s="1"/>
  <c r="A21" i="63"/>
  <c r="A19" i="33" s="1"/>
  <c r="E24" i="67"/>
  <c r="E88" i="74"/>
  <c r="E16" i="9"/>
  <c r="C46" i="9"/>
  <c r="E58" i="9"/>
  <c r="B21" i="15"/>
  <c r="D21" i="15" s="1"/>
  <c r="D23" i="19"/>
  <c r="D18" i="23"/>
  <c r="B48" i="25"/>
  <c r="D48" i="25" s="1"/>
  <c r="D18" i="27"/>
  <c r="D25" i="27"/>
  <c r="B57" i="27"/>
  <c r="D57" i="27" s="1"/>
  <c r="O13" i="32"/>
  <c r="O23" i="32"/>
  <c r="O47" i="32"/>
  <c r="O72" i="32"/>
  <c r="O95" i="32"/>
  <c r="F12" i="38"/>
  <c r="E2" i="61"/>
  <c r="E5" i="61" s="1"/>
  <c r="E3" i="63"/>
  <c r="E13" i="64"/>
  <c r="E21" i="68"/>
  <c r="E89" i="74"/>
  <c r="D47" i="24"/>
  <c r="D22" i="25"/>
  <c r="B62" i="25" s="1"/>
  <c r="M9" i="3"/>
  <c r="M24" i="3"/>
  <c r="O27" i="3"/>
  <c r="T37" i="3"/>
  <c r="P41" i="3"/>
  <c r="P52" i="3"/>
  <c r="P56" i="3"/>
  <c r="M67" i="3"/>
  <c r="O72" i="3"/>
  <c r="T76" i="3"/>
  <c r="O81" i="3"/>
  <c r="P85" i="3"/>
  <c r="M217" i="3"/>
  <c r="P220" i="3"/>
  <c r="B12" i="9"/>
  <c r="E17" i="9"/>
  <c r="D22" i="9"/>
  <c r="E47" i="28" s="1"/>
  <c r="C13" i="43" s="1"/>
  <c r="B35" i="9"/>
  <c r="B63" i="17"/>
  <c r="D63" i="17" s="1"/>
  <c r="D22" i="24"/>
  <c r="B27" i="26"/>
  <c r="D27" i="26" s="1"/>
  <c r="O49" i="32"/>
  <c r="O136" i="32"/>
  <c r="F20" i="37"/>
  <c r="F17" i="40"/>
  <c r="AF3" i="63"/>
  <c r="D50" i="69"/>
  <c r="B47" i="25"/>
  <c r="D47" i="25" s="1"/>
  <c r="D26" i="27"/>
  <c r="O62" i="32"/>
  <c r="O86" i="32"/>
  <c r="O137" i="32"/>
  <c r="O152" i="32"/>
  <c r="N88" i="63"/>
  <c r="E26" i="67"/>
  <c r="B49" i="67" s="1"/>
  <c r="D27" i="70"/>
  <c r="C35" i="9"/>
  <c r="O15" i="32"/>
  <c r="O25" i="32"/>
  <c r="O63" i="32"/>
  <c r="O110" i="32"/>
  <c r="O153" i="32"/>
  <c r="O168" i="32"/>
  <c r="O197" i="32"/>
  <c r="D35" i="9"/>
  <c r="N7" i="3"/>
  <c r="O13" i="3"/>
  <c r="O16" i="3"/>
  <c r="O19" i="3"/>
  <c r="O177" i="3"/>
  <c r="B53" i="9"/>
  <c r="D27" i="27"/>
  <c r="O26" i="32"/>
  <c r="O52" i="32"/>
  <c r="O64" i="32"/>
  <c r="O111" i="32"/>
  <c r="O125" i="32"/>
  <c r="O169" i="32"/>
  <c r="C17" i="41"/>
  <c r="F17" i="41" s="1"/>
  <c r="N4" i="63"/>
  <c r="N27" i="63"/>
  <c r="E21" i="66"/>
  <c r="C15" i="37"/>
  <c r="F15" i="37" s="1"/>
  <c r="E18" i="67"/>
  <c r="B50" i="67" s="1"/>
  <c r="D26" i="25"/>
  <c r="D49" i="25"/>
  <c r="B30" i="26"/>
  <c r="D30" i="26" s="1"/>
  <c r="D29" i="27"/>
  <c r="O101" i="32"/>
  <c r="O113" i="32"/>
  <c r="O141" i="32"/>
  <c r="O200" i="32"/>
  <c r="H7" i="33"/>
  <c r="H9" i="33" s="1"/>
  <c r="F13" i="39"/>
  <c r="E5" i="63"/>
  <c r="E6" i="63" s="1"/>
  <c r="C21" i="63" s="1"/>
  <c r="N63" i="63"/>
  <c r="E22" i="66"/>
  <c r="B44" i="24"/>
  <c r="D44" i="24" s="1"/>
  <c r="E27" i="74"/>
  <c r="J53" i="74" s="1"/>
  <c r="M25" i="3"/>
  <c r="D31" i="21"/>
  <c r="D32" i="26"/>
  <c r="O7" i="32"/>
  <c r="O128" i="32"/>
  <c r="O143" i="32"/>
  <c r="O158" i="32"/>
  <c r="O173" i="32"/>
  <c r="D30" i="33"/>
  <c r="F14" i="39"/>
  <c r="N72" i="63"/>
  <c r="E23" i="66"/>
  <c r="B50" i="66" s="1"/>
  <c r="E18" i="68"/>
  <c r="E25" i="68"/>
  <c r="B46" i="69"/>
  <c r="D46" i="69" s="1"/>
  <c r="F27" i="74"/>
  <c r="D18" i="75"/>
  <c r="O158" i="3"/>
  <c r="N14" i="3"/>
  <c r="O20" i="3"/>
  <c r="T28" i="3"/>
  <c r="T42" i="3"/>
  <c r="P50" i="3"/>
  <c r="P54" i="3"/>
  <c r="P58" i="3"/>
  <c r="P62" i="3"/>
  <c r="O79" i="3"/>
  <c r="M98" i="3"/>
  <c r="P103" i="3"/>
  <c r="O181" i="3"/>
  <c r="O30" i="32"/>
  <c r="O55" i="32"/>
  <c r="O79" i="32"/>
  <c r="O103" i="32"/>
  <c r="O129" i="32"/>
  <c r="O144" i="32"/>
  <c r="O159" i="32"/>
  <c r="E21" i="67"/>
  <c r="E28" i="74"/>
  <c r="N87" i="3"/>
  <c r="D14" i="15"/>
  <c r="D20" i="20"/>
  <c r="D32" i="21"/>
  <c r="D51" i="25"/>
  <c r="D33" i="26"/>
  <c r="O8" i="32"/>
  <c r="O31" i="32"/>
  <c r="O56" i="32"/>
  <c r="O69" i="32"/>
  <c r="O104" i="32"/>
  <c r="O117" i="32"/>
  <c r="O145" i="32"/>
  <c r="O160" i="32"/>
  <c r="O189" i="32"/>
  <c r="F16" i="40"/>
  <c r="B13" i="60"/>
  <c r="J1" i="62"/>
  <c r="AF1" i="63"/>
  <c r="N89" i="63"/>
  <c r="E17" i="66"/>
  <c r="Q13" i="3"/>
  <c r="Q6" i="3"/>
  <c r="O28" i="3"/>
  <c r="S44" i="3"/>
  <c r="N5" i="3"/>
  <c r="Q10" i="3"/>
  <c r="O12" i="3"/>
  <c r="M14" i="3"/>
  <c r="T15" i="3"/>
  <c r="N21" i="3"/>
  <c r="Q28" i="3"/>
  <c r="O32" i="3"/>
  <c r="M34" i="3"/>
  <c r="T35" i="3"/>
  <c r="S37" i="3"/>
  <c r="Q39" i="3"/>
  <c r="Q75" i="3"/>
  <c r="Q77" i="3"/>
  <c r="Q79" i="3"/>
  <c r="Q81" i="3"/>
  <c r="M88" i="3"/>
  <c r="N90" i="3"/>
  <c r="P92" i="3"/>
  <c r="P94" i="3"/>
  <c r="P96" i="3"/>
  <c r="Q98" i="3"/>
  <c r="M101" i="3"/>
  <c r="O103" i="3"/>
  <c r="Q105" i="3"/>
  <c r="S107" i="3"/>
  <c r="M119" i="3"/>
  <c r="N121" i="3"/>
  <c r="O123" i="3"/>
  <c r="O127" i="3"/>
  <c r="T137" i="3"/>
  <c r="M142" i="3"/>
  <c r="M145" i="3"/>
  <c r="M147" i="3"/>
  <c r="T148" i="3"/>
  <c r="O165" i="3"/>
  <c r="N167" i="3"/>
  <c r="N176" i="3"/>
  <c r="O178" i="3"/>
  <c r="N180" i="3"/>
  <c r="N182" i="3"/>
  <c r="N184" i="3"/>
  <c r="O186" i="3"/>
  <c r="N191" i="3"/>
  <c r="T207" i="3"/>
  <c r="T216" i="3"/>
  <c r="N219" i="3"/>
  <c r="E17" i="4"/>
  <c r="D15" i="9"/>
  <c r="D41" i="17" s="1"/>
  <c r="C5" i="43" s="1"/>
  <c r="E54" i="9"/>
  <c r="B54" i="9"/>
  <c r="H70" i="16"/>
  <c r="B29" i="16"/>
  <c r="D29" i="16" s="1"/>
  <c r="B20" i="16"/>
  <c r="D20" i="16" s="1"/>
  <c r="D23" i="16"/>
  <c r="T112" i="3"/>
  <c r="T133" i="3"/>
  <c r="Q69" i="3"/>
  <c r="Q71" i="3"/>
  <c r="R73" i="3"/>
  <c r="S75" i="3"/>
  <c r="S77" i="3"/>
  <c r="R92" i="3"/>
  <c r="R94" i="3"/>
  <c r="R96" i="3"/>
  <c r="Q103" i="3"/>
  <c r="S105" i="3"/>
  <c r="M111" i="3"/>
  <c r="N117" i="3"/>
  <c r="O119" i="3"/>
  <c r="Q123" i="3"/>
  <c r="T131" i="3"/>
  <c r="M136" i="3"/>
  <c r="M138" i="3"/>
  <c r="N140" i="3"/>
  <c r="O142" i="3"/>
  <c r="O174" i="3"/>
  <c r="S186" i="3"/>
  <c r="M199" i="3"/>
  <c r="R219" i="3"/>
  <c r="E22" i="4"/>
  <c r="B64" i="9"/>
  <c r="E18" i="40" s="1"/>
  <c r="B26" i="17"/>
  <c r="D26" i="17" s="1"/>
  <c r="B27" i="17"/>
  <c r="D27" i="17" s="1"/>
  <c r="B24" i="17"/>
  <c r="D24" i="17" s="1"/>
  <c r="C3" i="17"/>
  <c r="B28" i="17"/>
  <c r="D28" i="17" s="1"/>
  <c r="B25" i="17"/>
  <c r="D25" i="17" s="1"/>
  <c r="B16" i="18"/>
  <c r="D16" i="18" s="1"/>
  <c r="B43" i="18" s="1"/>
  <c r="T114" i="3"/>
  <c r="M140" i="3"/>
  <c r="T205" i="3"/>
  <c r="D28" i="9"/>
  <c r="D37" i="69" s="1"/>
  <c r="C25" i="43" s="1"/>
  <c r="C28" i="9"/>
  <c r="B39" i="9"/>
  <c r="E39" i="9"/>
  <c r="Q67" i="3"/>
  <c r="S73" i="3"/>
  <c r="S94" i="3"/>
  <c r="Q101" i="3"/>
  <c r="N111" i="3"/>
  <c r="M113" i="3"/>
  <c r="M115" i="3"/>
  <c r="O117" i="3"/>
  <c r="Q121" i="3"/>
  <c r="T129" i="3"/>
  <c r="O132" i="3"/>
  <c r="N134" i="3"/>
  <c r="N136" i="3"/>
  <c r="O140" i="3"/>
  <c r="T196" i="3"/>
  <c r="T203" i="3"/>
  <c r="S219" i="3"/>
  <c r="E23" i="4"/>
  <c r="D20" i="9"/>
  <c r="D37" i="20" s="1"/>
  <c r="C24" i="43" s="1"/>
  <c r="B20" i="9"/>
  <c r="B56" i="9"/>
  <c r="D56" i="9"/>
  <c r="O121" i="3"/>
  <c r="B44" i="9"/>
  <c r="D44" i="9"/>
  <c r="R69" i="3"/>
  <c r="R90" i="3"/>
  <c r="T3" i="3"/>
  <c r="T19" i="3"/>
  <c r="N25" i="3"/>
  <c r="T30" i="3"/>
  <c r="Q34" i="3"/>
  <c r="S43" i="3"/>
  <c r="R53" i="3"/>
  <c r="Q57" i="3"/>
  <c r="S71" i="3"/>
  <c r="Q88" i="3"/>
  <c r="R101" i="3"/>
  <c r="S103" i="3"/>
  <c r="O111" i="3"/>
  <c r="N115" i="3"/>
  <c r="M132" i="3"/>
  <c r="Q142" i="3"/>
  <c r="T157" i="3"/>
  <c r="T169" i="3"/>
  <c r="N172" i="3"/>
  <c r="M197" i="3"/>
  <c r="T212" i="3"/>
  <c r="E24" i="4"/>
  <c r="C16" i="9"/>
  <c r="D32" i="24" s="1"/>
  <c r="B11" i="43" s="1"/>
  <c r="D16" i="9"/>
  <c r="E40" i="9"/>
  <c r="D40" i="9"/>
  <c r="D24" i="16"/>
  <c r="R71" i="3"/>
  <c r="S92" i="3"/>
  <c r="R103" i="3"/>
  <c r="N9" i="3"/>
  <c r="Q14" i="3"/>
  <c r="M18" i="3"/>
  <c r="M27" i="3"/>
  <c r="R45" i="3"/>
  <c r="Q47" i="3"/>
  <c r="Q51" i="3"/>
  <c r="Q55" i="3"/>
  <c r="Q59" i="3"/>
  <c r="R67" i="3"/>
  <c r="S69" i="3"/>
  <c r="Q86" i="3"/>
  <c r="S90" i="3"/>
  <c r="Q108" i="3"/>
  <c r="N113" i="3"/>
  <c r="Q119" i="3"/>
  <c r="Q7" i="3"/>
  <c r="M11" i="3"/>
  <c r="T12" i="3"/>
  <c r="N18" i="3"/>
  <c r="Q23" i="3"/>
  <c r="N27" i="3"/>
  <c r="M29" i="3"/>
  <c r="T32" i="3"/>
  <c r="P36" i="3"/>
  <c r="M40" i="3"/>
  <c r="T43" i="3"/>
  <c r="S45" i="3"/>
  <c r="R47" i="3"/>
  <c r="Q49" i="3"/>
  <c r="S51" i="3"/>
  <c r="S53" i="3"/>
  <c r="R55" i="3"/>
  <c r="R57" i="3"/>
  <c r="R59" i="3"/>
  <c r="Q61" i="3"/>
  <c r="Q65" i="3"/>
  <c r="S67" i="3"/>
  <c r="T69" i="3"/>
  <c r="T71" i="3"/>
  <c r="N76" i="3"/>
  <c r="O78" i="3"/>
  <c r="O80" i="3"/>
  <c r="P82" i="3"/>
  <c r="Q84" i="3"/>
  <c r="R86" i="3"/>
  <c r="R88" i="3"/>
  <c r="T90" i="3"/>
  <c r="M95" i="3"/>
  <c r="N97" i="3"/>
  <c r="Q99" i="3"/>
  <c r="S101" i="3"/>
  <c r="T103" i="3"/>
  <c r="P106" i="3"/>
  <c r="R108" i="3"/>
  <c r="Q117" i="3"/>
  <c r="M126" i="3"/>
  <c r="M128" i="3"/>
  <c r="M130" i="3"/>
  <c r="N132" i="3"/>
  <c r="Q138" i="3"/>
  <c r="Q140" i="3"/>
  <c r="T165" i="3"/>
  <c r="P187" i="3"/>
  <c r="O220" i="3"/>
  <c r="E25" i="4"/>
  <c r="B36" i="9"/>
  <c r="B57" i="9"/>
  <c r="C57" i="9"/>
  <c r="E57" i="9"/>
  <c r="E46" i="9"/>
  <c r="F20" i="10" s="1"/>
  <c r="B46" i="9"/>
  <c r="B24" i="15"/>
  <c r="D24" i="15" s="1"/>
  <c r="C15" i="18"/>
  <c r="D15" i="18" s="1"/>
  <c r="D20" i="70"/>
  <c r="G30" i="70" s="1"/>
  <c r="C24" i="60"/>
  <c r="C12" i="60"/>
  <c r="D12" i="60" s="1"/>
  <c r="C13" i="61"/>
  <c r="C16" i="61"/>
  <c r="K12" i="33"/>
  <c r="F5" i="36"/>
  <c r="C11" i="61" s="1"/>
  <c r="C13" i="60"/>
  <c r="F4" i="36"/>
  <c r="K12" i="35"/>
  <c r="C25" i="60"/>
  <c r="C12" i="61"/>
  <c r="D12" i="61" s="1"/>
  <c r="K11" i="33"/>
  <c r="X9" i="33" s="1"/>
  <c r="F6" i="36"/>
  <c r="K15" i="33"/>
  <c r="K15" i="35"/>
  <c r="K14" i="33"/>
  <c r="K14" i="35"/>
  <c r="K13" i="33"/>
  <c r="K13" i="35"/>
  <c r="K11" i="35"/>
  <c r="E9" i="35" s="1"/>
  <c r="E10" i="35" s="1"/>
  <c r="K13" i="31"/>
  <c r="C19" i="19"/>
  <c r="D19" i="19" s="1"/>
  <c r="K12" i="31"/>
  <c r="K11" i="31"/>
  <c r="E9" i="31" s="1"/>
  <c r="E10" i="31" s="1"/>
  <c r="K15" i="31"/>
  <c r="K14" i="31"/>
  <c r="E2" i="23"/>
  <c r="C13" i="23" s="1"/>
  <c r="D13" i="23" s="1"/>
  <c r="E27" i="4"/>
  <c r="E3" i="23"/>
  <c r="C14" i="23" s="1"/>
  <c r="D14" i="23" s="1"/>
  <c r="M204" i="3"/>
  <c r="M202" i="3"/>
  <c r="M200" i="3"/>
  <c r="M198" i="3"/>
  <c r="M196" i="3"/>
  <c r="M194" i="3"/>
  <c r="M191" i="3"/>
  <c r="N138" i="3"/>
  <c r="T132" i="3"/>
  <c r="M131" i="3"/>
  <c r="N122" i="3"/>
  <c r="T116" i="3"/>
  <c r="E28" i="4"/>
  <c r="N141" i="3"/>
  <c r="T135" i="3"/>
  <c r="M134" i="3"/>
  <c r="N125" i="3"/>
  <c r="T119" i="3"/>
  <c r="M118" i="3"/>
  <c r="M201" i="3"/>
  <c r="T198" i="3"/>
  <c r="M143" i="3"/>
  <c r="O141" i="3"/>
  <c r="T127" i="3"/>
  <c r="M124" i="3"/>
  <c r="O122" i="3"/>
  <c r="M203" i="3"/>
  <c r="T200" i="3"/>
  <c r="M141" i="3"/>
  <c r="T125" i="3"/>
  <c r="M122" i="3"/>
  <c r="T110" i="3"/>
  <c r="M205" i="3"/>
  <c r="T202" i="3"/>
  <c r="T142" i="3"/>
  <c r="N139" i="3"/>
  <c r="T123" i="3"/>
  <c r="N120" i="3"/>
  <c r="N116" i="3"/>
  <c r="T195" i="3"/>
  <c r="F8" i="18"/>
  <c r="N119" i="3"/>
  <c r="N142" i="3"/>
  <c r="D11" i="70"/>
  <c r="D17" i="70"/>
  <c r="D18" i="70"/>
  <c r="E16" i="4"/>
  <c r="M218" i="3"/>
  <c r="M216" i="3"/>
  <c r="M212" i="3"/>
  <c r="M210" i="3"/>
  <c r="M208" i="3"/>
  <c r="M206" i="3"/>
  <c r="N178" i="3"/>
  <c r="T172" i="3"/>
  <c r="M171" i="3"/>
  <c r="N181" i="3"/>
  <c r="T175" i="3"/>
  <c r="M174" i="3"/>
  <c r="N165" i="3"/>
  <c r="E20" i="4"/>
  <c r="N185" i="3"/>
  <c r="T177" i="3"/>
  <c r="M176" i="3"/>
  <c r="N174" i="3"/>
  <c r="M172" i="3"/>
  <c r="N170" i="3"/>
  <c r="T217" i="3"/>
  <c r="M185" i="3"/>
  <c r="O183" i="3"/>
  <c r="M170" i="3"/>
  <c r="N168" i="3"/>
  <c r="N183" i="3"/>
  <c r="T173" i="3"/>
  <c r="T171" i="3"/>
  <c r="M168" i="3"/>
  <c r="T31" i="3"/>
  <c r="M30" i="3"/>
  <c r="M213" i="3"/>
  <c r="T210" i="3"/>
  <c r="T180" i="3"/>
  <c r="M179" i="3"/>
  <c r="N177" i="3"/>
  <c r="T218" i="3"/>
  <c r="T5" i="3"/>
  <c r="N11" i="3"/>
  <c r="M20" i="3"/>
  <c r="T21" i="3"/>
  <c r="N29" i="3"/>
  <c r="S57" i="3"/>
  <c r="Q82" i="3"/>
  <c r="Q111" i="3"/>
  <c r="N124" i="3"/>
  <c r="N130" i="3"/>
  <c r="M164" i="3"/>
  <c r="T167" i="3"/>
  <c r="T176" i="3"/>
  <c r="T182" i="3"/>
  <c r="T184" i="3"/>
  <c r="T191" i="3"/>
  <c r="M211" i="3"/>
  <c r="E29" i="4"/>
  <c r="M13" i="3"/>
  <c r="T14" i="3"/>
  <c r="Q25" i="3"/>
  <c r="N31" i="3"/>
  <c r="M33" i="3"/>
  <c r="T34" i="3"/>
  <c r="R36" i="3"/>
  <c r="Q38" i="3"/>
  <c r="N42" i="3"/>
  <c r="M44" i="3"/>
  <c r="T55" i="3"/>
  <c r="T57" i="3"/>
  <c r="T59" i="3"/>
  <c r="S61" i="3"/>
  <c r="T65" i="3"/>
  <c r="M70" i="3"/>
  <c r="M72" i="3"/>
  <c r="P74" i="3"/>
  <c r="Q76" i="3"/>
  <c r="Q78" i="3"/>
  <c r="Q80" i="3"/>
  <c r="R82" i="3"/>
  <c r="S84" i="3"/>
  <c r="T86" i="3"/>
  <c r="O89" i="3"/>
  <c r="O93" i="3"/>
  <c r="O95" i="3"/>
  <c r="P97" i="3"/>
  <c r="S99" i="3"/>
  <c r="M104" i="3"/>
  <c r="S106" i="3"/>
  <c r="Q113" i="3"/>
  <c r="Q115" i="3"/>
  <c r="O120" i="3"/>
  <c r="O124" i="3"/>
  <c r="O126" i="3"/>
  <c r="Q132" i="3"/>
  <c r="T147" i="3"/>
  <c r="T153" i="3"/>
  <c r="O156" i="3"/>
  <c r="N164" i="3"/>
  <c r="M166" i="3"/>
  <c r="O168" i="3"/>
  <c r="T174" i="3"/>
  <c r="N179" i="3"/>
  <c r="M181" i="3"/>
  <c r="R187" i="3"/>
  <c r="M192" i="3"/>
  <c r="T208" i="3"/>
  <c r="E30" i="4"/>
  <c r="C17" i="9"/>
  <c r="D38" i="19" s="1"/>
  <c r="B7" i="43" s="1"/>
  <c r="D17" i="9"/>
  <c r="E30" i="9"/>
  <c r="D30" i="9"/>
  <c r="C66" i="9"/>
  <c r="E19" i="38" s="1"/>
  <c r="F19" i="38" s="1"/>
  <c r="B66" i="9"/>
  <c r="M117" i="3"/>
  <c r="H37" i="70"/>
  <c r="H47" i="69"/>
  <c r="H49" i="19"/>
  <c r="H43" i="24"/>
  <c r="H47" i="25"/>
  <c r="H57" i="27"/>
  <c r="H67" i="16"/>
  <c r="H60" i="21"/>
  <c r="C20" i="10"/>
  <c r="AC64" i="17"/>
  <c r="H47" i="20"/>
  <c r="H37" i="15"/>
  <c r="C19" i="10"/>
  <c r="M4" i="3"/>
  <c r="Q16" i="3"/>
  <c r="M31" i="3"/>
  <c r="Q36" i="3"/>
  <c r="S55" i="3"/>
  <c r="R61" i="3"/>
  <c r="R84" i="3"/>
  <c r="R99" i="3"/>
  <c r="R106" i="3"/>
  <c r="N126" i="3"/>
  <c r="Q136" i="3"/>
  <c r="O166" i="3"/>
  <c r="Q187" i="3"/>
  <c r="T201" i="3"/>
  <c r="D17" i="69"/>
  <c r="D14" i="69"/>
  <c r="D19" i="27"/>
  <c r="D14" i="22"/>
  <c r="D15" i="27"/>
  <c r="T219" i="3"/>
  <c r="M187" i="3"/>
  <c r="N101" i="3"/>
  <c r="P99" i="3"/>
  <c r="T95" i="3"/>
  <c r="M94" i="3"/>
  <c r="N85" i="3"/>
  <c r="P83" i="3"/>
  <c r="T79" i="3"/>
  <c r="M78" i="3"/>
  <c r="N69" i="3"/>
  <c r="P67" i="3"/>
  <c r="T63" i="3"/>
  <c r="M62" i="3"/>
  <c r="N53" i="3"/>
  <c r="P51" i="3"/>
  <c r="D18" i="19"/>
  <c r="D16" i="16"/>
  <c r="D13" i="21"/>
  <c r="D22" i="16"/>
  <c r="N220" i="3"/>
  <c r="O187" i="3"/>
  <c r="N108" i="3"/>
  <c r="P104" i="3"/>
  <c r="T98" i="3"/>
  <c r="M220" i="3"/>
  <c r="N187" i="3"/>
  <c r="M108" i="3"/>
  <c r="N106" i="3"/>
  <c r="T96" i="3"/>
  <c r="M93" i="3"/>
  <c r="N91" i="3"/>
  <c r="P87" i="3"/>
  <c r="T81" i="3"/>
  <c r="M76" i="3"/>
  <c r="N74" i="3"/>
  <c r="M106" i="3"/>
  <c r="N104" i="3"/>
  <c r="P102" i="3"/>
  <c r="T94" i="3"/>
  <c r="M91" i="3"/>
  <c r="N89" i="3"/>
  <c r="O87" i="3"/>
  <c r="T77" i="3"/>
  <c r="M74" i="3"/>
  <c r="N72" i="3"/>
  <c r="P70" i="3"/>
  <c r="T62" i="3"/>
  <c r="M59" i="3"/>
  <c r="N57" i="3"/>
  <c r="O55" i="3"/>
  <c r="T47" i="3"/>
  <c r="M46" i="3"/>
  <c r="N37" i="3"/>
  <c r="D18" i="20"/>
  <c r="D26" i="16"/>
  <c r="P219" i="3"/>
  <c r="P186" i="3"/>
  <c r="E26" i="4"/>
  <c r="T220" i="3"/>
  <c r="N20" i="3"/>
  <c r="T156" i="3"/>
  <c r="M155" i="3"/>
  <c r="N146" i="3"/>
  <c r="P188" i="3"/>
  <c r="T159" i="3"/>
  <c r="M158" i="3"/>
  <c r="N149" i="3"/>
  <c r="M159" i="3"/>
  <c r="N157" i="3"/>
  <c r="N155" i="3"/>
  <c r="N153" i="3"/>
  <c r="T145" i="3"/>
  <c r="M157" i="3"/>
  <c r="M153" i="3"/>
  <c r="O151" i="3"/>
  <c r="E18" i="4"/>
  <c r="T158" i="3"/>
  <c r="T154" i="3"/>
  <c r="N151" i="3"/>
  <c r="M6" i="3"/>
  <c r="T7" i="3"/>
  <c r="N33" i="3"/>
  <c r="S36" i="3"/>
  <c r="P40" i="3"/>
  <c r="N44" i="3"/>
  <c r="N46" i="3"/>
  <c r="M50" i="3"/>
  <c r="M52" i="3"/>
  <c r="M54" i="3"/>
  <c r="O60" i="3"/>
  <c r="T61" i="3"/>
  <c r="M68" i="3"/>
  <c r="N70" i="3"/>
  <c r="P72" i="3"/>
  <c r="R74" i="3"/>
  <c r="R76" i="3"/>
  <c r="R78" i="3"/>
  <c r="R80" i="3"/>
  <c r="S82" i="3"/>
  <c r="T84" i="3"/>
  <c r="M89" i="3"/>
  <c r="P91" i="3"/>
  <c r="P93" i="3"/>
  <c r="P95" i="3"/>
  <c r="Q97" i="3"/>
  <c r="T99" i="3"/>
  <c r="M102" i="3"/>
  <c r="Q104" i="3"/>
  <c r="T106" i="3"/>
  <c r="T117" i="3"/>
  <c r="M120" i="3"/>
  <c r="T138" i="3"/>
  <c r="T140" i="3"/>
  <c r="N143" i="3"/>
  <c r="M146" i="3"/>
  <c r="T149" i="3"/>
  <c r="T151" i="3"/>
  <c r="M156" i="3"/>
  <c r="O164" i="3"/>
  <c r="N166" i="3"/>
  <c r="O175" i="3"/>
  <c r="M177" i="3"/>
  <c r="M183" i="3"/>
  <c r="S187" i="3"/>
  <c r="T206" i="3"/>
  <c r="M209" i="3"/>
  <c r="R220" i="3"/>
  <c r="B31" i="9"/>
  <c r="D70" i="16"/>
  <c r="B67" i="16"/>
  <c r="D67" i="16" s="1"/>
  <c r="B66" i="16"/>
  <c r="D66" i="16" s="1"/>
  <c r="B69" i="16"/>
  <c r="D69" i="16" s="1"/>
  <c r="S47" i="3"/>
  <c r="S59" i="3"/>
  <c r="S86" i="3"/>
  <c r="S108" i="3"/>
  <c r="T121" i="3"/>
  <c r="N128" i="3"/>
  <c r="Q134" i="3"/>
  <c r="O170" i="3"/>
  <c r="M195" i="3"/>
  <c r="N4" i="3"/>
  <c r="Q9" i="3"/>
  <c r="N13" i="3"/>
  <c r="Q18" i="3"/>
  <c r="M22" i="3"/>
  <c r="T23" i="3"/>
  <c r="Q27" i="3"/>
  <c r="O31" i="3"/>
  <c r="R38" i="3"/>
  <c r="O42" i="3"/>
  <c r="M48" i="3"/>
  <c r="M214" i="3"/>
  <c r="C16" i="24"/>
  <c r="C15" i="24"/>
  <c r="T215" i="3"/>
  <c r="E19" i="4"/>
  <c r="T161" i="3"/>
  <c r="N6" i="3"/>
  <c r="Q11" i="3"/>
  <c r="M15" i="3"/>
  <c r="T16" i="3"/>
  <c r="N22" i="3"/>
  <c r="Q29" i="3"/>
  <c r="M35" i="3"/>
  <c r="T36" i="3"/>
  <c r="S38" i="3"/>
  <c r="Q40" i="3"/>
  <c r="P42" i="3"/>
  <c r="P44" i="3"/>
  <c r="N48" i="3"/>
  <c r="N50" i="3"/>
  <c r="N52" i="3"/>
  <c r="N54" i="3"/>
  <c r="M56" i="3"/>
  <c r="M58" i="3"/>
  <c r="M60" i="3"/>
  <c r="M64" i="3"/>
  <c r="M66" i="3"/>
  <c r="N68" i="3"/>
  <c r="Q72" i="3"/>
  <c r="S74" i="3"/>
  <c r="S76" i="3"/>
  <c r="S78" i="3"/>
  <c r="S80" i="3"/>
  <c r="T82" i="3"/>
  <c r="M87" i="3"/>
  <c r="P89" i="3"/>
  <c r="Q91" i="3"/>
  <c r="Q93" i="3"/>
  <c r="Q95" i="3"/>
  <c r="S97" i="3"/>
  <c r="N102" i="3"/>
  <c r="R104" i="3"/>
  <c r="T111" i="3"/>
  <c r="O118" i="3"/>
  <c r="Q122" i="3"/>
  <c r="Q124" i="3"/>
  <c r="Q126" i="3"/>
  <c r="Q128" i="3"/>
  <c r="T134" i="3"/>
  <c r="T136" i="3"/>
  <c r="O139" i="3"/>
  <c r="O143" i="3"/>
  <c r="M148" i="3"/>
  <c r="M154" i="3"/>
  <c r="N156" i="3"/>
  <c r="M175" i="3"/>
  <c r="T187" i="3"/>
  <c r="T199" i="3"/>
  <c r="M207" i="3"/>
  <c r="S220" i="3"/>
  <c r="D47" i="9"/>
  <c r="C47" i="9"/>
  <c r="E21" i="10" s="1"/>
  <c r="D11" i="16"/>
  <c r="D19" i="16"/>
  <c r="M110" i="3"/>
  <c r="T113" i="3"/>
  <c r="T115" i="3"/>
  <c r="M139" i="3"/>
  <c r="T204" i="3"/>
  <c r="E31" i="9"/>
  <c r="H10" i="73" s="1"/>
  <c r="D19" i="73" s="1"/>
  <c r="E19" i="73" s="1"/>
  <c r="C31" i="9"/>
  <c r="T18" i="3"/>
  <c r="N24" i="3"/>
  <c r="T27" i="3"/>
  <c r="Q33" i="3"/>
  <c r="O35" i="3"/>
  <c r="S42" i="3"/>
  <c r="R44" i="3"/>
  <c r="Q46" i="3"/>
  <c r="S70" i="3"/>
  <c r="Q87" i="3"/>
  <c r="R89" i="3"/>
  <c r="S91" i="3"/>
  <c r="S93" i="3"/>
  <c r="S95" i="3"/>
  <c r="S102" i="3"/>
  <c r="N110" i="3"/>
  <c r="M112" i="3"/>
  <c r="O114" i="3"/>
  <c r="O116" i="3"/>
  <c r="T130" i="3"/>
  <c r="M133" i="3"/>
  <c r="M135" i="3"/>
  <c r="M137" i="3"/>
  <c r="O148" i="3"/>
  <c r="N150" i="3"/>
  <c r="N152" i="3"/>
  <c r="O154" i="3"/>
  <c r="T170" i="3"/>
  <c r="N173" i="3"/>
  <c r="N188" i="3"/>
  <c r="T197" i="3"/>
  <c r="T213" i="3"/>
  <c r="C26" i="9"/>
  <c r="D21" i="29" s="1"/>
  <c r="B15" i="43" s="1"/>
  <c r="E26" i="9"/>
  <c r="E49" i="9"/>
  <c r="D49" i="9"/>
  <c r="C49" i="9"/>
  <c r="D12" i="16"/>
  <c r="B21" i="16"/>
  <c r="D21" i="16" s="1"/>
  <c r="B68" i="16"/>
  <c r="D68" i="16" s="1"/>
  <c r="O137" i="3"/>
  <c r="Q143" i="3"/>
  <c r="Q127" i="3"/>
  <c r="Q186" i="3"/>
  <c r="Q130" i="3"/>
  <c r="Q114" i="3"/>
  <c r="Q106" i="3"/>
  <c r="S104" i="3"/>
  <c r="R97" i="3"/>
  <c r="Q90" i="3"/>
  <c r="S88" i="3"/>
  <c r="R81" i="3"/>
  <c r="Q74" i="3"/>
  <c r="S72" i="3"/>
  <c r="R65" i="3"/>
  <c r="Q58" i="3"/>
  <c r="S56" i="3"/>
  <c r="R49" i="3"/>
  <c r="Q137" i="3"/>
  <c r="Q118" i="3"/>
  <c r="Q116" i="3"/>
  <c r="R102" i="3"/>
  <c r="S100" i="3"/>
  <c r="Q135" i="3"/>
  <c r="Q102" i="3"/>
  <c r="R100" i="3"/>
  <c r="S98" i="3"/>
  <c r="R85" i="3"/>
  <c r="S83" i="3"/>
  <c r="Q70" i="3"/>
  <c r="R68" i="3"/>
  <c r="S66" i="3"/>
  <c r="Q133" i="3"/>
  <c r="Q131" i="3"/>
  <c r="Q129" i="3"/>
  <c r="Q112" i="3"/>
  <c r="Q100" i="3"/>
  <c r="R98" i="3"/>
  <c r="S96" i="3"/>
  <c r="Q85" i="3"/>
  <c r="R83" i="3"/>
  <c r="S81" i="3"/>
  <c r="S79" i="3"/>
  <c r="Q68" i="3"/>
  <c r="R66" i="3"/>
  <c r="S64" i="3"/>
  <c r="Q53" i="3"/>
  <c r="R51" i="3"/>
  <c r="S49" i="3"/>
  <c r="Q42" i="3"/>
  <c r="S40" i="3"/>
  <c r="Q26" i="3"/>
  <c r="R188" i="3"/>
  <c r="M10" i="3"/>
  <c r="N17" i="3"/>
  <c r="Q22" i="3"/>
  <c r="M26" i="3"/>
  <c r="R46" i="3"/>
  <c r="Q50" i="3"/>
  <c r="Q60" i="3"/>
  <c r="S68" i="3"/>
  <c r="S89" i="3"/>
  <c r="N112" i="3"/>
  <c r="M116" i="3"/>
  <c r="T122" i="3"/>
  <c r="T124" i="3"/>
  <c r="T128" i="3"/>
  <c r="N135" i="3"/>
  <c r="Q139" i="3"/>
  <c r="T168" i="3"/>
  <c r="O173" i="3"/>
  <c r="T185" i="3"/>
  <c r="M19" i="3"/>
  <c r="P37" i="3"/>
  <c r="R48" i="3"/>
  <c r="R54" i="3"/>
  <c r="R60" i="3"/>
  <c r="Q64" i="3"/>
  <c r="T68" i="3"/>
  <c r="N75" i="3"/>
  <c r="N77" i="3"/>
  <c r="N79" i="3"/>
  <c r="S87" i="3"/>
  <c r="T89" i="3"/>
  <c r="O92" i="3"/>
  <c r="M96" i="3"/>
  <c r="N98" i="3"/>
  <c r="P100" i="3"/>
  <c r="N105" i="3"/>
  <c r="P107" i="3"/>
  <c r="N114" i="3"/>
  <c r="T120" i="3"/>
  <c r="O129" i="3"/>
  <c r="N131" i="3"/>
  <c r="T143" i="3"/>
  <c r="N159" i="3"/>
  <c r="N162" i="3"/>
  <c r="T164" i="3"/>
  <c r="T166" i="3"/>
  <c r="O169" i="3"/>
  <c r="N171" i="3"/>
  <c r="T179" i="3"/>
  <c r="T181" i="3"/>
  <c r="T183" i="3"/>
  <c r="Q188" i="3"/>
  <c r="T211" i="3"/>
  <c r="B19" i="9"/>
  <c r="M28" i="3"/>
  <c r="N39" i="3"/>
  <c r="S46" i="3"/>
  <c r="R52" i="3"/>
  <c r="R58" i="3"/>
  <c r="Q62" i="3"/>
  <c r="M73" i="3"/>
  <c r="S85" i="3"/>
  <c r="M12" i="3"/>
  <c r="T13" i="3"/>
  <c r="N19" i="3"/>
  <c r="Q24" i="3"/>
  <c r="N28" i="3"/>
  <c r="N30" i="3"/>
  <c r="M32" i="3"/>
  <c r="T33" i="3"/>
  <c r="Q37" i="3"/>
  <c r="O39" i="3"/>
  <c r="N41" i="3"/>
  <c r="M43" i="3"/>
  <c r="T46" i="3"/>
  <c r="S48" i="3"/>
  <c r="S50" i="3"/>
  <c r="S52" i="3"/>
  <c r="S54" i="3"/>
  <c r="R56" i="3"/>
  <c r="S58" i="3"/>
  <c r="S60" i="3"/>
  <c r="R62" i="3"/>
  <c r="R64" i="3"/>
  <c r="T66" i="3"/>
  <c r="M71" i="3"/>
  <c r="N73" i="3"/>
  <c r="Q83" i="3"/>
  <c r="T85" i="3"/>
  <c r="T87" i="3"/>
  <c r="M92" i="3"/>
  <c r="N94" i="3"/>
  <c r="N96" i="3"/>
  <c r="T100" i="3"/>
  <c r="M103" i="3"/>
  <c r="Q107" i="3"/>
  <c r="Q110" i="3"/>
  <c r="T118" i="3"/>
  <c r="M123" i="3"/>
  <c r="M125" i="3"/>
  <c r="M127" i="3"/>
  <c r="M129" i="3"/>
  <c r="T141" i="3"/>
  <c r="T146" i="3"/>
  <c r="O159" i="3"/>
  <c r="O162" i="3"/>
  <c r="M169" i="3"/>
  <c r="M186" i="3"/>
  <c r="S188" i="3"/>
  <c r="T192" i="3"/>
  <c r="O219" i="3"/>
  <c r="B15" i="9"/>
  <c r="C19" i="9"/>
  <c r="C27" i="9"/>
  <c r="D50" i="26" s="1"/>
  <c r="B10" i="43" s="1"/>
  <c r="D27" i="9"/>
  <c r="C54" i="9"/>
  <c r="N118" i="3"/>
  <c r="O8" i="3"/>
  <c r="T11" i="3"/>
  <c r="O24" i="3"/>
  <c r="T29" i="3"/>
  <c r="Q48" i="3"/>
  <c r="Q52" i="3"/>
  <c r="Q54" i="3"/>
  <c r="R87" i="3"/>
  <c r="O110" i="3"/>
  <c r="M114" i="3"/>
  <c r="T126" i="3"/>
  <c r="N133" i="3"/>
  <c r="N137" i="3"/>
  <c r="M3" i="3"/>
  <c r="T4" i="3"/>
  <c r="N10" i="3"/>
  <c r="Q15" i="3"/>
  <c r="T20" i="3"/>
  <c r="N26" i="3"/>
  <c r="Q35" i="3"/>
  <c r="M41" i="3"/>
  <c r="T44" i="3"/>
  <c r="R50" i="3"/>
  <c r="Q56" i="3"/>
  <c r="Q66" i="3"/>
  <c r="N81" i="3"/>
  <c r="N3" i="3"/>
  <c r="Q8" i="3"/>
  <c r="M5" i="3"/>
  <c r="T6" i="3"/>
  <c r="N12" i="3"/>
  <c r="Q17" i="3"/>
  <c r="M21" i="3"/>
  <c r="T22" i="3"/>
  <c r="N32" i="3"/>
  <c r="R37" i="3"/>
  <c r="P39" i="3"/>
  <c r="N43" i="3"/>
  <c r="M45" i="3"/>
  <c r="T48" i="3"/>
  <c r="T50" i="3"/>
  <c r="T52" i="3"/>
  <c r="T54" i="3"/>
  <c r="T56" i="3"/>
  <c r="T58" i="3"/>
  <c r="T60" i="3"/>
  <c r="S62" i="3"/>
  <c r="T64" i="3"/>
  <c r="M69" i="3"/>
  <c r="N71" i="3"/>
  <c r="P75" i="3"/>
  <c r="P77" i="3"/>
  <c r="P79" i="3"/>
  <c r="P81" i="3"/>
  <c r="T83" i="3"/>
  <c r="M90" i="3"/>
  <c r="N92" i="3"/>
  <c r="P98" i="3"/>
  <c r="N103" i="3"/>
  <c r="P105" i="3"/>
  <c r="R107" i="3"/>
  <c r="M121" i="3"/>
  <c r="N123" i="3"/>
  <c r="N127" i="3"/>
  <c r="N129" i="3"/>
  <c r="T139" i="3"/>
  <c r="O157" i="3"/>
  <c r="M165" i="3"/>
  <c r="M167" i="3"/>
  <c r="N169" i="3"/>
  <c r="M178" i="3"/>
  <c r="M180" i="3"/>
  <c r="M182" i="3"/>
  <c r="M184" i="3"/>
  <c r="N186" i="3"/>
  <c r="T188" i="3"/>
  <c r="T209" i="3"/>
  <c r="M219" i="3"/>
  <c r="C15" i="9"/>
  <c r="E19" i="9"/>
  <c r="D43" i="21" s="1"/>
  <c r="C8" i="43" s="1"/>
  <c r="B28" i="9"/>
  <c r="B34" i="9"/>
  <c r="E34" i="9"/>
  <c r="D34" i="9"/>
  <c r="C34" i="9"/>
  <c r="C39" i="9"/>
  <c r="C44" i="9"/>
  <c r="D54" i="9"/>
  <c r="D13" i="15"/>
  <c r="I6" i="41"/>
  <c r="I3" i="41"/>
  <c r="D25" i="16"/>
  <c r="D17" i="20"/>
  <c r="D13" i="16"/>
  <c r="D15" i="19"/>
  <c r="D18" i="26"/>
  <c r="D16" i="19"/>
  <c r="D12" i="20"/>
  <c r="O76" i="3"/>
  <c r="O108" i="3"/>
  <c r="O153" i="3"/>
  <c r="O185" i="3"/>
  <c r="D25" i="9"/>
  <c r="C29" i="9"/>
  <c r="E37" i="9"/>
  <c r="D41" i="9"/>
  <c r="D15" i="16"/>
  <c r="D37" i="16"/>
  <c r="B50" i="19"/>
  <c r="D50" i="19" s="1"/>
  <c r="B49" i="19"/>
  <c r="D49" i="19" s="1"/>
  <c r="D52" i="19"/>
  <c r="B48" i="19"/>
  <c r="D48" i="19" s="1"/>
  <c r="D53" i="19"/>
  <c r="B51" i="19"/>
  <c r="D51" i="19" s="1"/>
  <c r="D15" i="22"/>
  <c r="O172" i="3"/>
  <c r="D45" i="9"/>
  <c r="F19" i="10" s="1"/>
  <c r="B45" i="9"/>
  <c r="D17" i="19"/>
  <c r="B47" i="20"/>
  <c r="D47" i="20" s="1"/>
  <c r="D50" i="20"/>
  <c r="B46" i="20"/>
  <c r="D46" i="20" s="1"/>
  <c r="B48" i="20"/>
  <c r="D48" i="20" s="1"/>
  <c r="D51" i="20"/>
  <c r="B38" i="9"/>
  <c r="B42" i="9"/>
  <c r="D14" i="20"/>
  <c r="D14" i="21"/>
  <c r="B26" i="19"/>
  <c r="D26" i="19" s="1"/>
  <c r="B64" i="19" s="1"/>
  <c r="D17" i="16"/>
  <c r="D30" i="17"/>
  <c r="B79" i="17" s="1"/>
  <c r="B21" i="42"/>
  <c r="B20" i="22"/>
  <c r="D20" i="22" s="1"/>
  <c r="B19" i="22"/>
  <c r="D19" i="22" s="1"/>
  <c r="B18" i="22"/>
  <c r="D18" i="22" s="1"/>
  <c r="D21" i="24"/>
  <c r="B58" i="24" s="1"/>
  <c r="D16" i="21"/>
  <c r="D16" i="22"/>
  <c r="E7" i="31"/>
  <c r="D63" i="21"/>
  <c r="B59" i="21"/>
  <c r="D59" i="21" s="1"/>
  <c r="B62" i="21"/>
  <c r="D62" i="21" s="1"/>
  <c r="B61" i="21"/>
  <c r="D61" i="21" s="1"/>
  <c r="D64" i="21"/>
  <c r="D17" i="22"/>
  <c r="E16" i="28"/>
  <c r="B28" i="27"/>
  <c r="D28" i="27" s="1"/>
  <c r="B72" i="27" s="1"/>
  <c r="D19" i="26"/>
  <c r="D15" i="25"/>
  <c r="D15" i="20"/>
  <c r="D12" i="22"/>
  <c r="D20" i="26"/>
  <c r="D12" i="19"/>
  <c r="D16" i="20"/>
  <c r="D15" i="21"/>
  <c r="D27" i="25"/>
  <c r="D13" i="27"/>
  <c r="D13" i="22"/>
  <c r="D21" i="26"/>
  <c r="D14" i="27"/>
  <c r="B42" i="24"/>
  <c r="D42" i="24" s="1"/>
  <c r="B25" i="25"/>
  <c r="D25" i="25" s="1"/>
  <c r="B21" i="25"/>
  <c r="D14" i="19"/>
  <c r="B30" i="21"/>
  <c r="D30" i="21" s="1"/>
  <c r="B75" i="21" s="1"/>
  <c r="D24" i="26"/>
  <c r="E18" i="28"/>
  <c r="D12" i="21"/>
  <c r="D13" i="20"/>
  <c r="D19" i="21"/>
  <c r="D17" i="27"/>
  <c r="C21" i="25"/>
  <c r="B46" i="25"/>
  <c r="D46" i="25" s="1"/>
  <c r="D50" i="25"/>
  <c r="B12" i="28"/>
  <c r="C12" i="28" s="1"/>
  <c r="E12" i="28" s="1"/>
  <c r="C28" i="28"/>
  <c r="E28" i="28" s="1"/>
  <c r="O164" i="32"/>
  <c r="O156" i="32"/>
  <c r="O146" i="32"/>
  <c r="O76" i="32"/>
  <c r="O60" i="32"/>
  <c r="O44" i="32"/>
  <c r="O35" i="32"/>
  <c r="O194" i="32"/>
  <c r="O148" i="32"/>
  <c r="O90" i="32"/>
  <c r="O2" i="32"/>
  <c r="P2" i="32" s="1"/>
  <c r="O163" i="32"/>
  <c r="O138" i="32"/>
  <c r="O147" i="32"/>
  <c r="O130" i="32"/>
  <c r="O66" i="32"/>
  <c r="O114" i="32"/>
  <c r="O122" i="32"/>
  <c r="O171" i="32"/>
  <c r="O34" i="32"/>
  <c r="O43" i="32"/>
  <c r="O115" i="32"/>
  <c r="O123" i="32"/>
  <c r="O132" i="32"/>
  <c r="O172" i="32"/>
  <c r="C22" i="28"/>
  <c r="E22" i="28" s="1"/>
  <c r="E36" i="28"/>
  <c r="O20" i="32"/>
  <c r="O67" i="32"/>
  <c r="O106" i="32"/>
  <c r="O124" i="32"/>
  <c r="O195" i="32"/>
  <c r="B17" i="25"/>
  <c r="C30" i="28"/>
  <c r="E30" i="28" s="1"/>
  <c r="O98" i="32"/>
  <c r="O107" i="32"/>
  <c r="O116" i="32"/>
  <c r="E2" i="35"/>
  <c r="B22" i="35" s="1"/>
  <c r="E5" i="35"/>
  <c r="O10" i="32"/>
  <c r="O99" i="32"/>
  <c r="O162" i="32"/>
  <c r="O196" i="32"/>
  <c r="D32" i="34"/>
  <c r="B20" i="43" s="1"/>
  <c r="B59" i="27"/>
  <c r="D59" i="27" s="1"/>
  <c r="B12" i="29"/>
  <c r="D12" i="29" s="1"/>
  <c r="B35" i="29" s="1"/>
  <c r="O83" i="32"/>
  <c r="O91" i="32"/>
  <c r="O154" i="32"/>
  <c r="C18" i="25"/>
  <c r="D18" i="25" s="1"/>
  <c r="D12" i="27"/>
  <c r="B14" i="28"/>
  <c r="C14" i="28" s="1"/>
  <c r="E14" i="28" s="1"/>
  <c r="O51" i="32"/>
  <c r="O75" i="32"/>
  <c r="O186" i="32"/>
  <c r="C13" i="25"/>
  <c r="D13" i="25" s="1"/>
  <c r="B22" i="42"/>
  <c r="C29" i="28"/>
  <c r="E29" i="28" s="1"/>
  <c r="B33" i="28"/>
  <c r="C33" i="28" s="1"/>
  <c r="E33" i="28" s="1"/>
  <c r="E46" i="28"/>
  <c r="B13" i="43" s="1"/>
  <c r="O84" i="32"/>
  <c r="O92" i="32"/>
  <c r="O155" i="32"/>
  <c r="O187" i="32"/>
  <c r="D60" i="27"/>
  <c r="D24" i="32"/>
  <c r="O27" i="32"/>
  <c r="O188" i="32"/>
  <c r="C19" i="25"/>
  <c r="D19" i="25" s="1"/>
  <c r="B56" i="27"/>
  <c r="D56" i="27" s="1"/>
  <c r="E5" i="28"/>
  <c r="B32" i="28" s="1"/>
  <c r="C32" i="28" s="1"/>
  <c r="E32" i="28" s="1"/>
  <c r="B19" i="28"/>
  <c r="C19" i="28" s="1"/>
  <c r="E19" i="28" s="1"/>
  <c r="C25" i="28"/>
  <c r="E25" i="28" s="1"/>
  <c r="H5" i="31"/>
  <c r="O11" i="32"/>
  <c r="O18" i="32"/>
  <c r="O178" i="32"/>
  <c r="C14" i="25"/>
  <c r="D14" i="25" s="1"/>
  <c r="D61" i="27"/>
  <c r="B15" i="28"/>
  <c r="C15" i="28" s="1"/>
  <c r="E15" i="28" s="1"/>
  <c r="O179" i="32"/>
  <c r="C25" i="32"/>
  <c r="B25" i="32"/>
  <c r="O180" i="32"/>
  <c r="C26" i="28"/>
  <c r="E26" i="28" s="1"/>
  <c r="H6" i="31"/>
  <c r="H8" i="31" s="1"/>
  <c r="D22" i="31" s="1"/>
  <c r="O28" i="32"/>
  <c r="O139" i="32"/>
  <c r="B22" i="26"/>
  <c r="D22" i="26" s="1"/>
  <c r="O12" i="32"/>
  <c r="O59" i="32"/>
  <c r="O140" i="32"/>
  <c r="C27" i="28"/>
  <c r="E27" i="28" s="1"/>
  <c r="O131" i="32"/>
  <c r="O170" i="32"/>
  <c r="O157" i="32"/>
  <c r="O175" i="32"/>
  <c r="O185" i="32"/>
  <c r="O198" i="32"/>
  <c r="C21" i="39"/>
  <c r="C17" i="39"/>
  <c r="F17" i="39" s="1"/>
  <c r="C16" i="39"/>
  <c r="F16" i="39" s="1"/>
  <c r="C15" i="39"/>
  <c r="F15" i="39" s="1"/>
  <c r="B42" i="39" s="1"/>
  <c r="C20" i="39"/>
  <c r="F20" i="39" s="1"/>
  <c r="C19" i="39"/>
  <c r="F19" i="39" s="1"/>
  <c r="F29" i="39"/>
  <c r="F6" i="44" s="1"/>
  <c r="O80" i="32"/>
  <c r="O150" i="32"/>
  <c r="O191" i="32"/>
  <c r="F16" i="38"/>
  <c r="O181" i="32"/>
  <c r="E11" i="34"/>
  <c r="E10" i="34"/>
  <c r="E7" i="35"/>
  <c r="O176" i="32"/>
  <c r="E4" i="34"/>
  <c r="O119" i="32"/>
  <c r="O199" i="32"/>
  <c r="C24" i="34"/>
  <c r="D24" i="34" s="1"/>
  <c r="O112" i="32"/>
  <c r="O166" i="32"/>
  <c r="C26" i="34"/>
  <c r="O88" i="32"/>
  <c r="O134" i="32"/>
  <c r="O174" i="32"/>
  <c r="O184" i="32"/>
  <c r="O192" i="32"/>
  <c r="F20" i="38"/>
  <c r="C33" i="33"/>
  <c r="B33" i="33"/>
  <c r="B14" i="34"/>
  <c r="H7" i="35"/>
  <c r="H8" i="35" s="1"/>
  <c r="H6" i="35"/>
  <c r="C14" i="37"/>
  <c r="F14" i="37" s="1"/>
  <c r="F29" i="37"/>
  <c r="F4" i="44" s="1"/>
  <c r="C13" i="37"/>
  <c r="F13" i="37" s="1"/>
  <c r="C18" i="37"/>
  <c r="F18" i="37" s="1"/>
  <c r="C12" i="37"/>
  <c r="F12" i="37" s="1"/>
  <c r="C17" i="37"/>
  <c r="F17" i="37" s="1"/>
  <c r="C22" i="37"/>
  <c r="C16" i="37"/>
  <c r="F16" i="37" s="1"/>
  <c r="H2" i="62"/>
  <c r="H8" i="62" s="1"/>
  <c r="H3" i="62"/>
  <c r="H7" i="62" s="1"/>
  <c r="H2" i="63"/>
  <c r="H3" i="63"/>
  <c r="I7" i="41"/>
  <c r="I4" i="41"/>
  <c r="J3" i="62"/>
  <c r="A22" i="63"/>
  <c r="A20" i="33" s="1"/>
  <c r="E4" i="63"/>
  <c r="I5" i="41"/>
  <c r="I8" i="41"/>
  <c r="I9" i="41"/>
  <c r="C15" i="41" s="1"/>
  <c r="F15" i="41" s="1"/>
  <c r="I10" i="41"/>
  <c r="N23" i="63"/>
  <c r="N58" i="63"/>
  <c r="N76" i="63"/>
  <c r="N149" i="63"/>
  <c r="N167" i="63"/>
  <c r="N188" i="63"/>
  <c r="D24" i="69"/>
  <c r="B62" i="69" s="1"/>
  <c r="N35" i="63"/>
  <c r="J8" i="62"/>
  <c r="N71" i="63"/>
  <c r="N97" i="63"/>
  <c r="N126" i="63"/>
  <c r="N196" i="63"/>
  <c r="N21" i="63"/>
  <c r="N43" i="63"/>
  <c r="N47" i="63"/>
  <c r="N51" i="63"/>
  <c r="N156" i="63"/>
  <c r="D18" i="69"/>
  <c r="E1" i="60"/>
  <c r="E2" i="60" s="1"/>
  <c r="E1" i="61"/>
  <c r="E3" i="61" s="1"/>
  <c r="E7" i="61" s="1"/>
  <c r="D18" i="61" s="1"/>
  <c r="N16" i="63"/>
  <c r="N98" i="63"/>
  <c r="N145" i="63"/>
  <c r="N176" i="63"/>
  <c r="N7" i="63"/>
  <c r="N9" i="63"/>
  <c r="N19" i="63"/>
  <c r="N26" i="63"/>
  <c r="N44" i="63"/>
  <c r="N73" i="63"/>
  <c r="N104" i="63"/>
  <c r="N110" i="63"/>
  <c r="N122" i="63"/>
  <c r="N191" i="63"/>
  <c r="N48" i="63"/>
  <c r="N60" i="63"/>
  <c r="N116" i="63"/>
  <c r="N134" i="63"/>
  <c r="N152" i="63"/>
  <c r="N157" i="63"/>
  <c r="N184" i="63"/>
  <c r="N14" i="63"/>
  <c r="N33" i="63"/>
  <c r="N64" i="63"/>
  <c r="E3" i="60"/>
  <c r="B13" i="61"/>
  <c r="N195" i="63"/>
  <c r="N179" i="63"/>
  <c r="N163" i="63"/>
  <c r="N147" i="63"/>
  <c r="N131" i="63"/>
  <c r="N115" i="63"/>
  <c r="N99" i="63"/>
  <c r="N83" i="63"/>
  <c r="N186" i="63"/>
  <c r="N181" i="63"/>
  <c r="N164" i="63"/>
  <c r="N142" i="63"/>
  <c r="N125" i="63"/>
  <c r="N103" i="63"/>
  <c r="N86" i="63"/>
  <c r="N62" i="63"/>
  <c r="N46" i="63"/>
  <c r="N3" i="63"/>
  <c r="N183" i="63"/>
  <c r="N166" i="63"/>
  <c r="N144" i="63"/>
  <c r="N127" i="63"/>
  <c r="N105" i="63"/>
  <c r="N185" i="63"/>
  <c r="N168" i="63"/>
  <c r="N146" i="63"/>
  <c r="N129" i="63"/>
  <c r="N124" i="63"/>
  <c r="N107" i="63"/>
  <c r="N90" i="63"/>
  <c r="N85" i="63"/>
  <c r="N68" i="63"/>
  <c r="N52" i="63"/>
  <c r="N36" i="63"/>
  <c r="N34" i="63"/>
  <c r="N32" i="63"/>
  <c r="N30" i="63"/>
  <c r="N95" i="63"/>
  <c r="N92" i="63"/>
  <c r="N81" i="63"/>
  <c r="N54" i="63"/>
  <c r="N41" i="63"/>
  <c r="N17" i="63"/>
  <c r="N13" i="63"/>
  <c r="N11" i="63"/>
  <c r="N199" i="63"/>
  <c r="N190" i="63"/>
  <c r="N187" i="63"/>
  <c r="N178" i="63"/>
  <c r="N175" i="63"/>
  <c r="N172" i="63"/>
  <c r="N160" i="63"/>
  <c r="N151" i="63"/>
  <c r="N148" i="63"/>
  <c r="N139" i="63"/>
  <c r="N136" i="63"/>
  <c r="N133" i="63"/>
  <c r="N121" i="63"/>
  <c r="N112" i="63"/>
  <c r="N109" i="63"/>
  <c r="N78" i="63"/>
  <c r="N67" i="63"/>
  <c r="N201" i="63"/>
  <c r="N198" i="63"/>
  <c r="N189" i="63"/>
  <c r="N177" i="63"/>
  <c r="N174" i="63"/>
  <c r="N171" i="63"/>
  <c r="N162" i="63"/>
  <c r="N159" i="63"/>
  <c r="N150" i="63"/>
  <c r="N138" i="63"/>
  <c r="N135" i="63"/>
  <c r="N132" i="63"/>
  <c r="N123" i="63"/>
  <c r="N120" i="63"/>
  <c r="N111" i="63"/>
  <c r="N108" i="63"/>
  <c r="N102" i="63"/>
  <c r="N91" i="63"/>
  <c r="N77" i="63"/>
  <c r="N66" i="63"/>
  <c r="N53" i="63"/>
  <c r="N45" i="63"/>
  <c r="N141" i="63"/>
  <c r="N130" i="63"/>
  <c r="N87" i="63"/>
  <c r="N80" i="63"/>
  <c r="N70" i="63"/>
  <c r="N57" i="63"/>
  <c r="N29" i="63"/>
  <c r="N24" i="63"/>
  <c r="N22" i="63"/>
  <c r="N155" i="63"/>
  <c r="N118" i="63"/>
  <c r="N93" i="63"/>
  <c r="N69" i="63"/>
  <c r="N56" i="63"/>
  <c r="N40" i="63"/>
  <c r="N31" i="63"/>
  <c r="N28" i="63"/>
  <c r="N5" i="63"/>
  <c r="N2" i="63"/>
  <c r="N194" i="63"/>
  <c r="N182" i="63"/>
  <c r="N170" i="63"/>
  <c r="N140" i="63"/>
  <c r="N114" i="63"/>
  <c r="N197" i="63"/>
  <c r="N154" i="63"/>
  <c r="N143" i="63"/>
  <c r="N117" i="63"/>
  <c r="N106" i="63"/>
  <c r="N193" i="63"/>
  <c r="N173" i="63"/>
  <c r="N169" i="63"/>
  <c r="N165" i="63"/>
  <c r="N128" i="63"/>
  <c r="N55" i="63"/>
  <c r="N39" i="63"/>
  <c r="N161" i="63"/>
  <c r="N84" i="63"/>
  <c r="N94" i="63"/>
  <c r="N158" i="63"/>
  <c r="N192" i="63"/>
  <c r="E20" i="67"/>
  <c r="N20" i="63"/>
  <c r="N37" i="63"/>
  <c r="N49" i="63"/>
  <c r="N74" i="63"/>
  <c r="N79" i="63"/>
  <c r="N100" i="63"/>
  <c r="N12" i="63"/>
  <c r="N61" i="63"/>
  <c r="D15" i="69"/>
  <c r="N101" i="63"/>
  <c r="K8" i="62"/>
  <c r="N6" i="63"/>
  <c r="N8" i="63"/>
  <c r="N10" i="63"/>
  <c r="N25" i="63"/>
  <c r="N75" i="63"/>
  <c r="N180" i="63"/>
  <c r="N15" i="63"/>
  <c r="N18" i="63"/>
  <c r="N38" i="63"/>
  <c r="N42" i="63"/>
  <c r="N50" i="63"/>
  <c r="N96" i="63"/>
  <c r="N113" i="63"/>
  <c r="N119" i="63"/>
  <c r="N137" i="63"/>
  <c r="E20" i="68"/>
  <c r="D12" i="70"/>
  <c r="D13" i="70"/>
  <c r="E22" i="67"/>
  <c r="D16" i="70"/>
  <c r="I7" i="71"/>
  <c r="H7" i="71"/>
  <c r="B15" i="64"/>
  <c r="E15" i="64" s="1"/>
  <c r="B12" i="64"/>
  <c r="E12" i="64" s="1"/>
  <c r="B11" i="64"/>
  <c r="E11" i="64" s="1"/>
  <c r="B16" i="64"/>
  <c r="B14" i="64"/>
  <c r="E14" i="64" s="1"/>
  <c r="B33" i="64" s="1"/>
  <c r="D12" i="69"/>
  <c r="D13" i="69"/>
  <c r="D19" i="70"/>
  <c r="E19" i="67"/>
  <c r="D16" i="69"/>
  <c r="E17" i="72"/>
  <c r="E11" i="72"/>
  <c r="B48" i="72"/>
  <c r="E12" i="72"/>
  <c r="B49" i="69"/>
  <c r="D49" i="69" s="1"/>
  <c r="B21" i="70"/>
  <c r="D21" i="70" s="1"/>
  <c r="H40" i="70"/>
  <c r="B14" i="70"/>
  <c r="D14" i="70" s="1"/>
  <c r="H8" i="71"/>
  <c r="I8" i="71"/>
  <c r="E13" i="72"/>
  <c r="E14" i="72"/>
  <c r="H9" i="71"/>
  <c r="E15" i="72"/>
  <c r="D51" i="69"/>
  <c r="E16" i="72"/>
  <c r="I10" i="71"/>
  <c r="E20" i="74"/>
  <c r="E45" i="74"/>
  <c r="D51" i="74"/>
  <c r="E51" i="74"/>
  <c r="E21" i="74"/>
  <c r="D52" i="74"/>
  <c r="E22" i="74"/>
  <c r="D47" i="74"/>
  <c r="E52" i="74"/>
  <c r="D19" i="75"/>
  <c r="F22" i="74"/>
  <c r="H47" i="74"/>
  <c r="C14" i="73"/>
  <c r="E14" i="73" s="1"/>
  <c r="E23" i="74"/>
  <c r="E9" i="75"/>
  <c r="D20" i="75"/>
  <c r="F23" i="74"/>
  <c r="D35" i="74"/>
  <c r="D48" i="74"/>
  <c r="E24" i="74"/>
  <c r="D36" i="74"/>
  <c r="D54" i="74"/>
  <c r="E10" i="75"/>
  <c r="D21" i="75"/>
  <c r="E25" i="74"/>
  <c r="J51" i="74" s="1"/>
  <c r="D49" i="74"/>
  <c r="E11" i="75"/>
  <c r="E18" i="74"/>
  <c r="D43" i="74"/>
  <c r="E49" i="74"/>
  <c r="E26" i="74"/>
  <c r="E19" i="74"/>
  <c r="D50" i="74"/>
  <c r="D33" i="72"/>
  <c r="X5" i="33" l="1"/>
  <c r="X6" i="33"/>
  <c r="X7" i="33" s="1"/>
  <c r="H20" i="33" s="1"/>
  <c r="D45" i="36"/>
  <c r="K5" i="62"/>
  <c r="L5" i="62" s="1"/>
  <c r="D39" i="36" s="1"/>
  <c r="K4" i="62"/>
  <c r="L4" i="62" s="1"/>
  <c r="D38" i="36" s="1"/>
  <c r="J2" i="62"/>
  <c r="K2" i="62" s="1"/>
  <c r="K3" i="62"/>
  <c r="B37" i="36" s="1"/>
  <c r="B13" i="32"/>
  <c r="B14" i="32"/>
  <c r="D33" i="32" s="1"/>
  <c r="C18" i="43" s="1"/>
  <c r="B12" i="35"/>
  <c r="B10" i="35"/>
  <c r="D20" i="61"/>
  <c r="D19" i="61"/>
  <c r="E16" i="64"/>
  <c r="E17" i="64" s="1"/>
  <c r="B20" i="64" s="1"/>
  <c r="B32" i="36"/>
  <c r="F22" i="37"/>
  <c r="F23" i="37" s="1"/>
  <c r="B44" i="36"/>
  <c r="F30" i="74"/>
  <c r="D38" i="74"/>
  <c r="B63" i="20"/>
  <c r="E39" i="67"/>
  <c r="F26" i="74"/>
  <c r="B15" i="17" s="1"/>
  <c r="D15" i="17" s="1"/>
  <c r="L9" i="62"/>
  <c r="D43" i="36"/>
  <c r="H11" i="62"/>
  <c r="D10" i="62" s="1"/>
  <c r="B25" i="62" s="1"/>
  <c r="B39" i="36"/>
  <c r="F21" i="39"/>
  <c r="F25" i="39" s="1"/>
  <c r="H19" i="31"/>
  <c r="H21" i="31" s="1"/>
  <c r="E6" i="60"/>
  <c r="E43" i="72"/>
  <c r="C26" i="43" s="1"/>
  <c r="D26" i="43" s="1"/>
  <c r="B6" i="9"/>
  <c r="D37" i="25"/>
  <c r="C6" i="43" s="1"/>
  <c r="B15" i="24"/>
  <c r="D15" i="24" s="1"/>
  <c r="B59" i="24"/>
  <c r="E2" i="31"/>
  <c r="B19" i="31" s="1"/>
  <c r="B10" i="31" s="1"/>
  <c r="D27" i="36"/>
  <c r="D31" i="18"/>
  <c r="B22" i="43" s="1"/>
  <c r="D22" i="43" s="1"/>
  <c r="X2" i="33"/>
  <c r="D41" i="33" s="1"/>
  <c r="D46" i="33" s="1"/>
  <c r="D36" i="20"/>
  <c r="B24" i="43" s="1"/>
  <c r="D24" i="43" s="1"/>
  <c r="B28" i="36"/>
  <c r="B59" i="33"/>
  <c r="D18" i="30"/>
  <c r="C16" i="43" s="1"/>
  <c r="B51" i="68"/>
  <c r="B32" i="38"/>
  <c r="O59" i="63"/>
  <c r="D45" i="16"/>
  <c r="B4" i="43" s="1"/>
  <c r="D4" i="43" s="1"/>
  <c r="B145" i="22"/>
  <c r="O51" i="63"/>
  <c r="O10" i="63"/>
  <c r="D39" i="19"/>
  <c r="C7" i="43" s="1"/>
  <c r="D7" i="43" s="1"/>
  <c r="O11" i="63"/>
  <c r="O107" i="63"/>
  <c r="D51" i="26"/>
  <c r="C10" i="43" s="1"/>
  <c r="D10" i="43" s="1"/>
  <c r="O186" i="63"/>
  <c r="O140" i="63"/>
  <c r="O98" i="63"/>
  <c r="B40" i="23"/>
  <c r="O28" i="63"/>
  <c r="O162" i="63"/>
  <c r="O131" i="63"/>
  <c r="O116" i="63"/>
  <c r="O188" i="63"/>
  <c r="O171" i="63"/>
  <c r="O84" i="63"/>
  <c r="O147" i="63"/>
  <c r="O42" i="63"/>
  <c r="O74" i="63"/>
  <c r="O66" i="63"/>
  <c r="O36" i="63"/>
  <c r="O3" i="63"/>
  <c r="O179" i="63"/>
  <c r="K28" i="22"/>
  <c r="O180" i="63"/>
  <c r="O75" i="63"/>
  <c r="O154" i="63"/>
  <c r="O155" i="63"/>
  <c r="O108" i="63"/>
  <c r="O67" i="63"/>
  <c r="O90" i="63"/>
  <c r="O43" i="63"/>
  <c r="B65" i="19"/>
  <c r="B51" i="66"/>
  <c r="J7" i="62"/>
  <c r="E8" i="60"/>
  <c r="D16" i="60" s="1"/>
  <c r="E6" i="61"/>
  <c r="D17" i="61" s="1"/>
  <c r="B33" i="61" s="1"/>
  <c r="B37" i="40"/>
  <c r="B38" i="40"/>
  <c r="D13" i="60"/>
  <c r="F41" i="70"/>
  <c r="O82" i="63"/>
  <c r="F18" i="40"/>
  <c r="F23" i="40" s="1"/>
  <c r="O170" i="63"/>
  <c r="O132" i="63"/>
  <c r="O146" i="63"/>
  <c r="O19" i="63"/>
  <c r="O72" i="63"/>
  <c r="B32" i="64"/>
  <c r="D40" i="27"/>
  <c r="B9" i="43" s="1"/>
  <c r="D9" i="43" s="1"/>
  <c r="D27" i="23"/>
  <c r="C14" i="43" s="1"/>
  <c r="D14" i="43" s="1"/>
  <c r="O20" i="63"/>
  <c r="O106" i="63"/>
  <c r="O178" i="63"/>
  <c r="O52" i="63"/>
  <c r="O195" i="63"/>
  <c r="O76" i="63"/>
  <c r="O91" i="63"/>
  <c r="O187" i="63"/>
  <c r="O68" i="63"/>
  <c r="O122" i="63"/>
  <c r="O156" i="63"/>
  <c r="O58" i="63"/>
  <c r="D17" i="25"/>
  <c r="O18" i="63"/>
  <c r="O172" i="63"/>
  <c r="O34" i="63"/>
  <c r="O163" i="63"/>
  <c r="O60" i="63"/>
  <c r="O114" i="63"/>
  <c r="O124" i="63"/>
  <c r="O44" i="63"/>
  <c r="E39" i="68"/>
  <c r="E29" i="68" s="1"/>
  <c r="O123" i="63"/>
  <c r="O164" i="63"/>
  <c r="O26" i="63"/>
  <c r="O196" i="63"/>
  <c r="B11" i="61"/>
  <c r="D11" i="61" s="1"/>
  <c r="O139" i="63"/>
  <c r="O99" i="63"/>
  <c r="O194" i="63"/>
  <c r="O138" i="63"/>
  <c r="O83" i="63"/>
  <c r="O12" i="63"/>
  <c r="O2" i="63"/>
  <c r="P2" i="63" s="1"/>
  <c r="Q2" i="63" s="1"/>
  <c r="O92" i="63"/>
  <c r="O50" i="63"/>
  <c r="O100" i="63"/>
  <c r="O130" i="63"/>
  <c r="O148" i="63"/>
  <c r="O115" i="63"/>
  <c r="O35" i="63"/>
  <c r="O27" i="63"/>
  <c r="B5" i="9"/>
  <c r="O4" i="63"/>
  <c r="B26" i="61"/>
  <c r="E20" i="10"/>
  <c r="B35" i="73"/>
  <c r="O113" i="63"/>
  <c r="B49" i="66"/>
  <c r="B24" i="60"/>
  <c r="D24" i="60" s="1"/>
  <c r="B33" i="36"/>
  <c r="E9" i="60"/>
  <c r="D17" i="60" s="1"/>
  <c r="D33" i="36" s="1"/>
  <c r="D62" i="27"/>
  <c r="D36" i="69"/>
  <c r="B25" i="43" s="1"/>
  <c r="D25" i="43" s="1"/>
  <c r="B53" i="68"/>
  <c r="B82" i="16"/>
  <c r="F21" i="10"/>
  <c r="B73" i="27"/>
  <c r="O57" i="63"/>
  <c r="O121" i="63"/>
  <c r="O41" i="63"/>
  <c r="O181" i="63"/>
  <c r="O14" i="63"/>
  <c r="D43" i="70"/>
  <c r="B23" i="43" s="1"/>
  <c r="D23" i="43" s="1"/>
  <c r="D22" i="29"/>
  <c r="C15" i="43" s="1"/>
  <c r="D15" i="43" s="1"/>
  <c r="G31" i="70"/>
  <c r="O200" i="63"/>
  <c r="O55" i="63"/>
  <c r="O87" i="63"/>
  <c r="O150" i="63"/>
  <c r="B41" i="39"/>
  <c r="E7" i="63"/>
  <c r="C22" i="63" s="1"/>
  <c r="C20" i="33" s="1"/>
  <c r="D36" i="25"/>
  <c r="B6" i="43" s="1"/>
  <c r="E17" i="63"/>
  <c r="C24" i="63" s="1"/>
  <c r="E24" i="66"/>
  <c r="B76" i="21"/>
  <c r="D43" i="15"/>
  <c r="B3" i="43" s="1"/>
  <c r="D3" i="43" s="1"/>
  <c r="O126" i="63"/>
  <c r="O37" i="63"/>
  <c r="O25" i="63"/>
  <c r="O69" i="63"/>
  <c r="O77" i="63"/>
  <c r="O189" i="63"/>
  <c r="O46" i="63"/>
  <c r="O117" i="63"/>
  <c r="O191" i="63"/>
  <c r="O8" i="63"/>
  <c r="O143" i="63"/>
  <c r="O118" i="63"/>
  <c r="O102" i="63"/>
  <c r="O201" i="63"/>
  <c r="O85" i="63"/>
  <c r="O153" i="63"/>
  <c r="O6" i="63"/>
  <c r="O192" i="63"/>
  <c r="O22" i="63"/>
  <c r="O47" i="63"/>
  <c r="O7" i="63"/>
  <c r="O197" i="63"/>
  <c r="O111" i="63"/>
  <c r="O78" i="63"/>
  <c r="O125" i="63"/>
  <c r="O104" i="63"/>
  <c r="O110" i="63"/>
  <c r="O149" i="63"/>
  <c r="O94" i="63"/>
  <c r="O29" i="63"/>
  <c r="O112" i="63"/>
  <c r="O17" i="63"/>
  <c r="O129" i="63"/>
  <c r="H4" i="63"/>
  <c r="E2" i="63" s="1"/>
  <c r="B26" i="63" s="1"/>
  <c r="O39" i="63"/>
  <c r="O80" i="63"/>
  <c r="O136" i="63"/>
  <c r="O81" i="63"/>
  <c r="O185" i="63"/>
  <c r="E19" i="10"/>
  <c r="B63" i="69"/>
  <c r="O105" i="63"/>
  <c r="B31" i="38"/>
  <c r="D25" i="60"/>
  <c r="O15" i="63"/>
  <c r="B40" i="37"/>
  <c r="D33" i="34"/>
  <c r="C20" i="43" s="1"/>
  <c r="D20" i="43" s="1"/>
  <c r="O79" i="63"/>
  <c r="O165" i="63"/>
  <c r="O141" i="63"/>
  <c r="O151" i="63"/>
  <c r="O30" i="63"/>
  <c r="O144" i="63"/>
  <c r="O134" i="63"/>
  <c r="O145" i="63"/>
  <c r="O71" i="63"/>
  <c r="O88" i="63"/>
  <c r="O49" i="63"/>
  <c r="O173" i="63"/>
  <c r="O40" i="63"/>
  <c r="O53" i="63"/>
  <c r="O174" i="63"/>
  <c r="O183" i="63"/>
  <c r="O193" i="63"/>
  <c r="O56" i="63"/>
  <c r="O177" i="63"/>
  <c r="O175" i="63"/>
  <c r="O157" i="63"/>
  <c r="O93" i="63"/>
  <c r="O198" i="63"/>
  <c r="O62" i="63"/>
  <c r="G29" i="15"/>
  <c r="D33" i="24"/>
  <c r="C11" i="43" s="1"/>
  <c r="D11" i="43" s="1"/>
  <c r="B48" i="34"/>
  <c r="O167" i="63"/>
  <c r="O65" i="63"/>
  <c r="O137" i="63"/>
  <c r="O158" i="63"/>
  <c r="O24" i="63"/>
  <c r="O120" i="63"/>
  <c r="O109" i="63"/>
  <c r="O13" i="63"/>
  <c r="O142" i="63"/>
  <c r="O64" i="63"/>
  <c r="O73" i="63"/>
  <c r="O63" i="63"/>
  <c r="O38" i="63"/>
  <c r="O128" i="63"/>
  <c r="O5" i="63"/>
  <c r="O159" i="63"/>
  <c r="O95" i="63"/>
  <c r="O127" i="63"/>
  <c r="B35" i="28"/>
  <c r="C35" i="28" s="1"/>
  <c r="E35" i="28" s="1"/>
  <c r="G31" i="15"/>
  <c r="D42" i="21"/>
  <c r="B8" i="43" s="1"/>
  <c r="D8" i="43" s="1"/>
  <c r="D33" i="33"/>
  <c r="B60" i="33" s="1"/>
  <c r="B51" i="67"/>
  <c r="B52" i="67" s="1"/>
  <c r="O96" i="63"/>
  <c r="O61" i="63"/>
  <c r="O161" i="63"/>
  <c r="O182" i="63"/>
  <c r="O70" i="63"/>
  <c r="O135" i="63"/>
  <c r="O133" i="63"/>
  <c r="O54" i="63"/>
  <c r="O168" i="63"/>
  <c r="O33" i="63"/>
  <c r="F41" i="15"/>
  <c r="B69" i="26"/>
  <c r="D13" i="43"/>
  <c r="B17" i="28"/>
  <c r="C17" i="28" s="1"/>
  <c r="E17" i="28" s="1"/>
  <c r="B63" i="28" s="1"/>
  <c r="D26" i="22"/>
  <c r="C21" i="42" s="1"/>
  <c r="D12" i="43"/>
  <c r="D27" i="69"/>
  <c r="D28" i="69" s="1"/>
  <c r="O21" i="63"/>
  <c r="O23" i="63"/>
  <c r="D69" i="17"/>
  <c r="D28" i="15"/>
  <c r="C5" i="42" s="1"/>
  <c r="D21" i="25"/>
  <c r="O184" i="63"/>
  <c r="O9" i="63"/>
  <c r="B63" i="25"/>
  <c r="D40" i="17"/>
  <c r="B5" i="43" s="1"/>
  <c r="D5" i="43" s="1"/>
  <c r="O169" i="63"/>
  <c r="O31" i="63"/>
  <c r="O45" i="63"/>
  <c r="O160" i="63"/>
  <c r="O32" i="63"/>
  <c r="O166" i="63"/>
  <c r="O152" i="63"/>
  <c r="O176" i="63"/>
  <c r="O97" i="63"/>
  <c r="E28" i="68"/>
  <c r="D52" i="69"/>
  <c r="D35" i="26"/>
  <c r="C15" i="42" s="1"/>
  <c r="B80" i="17"/>
  <c r="J54" i="74"/>
  <c r="B19" i="17"/>
  <c r="D19" i="17" s="1"/>
  <c r="E39" i="66"/>
  <c r="E25" i="66" s="1"/>
  <c r="C27" i="43"/>
  <c r="D27" i="43" s="1"/>
  <c r="B83" i="16"/>
  <c r="J44" i="74"/>
  <c r="D56" i="74"/>
  <c r="D55" i="74"/>
  <c r="E30" i="74"/>
  <c r="J56" i="74" s="1"/>
  <c r="E29" i="74"/>
  <c r="B16" i="17"/>
  <c r="D16" i="17" s="1"/>
  <c r="D87" i="74"/>
  <c r="D89" i="74"/>
  <c r="D46" i="74"/>
  <c r="J45" i="74"/>
  <c r="D88" i="74"/>
  <c r="F21" i="38"/>
  <c r="H3" i="35"/>
  <c r="C17" i="35" s="1"/>
  <c r="D17" i="35" s="1"/>
  <c r="C18" i="35"/>
  <c r="D18" i="35" s="1"/>
  <c r="C16" i="35"/>
  <c r="E38" i="67"/>
  <c r="B39" i="23"/>
  <c r="D20" i="23"/>
  <c r="B61" i="20"/>
  <c r="D38" i="16"/>
  <c r="D72" i="16"/>
  <c r="J52" i="74"/>
  <c r="D23" i="75"/>
  <c r="G18" i="75"/>
  <c r="E14" i="75"/>
  <c r="G23" i="75" s="1"/>
  <c r="C11" i="60"/>
  <c r="D11" i="60" s="1"/>
  <c r="D26" i="36" s="1"/>
  <c r="E16" i="41"/>
  <c r="C16" i="41"/>
  <c r="B63" i="19"/>
  <c r="J43" i="74"/>
  <c r="B20" i="17"/>
  <c r="D20" i="17" s="1"/>
  <c r="O48" i="63"/>
  <c r="O16" i="63"/>
  <c r="D14" i="41"/>
  <c r="C14" i="41"/>
  <c r="O89" i="63"/>
  <c r="H20" i="35"/>
  <c r="D20" i="35"/>
  <c r="B37" i="35" s="1"/>
  <c r="B74" i="21"/>
  <c r="D48" i="24"/>
  <c r="B67" i="26"/>
  <c r="B81" i="16"/>
  <c r="D15" i="29"/>
  <c r="J49" i="74"/>
  <c r="D53" i="74"/>
  <c r="B13" i="17"/>
  <c r="D13" i="17" s="1"/>
  <c r="B38" i="37"/>
  <c r="B20" i="28"/>
  <c r="C20" i="28" s="1"/>
  <c r="E20" i="28" s="1"/>
  <c r="B64" i="28" s="1"/>
  <c r="D54" i="19"/>
  <c r="D29" i="19"/>
  <c r="B42" i="73"/>
  <c r="B34" i="73"/>
  <c r="E20" i="73"/>
  <c r="B61" i="69"/>
  <c r="F24" i="38"/>
  <c r="E14" i="41"/>
  <c r="B11" i="41"/>
  <c r="E14" i="35"/>
  <c r="H10" i="33"/>
  <c r="H11" i="33" s="1"/>
  <c r="H13" i="33" s="1"/>
  <c r="B43" i="39"/>
  <c r="G20" i="75"/>
  <c r="B16" i="24"/>
  <c r="D16" i="24" s="1"/>
  <c r="O190" i="63"/>
  <c r="O86" i="63"/>
  <c r="O119" i="63"/>
  <c r="O101" i="63"/>
  <c r="O199" i="63"/>
  <c r="O103" i="63"/>
  <c r="D13" i="61"/>
  <c r="E27" i="67"/>
  <c r="E4" i="60"/>
  <c r="B15" i="60"/>
  <c r="B10" i="60"/>
  <c r="B14" i="60"/>
  <c r="B39" i="37"/>
  <c r="D25" i="34"/>
  <c r="B12" i="34"/>
  <c r="C25" i="34"/>
  <c r="H11" i="32"/>
  <c r="B23" i="32"/>
  <c r="D23" i="32" s="1"/>
  <c r="D27" i="20"/>
  <c r="D52" i="20"/>
  <c r="B16" i="61"/>
  <c r="B31" i="36" s="1"/>
  <c r="B15" i="61"/>
  <c r="D15" i="61" s="1"/>
  <c r="B14" i="61"/>
  <c r="D14" i="61" s="1"/>
  <c r="B10" i="61"/>
  <c r="B13" i="34"/>
  <c r="E12" i="34"/>
  <c r="E13" i="34" s="1"/>
  <c r="B143" i="22"/>
  <c r="K27" i="22"/>
  <c r="B71" i="27"/>
  <c r="B37" i="29"/>
  <c r="X10" i="33"/>
  <c r="C19" i="33" s="1"/>
  <c r="X14" i="33"/>
  <c r="C24" i="33" s="1"/>
  <c r="D24" i="33" s="1"/>
  <c r="X13" i="33"/>
  <c r="C23" i="33" s="1"/>
  <c r="D23" i="33" s="1"/>
  <c r="D52" i="25"/>
  <c r="D33" i="21"/>
  <c r="D65" i="21"/>
  <c r="E13" i="75"/>
  <c r="G22" i="75" s="1"/>
  <c r="D22" i="75"/>
  <c r="G19" i="75"/>
  <c r="J9" i="62"/>
  <c r="J10" i="62"/>
  <c r="D19" i="62"/>
  <c r="B16" i="43"/>
  <c r="D31" i="27"/>
  <c r="H20" i="31"/>
  <c r="G29" i="70"/>
  <c r="B31" i="64"/>
  <c r="D14" i="62"/>
  <c r="H10" i="62"/>
  <c r="H9" i="62"/>
  <c r="D15" i="62"/>
  <c r="H18" i="35"/>
  <c r="H19" i="35" s="1"/>
  <c r="H21" i="35" s="1"/>
  <c r="Q2" i="32"/>
  <c r="P3" i="32"/>
  <c r="D28" i="70"/>
  <c r="J46" i="74"/>
  <c r="B18" i="17"/>
  <c r="D18" i="17" s="1"/>
  <c r="B34" i="28"/>
  <c r="C34" i="28" s="1"/>
  <c r="E34" i="28" s="1"/>
  <c r="E14" i="31"/>
  <c r="C16" i="31"/>
  <c r="H3" i="31"/>
  <c r="C17" i="31" s="1"/>
  <c r="D17" i="31" s="1"/>
  <c r="C10" i="61"/>
  <c r="C10" i="60"/>
  <c r="C13" i="18"/>
  <c r="D13" i="18" s="1"/>
  <c r="C18" i="18"/>
  <c r="D18" i="18" s="1"/>
  <c r="C14" i="18"/>
  <c r="D14" i="18" s="1"/>
  <c r="C17" i="18"/>
  <c r="D17" i="18" s="1"/>
  <c r="B44" i="18" s="1"/>
  <c r="B46" i="72"/>
  <c r="B49" i="72" s="1"/>
  <c r="E36" i="72"/>
  <c r="D19" i="60"/>
  <c r="D18" i="60"/>
  <c r="J48" i="74"/>
  <c r="J47" i="74"/>
  <c r="B12" i="17"/>
  <c r="J50" i="74"/>
  <c r="B14" i="17"/>
  <c r="D14" i="17" s="1"/>
  <c r="D25" i="32"/>
  <c r="B38" i="36" l="1"/>
  <c r="L3" i="62"/>
  <c r="D37" i="36" s="1"/>
  <c r="K7" i="62"/>
  <c r="H12" i="33"/>
  <c r="X8" i="33" s="1"/>
  <c r="B40" i="64"/>
  <c r="B27" i="64" s="1"/>
  <c r="C26" i="32"/>
  <c r="D26" i="32" s="1"/>
  <c r="D32" i="32"/>
  <c r="B18" i="43" s="1"/>
  <c r="D18" i="43" s="1"/>
  <c r="B12" i="31"/>
  <c r="C19" i="31" s="1"/>
  <c r="D19" i="31" s="1"/>
  <c r="C22" i="35"/>
  <c r="D22" i="35" s="1"/>
  <c r="B17" i="43"/>
  <c r="B14" i="63"/>
  <c r="D33" i="63" s="1"/>
  <c r="B64" i="20"/>
  <c r="B13" i="63"/>
  <c r="D32" i="63" s="1"/>
  <c r="E28" i="67"/>
  <c r="E29" i="67" s="1"/>
  <c r="E30" i="67" s="1"/>
  <c r="F22" i="39"/>
  <c r="F26" i="39" s="1"/>
  <c r="D44" i="36"/>
  <c r="L8" i="62"/>
  <c r="D42" i="36"/>
  <c r="C42" i="36" s="1"/>
  <c r="L7" i="62"/>
  <c r="D41" i="36" s="1"/>
  <c r="B41" i="36"/>
  <c r="L2" i="62"/>
  <c r="B36" i="36"/>
  <c r="L6" i="62"/>
  <c r="D40" i="36" s="1"/>
  <c r="B40" i="36"/>
  <c r="D48" i="36"/>
  <c r="B21" i="43" s="1"/>
  <c r="D51" i="33"/>
  <c r="D34" i="33" s="1"/>
  <c r="B19" i="43" s="1"/>
  <c r="D24" i="63"/>
  <c r="D22" i="33" s="1"/>
  <c r="C22" i="33"/>
  <c r="D52" i="33"/>
  <c r="D35" i="33" s="1"/>
  <c r="C19" i="43" s="1"/>
  <c r="B7" i="9"/>
  <c r="E26" i="66"/>
  <c r="E27" i="66" s="1"/>
  <c r="E28" i="66" s="1"/>
  <c r="D6" i="43"/>
  <c r="B34" i="38"/>
  <c r="B146" i="22"/>
  <c r="D16" i="43"/>
  <c r="B50" i="30"/>
  <c r="B42" i="30" s="1"/>
  <c r="B9" i="30" s="1"/>
  <c r="B54" i="68"/>
  <c r="D20" i="30"/>
  <c r="C27" i="42" s="1"/>
  <c r="B38" i="30"/>
  <c r="B39" i="30" s="1"/>
  <c r="D49" i="36"/>
  <c r="C21" i="43" s="1"/>
  <c r="B26" i="36"/>
  <c r="D32" i="36"/>
  <c r="C32" i="36" s="1"/>
  <c r="D28" i="36"/>
  <c r="P3" i="63"/>
  <c r="P4" i="63" s="1"/>
  <c r="K30" i="22"/>
  <c r="B42" i="23"/>
  <c r="B66" i="19"/>
  <c r="B36" i="73"/>
  <c r="F20" i="40"/>
  <c r="F28" i="40" s="1"/>
  <c r="B34" i="64"/>
  <c r="B52" i="66"/>
  <c r="B44" i="39"/>
  <c r="B39" i="40"/>
  <c r="E30" i="68"/>
  <c r="E32" i="68" s="1"/>
  <c r="B77" i="21"/>
  <c r="B60" i="68"/>
  <c r="B47" i="68" s="1"/>
  <c r="B61" i="25"/>
  <c r="B74" i="27"/>
  <c r="H5" i="63"/>
  <c r="H6" i="63" s="1"/>
  <c r="H11" i="63" s="1"/>
  <c r="B64" i="69"/>
  <c r="B33" i="60"/>
  <c r="H23" i="35"/>
  <c r="D28" i="35" s="1"/>
  <c r="B65" i="28"/>
  <c r="B66" i="28" s="1"/>
  <c r="G32" i="70"/>
  <c r="B75" i="69"/>
  <c r="B69" i="69" s="1"/>
  <c r="C18" i="42"/>
  <c r="F16" i="41"/>
  <c r="B29" i="41" s="1"/>
  <c r="B84" i="16"/>
  <c r="G32" i="15"/>
  <c r="F14" i="41"/>
  <c r="B28" i="41" s="1"/>
  <c r="B152" i="22"/>
  <c r="B140" i="22" s="1"/>
  <c r="B58" i="66"/>
  <c r="B44" i="66" s="1"/>
  <c r="B10" i="66" s="1"/>
  <c r="D27" i="22"/>
  <c r="D36" i="26"/>
  <c r="B70" i="26"/>
  <c r="D10" i="61"/>
  <c r="B34" i="61"/>
  <c r="D29" i="25"/>
  <c r="B81" i="26"/>
  <c r="B74" i="26" s="1"/>
  <c r="B57" i="24"/>
  <c r="B60" i="24" s="1"/>
  <c r="B70" i="15"/>
  <c r="B63" i="15" s="1"/>
  <c r="D29" i="15"/>
  <c r="B58" i="67"/>
  <c r="D16" i="61"/>
  <c r="D31" i="36" s="1"/>
  <c r="D23" i="61"/>
  <c r="C5" i="44"/>
  <c r="B43" i="38"/>
  <c r="C27" i="34"/>
  <c r="B27" i="34"/>
  <c r="B29" i="62"/>
  <c r="C26" i="42"/>
  <c r="B48" i="29"/>
  <c r="D16" i="29"/>
  <c r="C17" i="42"/>
  <c r="B75" i="20"/>
  <c r="D28" i="20"/>
  <c r="B210" i="32"/>
  <c r="C19" i="42"/>
  <c r="B21" i="73"/>
  <c r="E39" i="28"/>
  <c r="R2" i="63"/>
  <c r="T2" i="63"/>
  <c r="S2" i="63"/>
  <c r="B63" i="72"/>
  <c r="E37" i="72"/>
  <c r="C23" i="42"/>
  <c r="B70" i="70"/>
  <c r="D29" i="70"/>
  <c r="C10" i="42"/>
  <c r="B31" i="73"/>
  <c r="B29" i="73"/>
  <c r="B10" i="73" s="1"/>
  <c r="D24" i="24"/>
  <c r="C6" i="42"/>
  <c r="B95" i="16"/>
  <c r="D39" i="16"/>
  <c r="C12" i="42"/>
  <c r="B77" i="19"/>
  <c r="D30" i="19"/>
  <c r="C25" i="42"/>
  <c r="D21" i="23"/>
  <c r="B53" i="23"/>
  <c r="D23" i="18"/>
  <c r="B42" i="18"/>
  <c r="B45" i="18" s="1"/>
  <c r="D12" i="17"/>
  <c r="R2" i="32"/>
  <c r="T2" i="32"/>
  <c r="S2" i="32"/>
  <c r="H23" i="31"/>
  <c r="D28" i="31" s="1"/>
  <c r="H22" i="31"/>
  <c r="E8" i="31"/>
  <c r="B16" i="31" s="1"/>
  <c r="B42" i="37"/>
  <c r="J55" i="74"/>
  <c r="B17" i="17"/>
  <c r="D17" i="17" s="1"/>
  <c r="D10" i="60"/>
  <c r="B25" i="36"/>
  <c r="D26" i="60"/>
  <c r="Q3" i="32"/>
  <c r="P4" i="32"/>
  <c r="E14" i="34"/>
  <c r="E15" i="34" s="1"/>
  <c r="B26" i="34" s="1"/>
  <c r="D26" i="34" s="1"/>
  <c r="B47" i="34" s="1"/>
  <c r="C14" i="42"/>
  <c r="D32" i="27"/>
  <c r="B85" i="27"/>
  <c r="C13" i="42"/>
  <c r="B88" i="21"/>
  <c r="D34" i="21"/>
  <c r="D14" i="60"/>
  <c r="B29" i="36"/>
  <c r="C4" i="44"/>
  <c r="B48" i="37"/>
  <c r="F30" i="37"/>
  <c r="F26" i="37"/>
  <c r="E8" i="35"/>
  <c r="B16" i="35" s="1"/>
  <c r="H22" i="35"/>
  <c r="D15" i="60"/>
  <c r="D30" i="36" s="1"/>
  <c r="B30" i="36"/>
  <c r="C8" i="42" l="1"/>
  <c r="B64" i="25"/>
  <c r="B85" i="25"/>
  <c r="B87" i="25" s="1"/>
  <c r="B88" i="25" s="1"/>
  <c r="F30" i="39"/>
  <c r="B50" i="39"/>
  <c r="B37" i="39" s="1"/>
  <c r="C6" i="44"/>
  <c r="B28" i="64"/>
  <c r="B21" i="64" s="1"/>
  <c r="B43" i="64" s="1"/>
  <c r="B44" i="64" s="1"/>
  <c r="B45" i="64" s="1"/>
  <c r="C17" i="43"/>
  <c r="D17" i="43" s="1"/>
  <c r="C26" i="63"/>
  <c r="D26" i="63" s="1"/>
  <c r="J11" i="62"/>
  <c r="D11" i="62" s="1"/>
  <c r="D36" i="36"/>
  <c r="B28" i="43"/>
  <c r="D21" i="43"/>
  <c r="B44" i="30"/>
  <c r="B43" i="30"/>
  <c r="D25" i="30" s="1"/>
  <c r="D19" i="43"/>
  <c r="D21" i="30"/>
  <c r="D22" i="30"/>
  <c r="Q3" i="63"/>
  <c r="T3" i="63" s="1"/>
  <c r="E31" i="68"/>
  <c r="B23" i="63"/>
  <c r="B45" i="40"/>
  <c r="B55" i="40" s="1"/>
  <c r="F24" i="40"/>
  <c r="B46" i="68"/>
  <c r="B9" i="68" s="1"/>
  <c r="E42" i="68" s="1"/>
  <c r="B48" i="68"/>
  <c r="C7" i="44"/>
  <c r="B68" i="69"/>
  <c r="B67" i="69"/>
  <c r="B8" i="69" s="1"/>
  <c r="D29" i="69" s="1"/>
  <c r="D30" i="69" s="1"/>
  <c r="B30" i="41"/>
  <c r="F19" i="41"/>
  <c r="C8" i="44" s="1"/>
  <c r="B138" i="22"/>
  <c r="B8" i="22" s="1"/>
  <c r="D28" i="22" s="1"/>
  <c r="D29" i="22" s="1"/>
  <c r="B45" i="66"/>
  <c r="E40" i="66" s="1"/>
  <c r="B64" i="15"/>
  <c r="B46" i="66"/>
  <c r="B139" i="22"/>
  <c r="B62" i="15"/>
  <c r="B7" i="15" s="1"/>
  <c r="D30" i="15" s="1"/>
  <c r="D32" i="15" s="1"/>
  <c r="D30" i="25"/>
  <c r="B75" i="25"/>
  <c r="B69" i="25" s="1"/>
  <c r="E32" i="17"/>
  <c r="B75" i="26"/>
  <c r="B73" i="26"/>
  <c r="B9" i="26" s="1"/>
  <c r="D37" i="26" s="1"/>
  <c r="D38" i="26" s="1"/>
  <c r="D27" i="34"/>
  <c r="B46" i="34" s="1"/>
  <c r="B49" i="34" s="1"/>
  <c r="B32" i="61"/>
  <c r="D27" i="31"/>
  <c r="D16" i="31"/>
  <c r="D29" i="31"/>
  <c r="B35" i="37"/>
  <c r="B59" i="37" s="1"/>
  <c r="B58" i="37"/>
  <c r="B42" i="29"/>
  <c r="B41" i="29"/>
  <c r="B40" i="29"/>
  <c r="B7" i="29" s="1"/>
  <c r="D17" i="29" s="1"/>
  <c r="D18" i="29" s="1"/>
  <c r="B35" i="61"/>
  <c r="D21" i="61"/>
  <c r="B69" i="19"/>
  <c r="B8" i="19" s="1"/>
  <c r="D31" i="19" s="1"/>
  <c r="D32" i="19" s="1"/>
  <c r="B71" i="19"/>
  <c r="B70" i="19"/>
  <c r="C22" i="42"/>
  <c r="B77" i="28"/>
  <c r="E40" i="28"/>
  <c r="B34" i="60"/>
  <c r="D29" i="36"/>
  <c r="Q4" i="32"/>
  <c r="P5" i="32"/>
  <c r="C16" i="42"/>
  <c r="D25" i="24"/>
  <c r="B71" i="24"/>
  <c r="B22" i="73"/>
  <c r="B55" i="72"/>
  <c r="B6" i="72" s="1"/>
  <c r="E38" i="72" s="1"/>
  <c r="E39" i="72" s="1"/>
  <c r="B57" i="72"/>
  <c r="B56" i="72"/>
  <c r="B46" i="67"/>
  <c r="B44" i="67"/>
  <c r="B14" i="67" s="1"/>
  <c r="B45" i="67"/>
  <c r="C9" i="42"/>
  <c r="D24" i="18"/>
  <c r="B56" i="18"/>
  <c r="Q4" i="63"/>
  <c r="P5" i="63"/>
  <c r="B82" i="21"/>
  <c r="B81" i="21"/>
  <c r="B80" i="21"/>
  <c r="B8" i="21" s="1"/>
  <c r="B78" i="17"/>
  <c r="B81" i="17" s="1"/>
  <c r="D32" i="17"/>
  <c r="T3" i="32"/>
  <c r="S3" i="32"/>
  <c r="R3" i="32"/>
  <c r="B35" i="60"/>
  <c r="D20" i="60"/>
  <c r="B32" i="60"/>
  <c r="D25" i="36"/>
  <c r="D29" i="35"/>
  <c r="D16" i="35"/>
  <c r="D27" i="35"/>
  <c r="B46" i="23"/>
  <c r="B47" i="23"/>
  <c r="B45" i="23"/>
  <c r="B9" i="23" s="1"/>
  <c r="D22" i="23" s="1"/>
  <c r="D23" i="23" s="1"/>
  <c r="B89" i="16"/>
  <c r="B87" i="16"/>
  <c r="B7" i="16" s="1"/>
  <c r="D40" i="16" s="1"/>
  <c r="D42" i="16" s="1"/>
  <c r="B88" i="16"/>
  <c r="B64" i="70"/>
  <c r="B63" i="70"/>
  <c r="B62" i="70"/>
  <c r="B7" i="70" s="1"/>
  <c r="D30" i="70" s="1"/>
  <c r="D32" i="70" s="1"/>
  <c r="B68" i="20"/>
  <c r="B69" i="20"/>
  <c r="B67" i="20"/>
  <c r="B8" i="20" s="1"/>
  <c r="D29" i="20" s="1"/>
  <c r="D30" i="20" s="1"/>
  <c r="B53" i="38"/>
  <c r="C8" i="38"/>
  <c r="B79" i="27"/>
  <c r="B78" i="27"/>
  <c r="B77" i="27"/>
  <c r="B8" i="27" s="1"/>
  <c r="D17" i="36" l="1"/>
  <c r="D18" i="36" s="1"/>
  <c r="B36" i="39"/>
  <c r="C28" i="43"/>
  <c r="B26" i="62"/>
  <c r="B30" i="62" s="1"/>
  <c r="D16" i="62"/>
  <c r="D28" i="43"/>
  <c r="D23" i="63"/>
  <c r="B21" i="33"/>
  <c r="E43" i="68"/>
  <c r="E33" i="68" s="1"/>
  <c r="E34" i="68" s="1"/>
  <c r="S3" i="63"/>
  <c r="R3" i="63"/>
  <c r="B33" i="40"/>
  <c r="B54" i="40"/>
  <c r="B36" i="41"/>
  <c r="B46" i="41" s="1"/>
  <c r="E41" i="66"/>
  <c r="E29" i="66" s="1"/>
  <c r="E30" i="66" s="1"/>
  <c r="E41" i="67"/>
  <c r="F41" i="67" s="1"/>
  <c r="F21" i="41"/>
  <c r="E8" i="44"/>
  <c r="D67" i="22"/>
  <c r="D21" i="42" s="1"/>
  <c r="D39" i="69"/>
  <c r="D40" i="69" s="1"/>
  <c r="D41" i="19"/>
  <c r="D42" i="19" s="1"/>
  <c r="E52" i="72"/>
  <c r="D23" i="42" s="1"/>
  <c r="D46" i="15"/>
  <c r="D47" i="15" s="1"/>
  <c r="B73" i="15" s="1"/>
  <c r="B74" i="15" s="1"/>
  <c r="B75" i="15" s="1"/>
  <c r="F5" i="42" s="1"/>
  <c r="D30" i="34"/>
  <c r="C32" i="42" s="1"/>
  <c r="D53" i="26"/>
  <c r="D54" i="26" s="1"/>
  <c r="B67" i="25"/>
  <c r="B9" i="25" s="1"/>
  <c r="B68" i="25"/>
  <c r="B22" i="64"/>
  <c r="B36" i="61"/>
  <c r="D48" i="16"/>
  <c r="D49" i="16" s="1"/>
  <c r="F27" i="37"/>
  <c r="D4" i="44" s="1"/>
  <c r="F27" i="39"/>
  <c r="F28" i="39" s="1"/>
  <c r="B36" i="35"/>
  <c r="B39" i="35" s="1"/>
  <c r="D23" i="35"/>
  <c r="B71" i="28"/>
  <c r="B69" i="28"/>
  <c r="B8" i="28" s="1"/>
  <c r="E41" i="28" s="1"/>
  <c r="E42" i="28" s="1"/>
  <c r="B70" i="28"/>
  <c r="D21" i="60"/>
  <c r="B46" i="60"/>
  <c r="D26" i="30"/>
  <c r="D27" i="42"/>
  <c r="D35" i="21"/>
  <c r="D36" i="21" s="1"/>
  <c r="D45" i="21"/>
  <c r="E40" i="67"/>
  <c r="B36" i="60"/>
  <c r="B46" i="61"/>
  <c r="D22" i="61"/>
  <c r="D24" i="61" s="1"/>
  <c r="P6" i="63"/>
  <c r="Q5" i="63"/>
  <c r="D20" i="31"/>
  <c r="B34" i="31"/>
  <c r="B36" i="31" s="1"/>
  <c r="B42" i="31"/>
  <c r="D39" i="20"/>
  <c r="R4" i="63"/>
  <c r="S4" i="63"/>
  <c r="T4" i="63"/>
  <c r="E44" i="72"/>
  <c r="B65" i="24"/>
  <c r="B64" i="24"/>
  <c r="B63" i="24"/>
  <c r="B11" i="24" s="1"/>
  <c r="D26" i="24" s="1"/>
  <c r="D27" i="24" s="1"/>
  <c r="B50" i="18"/>
  <c r="B48" i="18"/>
  <c r="B7" i="18" s="1"/>
  <c r="D25" i="18" s="1"/>
  <c r="D26" i="18" s="1"/>
  <c r="B49" i="18"/>
  <c r="D33" i="27"/>
  <c r="D34" i="27" s="1"/>
  <c r="D43" i="27"/>
  <c r="B45" i="73"/>
  <c r="B46" i="73" s="1"/>
  <c r="B47" i="73" s="1"/>
  <c r="F19" i="42" s="1"/>
  <c r="E19" i="42"/>
  <c r="D19" i="42"/>
  <c r="B23" i="73"/>
  <c r="Q5" i="32"/>
  <c r="P6" i="32"/>
  <c r="F25" i="38"/>
  <c r="B54" i="38"/>
  <c r="D46" i="70"/>
  <c r="D28" i="23"/>
  <c r="R4" i="32"/>
  <c r="T4" i="32"/>
  <c r="S4" i="32"/>
  <c r="C7" i="42"/>
  <c r="B92" i="17"/>
  <c r="D33" i="17"/>
  <c r="D23" i="29"/>
  <c r="D31" i="25" l="1"/>
  <c r="D32" i="25" s="1"/>
  <c r="D39" i="25"/>
  <c r="D8" i="42" s="1"/>
  <c r="B210" i="63"/>
  <c r="D21" i="33"/>
  <c r="B63" i="68"/>
  <c r="B64" i="68" s="1"/>
  <c r="B65" i="68" s="1"/>
  <c r="B61" i="66"/>
  <c r="B62" i="66" s="1"/>
  <c r="B63" i="66" s="1"/>
  <c r="D68" i="22"/>
  <c r="E21" i="42" s="1"/>
  <c r="F25" i="40"/>
  <c r="D7" i="44" s="1"/>
  <c r="B25" i="41"/>
  <c r="B47" i="41" s="1"/>
  <c r="B56" i="40"/>
  <c r="D18" i="42"/>
  <c r="D15" i="42"/>
  <c r="E5" i="42"/>
  <c r="D5" i="42"/>
  <c r="B55" i="34"/>
  <c r="B42" i="34" s="1"/>
  <c r="D38" i="34"/>
  <c r="D12" i="42"/>
  <c r="D6" i="42"/>
  <c r="B47" i="61"/>
  <c r="B51" i="37"/>
  <c r="B52" i="37" s="1"/>
  <c r="B53" i="37" s="1"/>
  <c r="E4" i="44"/>
  <c r="F28" i="37"/>
  <c r="D6" i="44"/>
  <c r="E6" i="44"/>
  <c r="E49" i="28"/>
  <c r="E50" i="28" s="1"/>
  <c r="B53" i="39"/>
  <c r="B54" i="39" s="1"/>
  <c r="B55" i="39" s="1"/>
  <c r="D33" i="18"/>
  <c r="D34" i="18" s="1"/>
  <c r="D19" i="36"/>
  <c r="C35" i="42"/>
  <c r="B60" i="36"/>
  <c r="P7" i="63"/>
  <c r="Q6" i="63"/>
  <c r="E27" i="42"/>
  <c r="B53" i="30"/>
  <c r="B54" i="30" s="1"/>
  <c r="B55" i="30" s="1"/>
  <c r="F27" i="42" s="1"/>
  <c r="D40" i="20"/>
  <c r="D17" i="42"/>
  <c r="D24" i="35"/>
  <c r="C33" i="42"/>
  <c r="B45" i="35"/>
  <c r="E6" i="42"/>
  <c r="B98" i="16"/>
  <c r="B99" i="16" s="1"/>
  <c r="B100" i="16" s="1"/>
  <c r="F6" i="42" s="1"/>
  <c r="D23" i="60"/>
  <c r="B47" i="60" s="1"/>
  <c r="D22" i="60"/>
  <c r="E12" i="42"/>
  <c r="B80" i="19"/>
  <c r="B81" i="19" s="1"/>
  <c r="B82" i="19" s="1"/>
  <c r="F12" i="42" s="1"/>
  <c r="D29" i="23"/>
  <c r="D25" i="42"/>
  <c r="R5" i="63"/>
  <c r="T5" i="63"/>
  <c r="S5" i="63"/>
  <c r="D44" i="27"/>
  <c r="D14" i="42"/>
  <c r="D47" i="70"/>
  <c r="D10" i="42"/>
  <c r="B86" i="17"/>
  <c r="B85" i="17"/>
  <c r="B84" i="17"/>
  <c r="B8" i="17" s="1"/>
  <c r="D35" i="24"/>
  <c r="B52" i="31"/>
  <c r="B31" i="31"/>
  <c r="B51" i="31"/>
  <c r="E31" i="67"/>
  <c r="E32" i="67" s="1"/>
  <c r="B61" i="67"/>
  <c r="B62" i="67" s="1"/>
  <c r="B63" i="67" s="1"/>
  <c r="Q6" i="32"/>
  <c r="P7" i="32"/>
  <c r="E15" i="42"/>
  <c r="B84" i="26"/>
  <c r="B85" i="26" s="1"/>
  <c r="B86" i="26" s="1"/>
  <c r="F15" i="42" s="1"/>
  <c r="D24" i="29"/>
  <c r="D26" i="42"/>
  <c r="D5" i="44"/>
  <c r="B46" i="38"/>
  <c r="B47" i="38" s="1"/>
  <c r="B48" i="38" s="1"/>
  <c r="E5" i="44"/>
  <c r="F26" i="38"/>
  <c r="T5" i="32"/>
  <c r="S5" i="32"/>
  <c r="R5" i="32"/>
  <c r="B66" i="72"/>
  <c r="B67" i="72" s="1"/>
  <c r="B68" i="72" s="1"/>
  <c r="F23" i="42" s="1"/>
  <c r="E23" i="42"/>
  <c r="C29" i="42"/>
  <c r="D21" i="31"/>
  <c r="B78" i="69"/>
  <c r="B79" i="69" s="1"/>
  <c r="B80" i="69" s="1"/>
  <c r="F18" i="42" s="1"/>
  <c r="E18" i="42"/>
  <c r="D46" i="21"/>
  <c r="D13" i="42"/>
  <c r="F20" i="41" l="1"/>
  <c r="B39" i="41" s="1"/>
  <c r="B40" i="41" s="1"/>
  <c r="B41" i="41" s="1"/>
  <c r="B155" i="22"/>
  <c r="B156" i="22" s="1"/>
  <c r="B157" i="22" s="1"/>
  <c r="F21" i="42" s="1"/>
  <c r="F26" i="40"/>
  <c r="B48" i="40"/>
  <c r="B49" i="40" s="1"/>
  <c r="B50" i="40" s="1"/>
  <c r="E7" i="44"/>
  <c r="D40" i="25"/>
  <c r="B78" i="25" s="1"/>
  <c r="B79" i="25" s="1"/>
  <c r="B80" i="25" s="1"/>
  <c r="F8" i="42" s="1"/>
  <c r="B41" i="34"/>
  <c r="B10" i="34" s="1"/>
  <c r="D34" i="34" s="1"/>
  <c r="B43" i="34"/>
  <c r="D22" i="42"/>
  <c r="D9" i="42"/>
  <c r="D23" i="31"/>
  <c r="D29" i="42" s="1"/>
  <c r="E17" i="42"/>
  <c r="B78" i="20"/>
  <c r="B79" i="20" s="1"/>
  <c r="B80" i="20" s="1"/>
  <c r="F17" i="42" s="1"/>
  <c r="E13" i="42"/>
  <c r="B91" i="21"/>
  <c r="B92" i="21" s="1"/>
  <c r="B93" i="21" s="1"/>
  <c r="F13" i="42" s="1"/>
  <c r="T6" i="63"/>
  <c r="R6" i="63"/>
  <c r="S6" i="63"/>
  <c r="P8" i="63"/>
  <c r="Q7" i="63"/>
  <c r="T6" i="32"/>
  <c r="S6" i="32"/>
  <c r="R6" i="32"/>
  <c r="B53" i="36"/>
  <c r="B54" i="36"/>
  <c r="E26" i="42"/>
  <c r="B51" i="29"/>
  <c r="B52" i="29" s="1"/>
  <c r="B53" i="29" s="1"/>
  <c r="F26" i="42" s="1"/>
  <c r="B53" i="31"/>
  <c r="E14" i="42"/>
  <c r="B88" i="27"/>
  <c r="B89" i="27" s="1"/>
  <c r="B90" i="27" s="1"/>
  <c r="F14" i="42" s="1"/>
  <c r="D36" i="24"/>
  <c r="D16" i="42"/>
  <c r="B73" i="70"/>
  <c r="B74" i="70" s="1"/>
  <c r="B75" i="70" s="1"/>
  <c r="F10" i="42" s="1"/>
  <c r="E10" i="42"/>
  <c r="E22" i="42"/>
  <c r="B80" i="28"/>
  <c r="B81" i="28" s="1"/>
  <c r="B82" i="28" s="1"/>
  <c r="F22" i="42" s="1"/>
  <c r="B33" i="35"/>
  <c r="B32" i="35"/>
  <c r="E25" i="42"/>
  <c r="B56" i="23"/>
  <c r="B57" i="23" s="1"/>
  <c r="B58" i="23" s="1"/>
  <c r="F25" i="42" s="1"/>
  <c r="D43" i="17"/>
  <c r="D34" i="17"/>
  <c r="D35" i="17" s="1"/>
  <c r="E9" i="42"/>
  <c r="B59" i="18"/>
  <c r="B60" i="18" s="1"/>
  <c r="B61" i="18" s="1"/>
  <c r="F9" i="42" s="1"/>
  <c r="P8" i="32"/>
  <c r="Q7" i="32"/>
  <c r="D20" i="36" l="1"/>
  <c r="B63" i="36" s="1"/>
  <c r="D35" i="34"/>
  <c r="E32" i="42" s="1"/>
  <c r="D8" i="44"/>
  <c r="E8" i="42"/>
  <c r="E29" i="42"/>
  <c r="D25" i="35"/>
  <c r="E33" i="42" s="1"/>
  <c r="B45" i="31"/>
  <c r="B46" i="31" s="1"/>
  <c r="B47" i="31" s="1"/>
  <c r="F29" i="42" s="1"/>
  <c r="D32" i="42"/>
  <c r="D26" i="35"/>
  <c r="P9" i="63"/>
  <c r="Q8" i="63"/>
  <c r="D44" i="17"/>
  <c r="D7" i="42"/>
  <c r="E16" i="42"/>
  <c r="B74" i="24"/>
  <c r="B75" i="24" s="1"/>
  <c r="B76" i="24" s="1"/>
  <c r="F16" i="42" s="1"/>
  <c r="R7" i="32"/>
  <c r="S7" i="32"/>
  <c r="T7" i="32"/>
  <c r="P9" i="32"/>
  <c r="Q8" i="32"/>
  <c r="T7" i="63"/>
  <c r="S7" i="63"/>
  <c r="R7" i="63"/>
  <c r="B64" i="36" l="1"/>
  <c r="B65" i="36" s="1"/>
  <c r="F35" i="42" s="1"/>
  <c r="B58" i="34"/>
  <c r="B59" i="34" s="1"/>
  <c r="B60" i="34" s="1"/>
  <c r="F32" i="42" s="1"/>
  <c r="B48" i="35"/>
  <c r="B49" i="35" s="1"/>
  <c r="B50" i="35" s="1"/>
  <c r="F33" i="42" s="1"/>
  <c r="D33" i="42"/>
  <c r="D35" i="42"/>
  <c r="E35" i="42"/>
  <c r="E7" i="42"/>
  <c r="B95" i="17"/>
  <c r="B96" i="17" s="1"/>
  <c r="B97" i="17" s="1"/>
  <c r="F7" i="42" s="1"/>
  <c r="R8" i="63"/>
  <c r="T8" i="63"/>
  <c r="S8" i="63"/>
  <c r="S8" i="32"/>
  <c r="R8" i="32"/>
  <c r="T8" i="32"/>
  <c r="Q9" i="63"/>
  <c r="P10" i="63"/>
  <c r="P10" i="32"/>
  <c r="Q9" i="32"/>
  <c r="T9" i="32" l="1"/>
  <c r="S9" i="32"/>
  <c r="R9" i="32"/>
  <c r="T9" i="63"/>
  <c r="S9" i="63"/>
  <c r="R9" i="63"/>
  <c r="Q10" i="32"/>
  <c r="P11" i="32"/>
  <c r="Q10" i="63"/>
  <c r="P11" i="63"/>
  <c r="P12" i="32" l="1"/>
  <c r="Q11" i="32"/>
  <c r="P12" i="63"/>
  <c r="Q11" i="63"/>
  <c r="T10" i="32"/>
  <c r="S10" i="32"/>
  <c r="R10" i="32"/>
  <c r="T10" i="63"/>
  <c r="R10" i="63"/>
  <c r="S10" i="63"/>
  <c r="T11" i="63" l="1"/>
  <c r="S11" i="63"/>
  <c r="R11" i="63"/>
  <c r="Q12" i="63"/>
  <c r="P13" i="63"/>
  <c r="T11" i="32"/>
  <c r="R11" i="32"/>
  <c r="S11" i="32"/>
  <c r="Q12" i="32"/>
  <c r="P13" i="32"/>
  <c r="Q13" i="32" l="1"/>
  <c r="P14" i="32"/>
  <c r="T12" i="32"/>
  <c r="S12" i="32"/>
  <c r="R12" i="32"/>
  <c r="P14" i="63"/>
  <c r="Q13" i="63"/>
  <c r="R12" i="63"/>
  <c r="S12" i="63"/>
  <c r="T12" i="63"/>
  <c r="T13" i="63" l="1"/>
  <c r="S13" i="63"/>
  <c r="R13" i="63"/>
  <c r="P15" i="32"/>
  <c r="Q14" i="32"/>
  <c r="P15" i="63"/>
  <c r="Q14" i="63"/>
  <c r="T13" i="32"/>
  <c r="S13" i="32"/>
  <c r="R13" i="32"/>
  <c r="S14" i="63" l="1"/>
  <c r="T14" i="63"/>
  <c r="R14" i="63"/>
  <c r="P16" i="63"/>
  <c r="Q15" i="63"/>
  <c r="S14" i="32"/>
  <c r="T14" i="32"/>
  <c r="R14" i="32"/>
  <c r="Q15" i="32"/>
  <c r="P16" i="32"/>
  <c r="T15" i="32" l="1"/>
  <c r="S15" i="32"/>
  <c r="R15" i="32"/>
  <c r="P17" i="32"/>
  <c r="Q16" i="32"/>
  <c r="T15" i="63"/>
  <c r="S15" i="63"/>
  <c r="R15" i="63"/>
  <c r="P17" i="63"/>
  <c r="Q16" i="63"/>
  <c r="Q17" i="63" l="1"/>
  <c r="P18" i="63"/>
  <c r="Q17" i="32"/>
  <c r="P18" i="32"/>
  <c r="T16" i="63"/>
  <c r="S16" i="63"/>
  <c r="R16" i="63"/>
  <c r="R16" i="32"/>
  <c r="S16" i="32"/>
  <c r="T16" i="32"/>
  <c r="Q18" i="32" l="1"/>
  <c r="P19" i="32"/>
  <c r="T17" i="32"/>
  <c r="S17" i="32"/>
  <c r="R17" i="32"/>
  <c r="P19" i="63"/>
  <c r="Q18" i="63"/>
  <c r="T17" i="63"/>
  <c r="R17" i="63"/>
  <c r="S17" i="63"/>
  <c r="Q19" i="63" l="1"/>
  <c r="P20" i="63"/>
  <c r="P20" i="32"/>
  <c r="Q19" i="32"/>
  <c r="T18" i="63"/>
  <c r="R18" i="63"/>
  <c r="S18" i="63"/>
  <c r="S18" i="32"/>
  <c r="T18" i="32"/>
  <c r="R18" i="32"/>
  <c r="T19" i="32" l="1"/>
  <c r="S19" i="32"/>
  <c r="R19" i="32"/>
  <c r="P21" i="32"/>
  <c r="Q20" i="32"/>
  <c r="P21" i="63"/>
  <c r="Q20" i="63"/>
  <c r="S19" i="63"/>
  <c r="T19" i="63"/>
  <c r="R19" i="63"/>
  <c r="P22" i="63" l="1"/>
  <c r="Q21" i="63"/>
  <c r="Q21" i="32"/>
  <c r="P22" i="32"/>
  <c r="T20" i="63"/>
  <c r="S20" i="63"/>
  <c r="R20" i="63"/>
  <c r="T20" i="32"/>
  <c r="S20" i="32"/>
  <c r="R20" i="32"/>
  <c r="P23" i="63" l="1"/>
  <c r="Q22" i="63"/>
  <c r="P23" i="32"/>
  <c r="Q22" i="32"/>
  <c r="T21" i="32"/>
  <c r="S21" i="32"/>
  <c r="R21" i="32"/>
  <c r="T21" i="63"/>
  <c r="S21" i="63"/>
  <c r="R21" i="63"/>
  <c r="T22" i="32" l="1"/>
  <c r="S22" i="32"/>
  <c r="R22" i="32"/>
  <c r="Q23" i="32"/>
  <c r="P24" i="32"/>
  <c r="T22" i="63"/>
  <c r="S22" i="63"/>
  <c r="R22" i="63"/>
  <c r="P24" i="63"/>
  <c r="Q23" i="63"/>
  <c r="Q24" i="63" l="1"/>
  <c r="P25" i="63"/>
  <c r="Q24" i="32"/>
  <c r="P25" i="32"/>
  <c r="T23" i="63"/>
  <c r="R23" i="63"/>
  <c r="S23" i="63"/>
  <c r="T23" i="32"/>
  <c r="S23" i="32"/>
  <c r="R23" i="32"/>
  <c r="P26" i="32" l="1"/>
  <c r="Q25" i="32"/>
  <c r="T24" i="32"/>
  <c r="S24" i="32"/>
  <c r="R24" i="32"/>
  <c r="P26" i="63"/>
  <c r="Q25" i="63"/>
  <c r="T24" i="63"/>
  <c r="S24" i="63"/>
  <c r="R24" i="63"/>
  <c r="S25" i="63" l="1"/>
  <c r="T25" i="63"/>
  <c r="R25" i="63"/>
  <c r="Q26" i="63"/>
  <c r="P27" i="63"/>
  <c r="R25" i="32"/>
  <c r="S25" i="32"/>
  <c r="T25" i="32"/>
  <c r="P27" i="32"/>
  <c r="Q26" i="32"/>
  <c r="R26" i="63" l="1"/>
  <c r="T26" i="63"/>
  <c r="S26" i="63"/>
  <c r="S26" i="32"/>
  <c r="R26" i="32"/>
  <c r="T26" i="32"/>
  <c r="P28" i="32"/>
  <c r="Q27" i="32"/>
  <c r="Q27" i="63"/>
  <c r="P28" i="63"/>
  <c r="T27" i="63" l="1"/>
  <c r="S27" i="63"/>
  <c r="R27" i="63"/>
  <c r="Q28" i="32"/>
  <c r="P29" i="32"/>
  <c r="P29" i="63"/>
  <c r="Q28" i="63"/>
  <c r="T27" i="32"/>
  <c r="S27" i="32"/>
  <c r="R27" i="32"/>
  <c r="R28" i="63" l="1"/>
  <c r="T28" i="63"/>
  <c r="S28" i="63"/>
  <c r="P30" i="63"/>
  <c r="Q29" i="63"/>
  <c r="Q29" i="32"/>
  <c r="P30" i="32"/>
  <c r="S28" i="32"/>
  <c r="R28" i="32"/>
  <c r="T28" i="32"/>
  <c r="R29" i="32" l="1"/>
  <c r="T29" i="32"/>
  <c r="S29" i="32"/>
  <c r="Q30" i="32"/>
  <c r="P31" i="32"/>
  <c r="T29" i="63"/>
  <c r="S29" i="63"/>
  <c r="R29" i="63"/>
  <c r="P31" i="63"/>
  <c r="Q30" i="63"/>
  <c r="Q31" i="63" l="1"/>
  <c r="P32" i="63"/>
  <c r="T30" i="63"/>
  <c r="S30" i="63"/>
  <c r="R30" i="63"/>
  <c r="P32" i="32"/>
  <c r="Q31" i="32"/>
  <c r="T30" i="32"/>
  <c r="S30" i="32"/>
  <c r="R30" i="32"/>
  <c r="Q32" i="32" l="1"/>
  <c r="P33" i="32"/>
  <c r="R31" i="32"/>
  <c r="S31" i="32"/>
  <c r="T31" i="32"/>
  <c r="P33" i="63"/>
  <c r="Q32" i="63"/>
  <c r="T31" i="63"/>
  <c r="S31" i="63"/>
  <c r="R31" i="63"/>
  <c r="T32" i="63" l="1"/>
  <c r="R32" i="63"/>
  <c r="S32" i="63"/>
  <c r="Q33" i="63"/>
  <c r="P34" i="63"/>
  <c r="P34" i="32"/>
  <c r="Q33" i="32"/>
  <c r="T32" i="32"/>
  <c r="S32" i="32"/>
  <c r="R32" i="32"/>
  <c r="Q34" i="32" l="1"/>
  <c r="P35" i="32"/>
  <c r="R33" i="63"/>
  <c r="T33" i="63"/>
  <c r="S33" i="63"/>
  <c r="R33" i="32"/>
  <c r="S33" i="32"/>
  <c r="T33" i="32"/>
  <c r="Q34" i="63"/>
  <c r="P35" i="63"/>
  <c r="T34" i="63" l="1"/>
  <c r="R34" i="63"/>
  <c r="S34" i="63"/>
  <c r="P36" i="32"/>
  <c r="Q35" i="32"/>
  <c r="P36" i="63"/>
  <c r="Q35" i="63"/>
  <c r="T34" i="32"/>
  <c r="S34" i="32"/>
  <c r="R34" i="32"/>
  <c r="T35" i="63" l="1"/>
  <c r="S35" i="63"/>
  <c r="R35" i="63"/>
  <c r="T35" i="32"/>
  <c r="S35" i="32"/>
  <c r="R35" i="32"/>
  <c r="P37" i="32"/>
  <c r="Q36" i="32"/>
  <c r="P37" i="63"/>
  <c r="Q36" i="63"/>
  <c r="T36" i="63" l="1"/>
  <c r="S36" i="63"/>
  <c r="R36" i="63"/>
  <c r="P38" i="63"/>
  <c r="Q37" i="63"/>
  <c r="T36" i="32"/>
  <c r="S36" i="32"/>
  <c r="R36" i="32"/>
  <c r="Q37" i="32"/>
  <c r="P38" i="32"/>
  <c r="P39" i="32" l="1"/>
  <c r="Q38" i="32"/>
  <c r="T37" i="32"/>
  <c r="S37" i="32"/>
  <c r="R37" i="32"/>
  <c r="R37" i="63"/>
  <c r="T37" i="63"/>
  <c r="S37" i="63"/>
  <c r="Q38" i="63"/>
  <c r="P39" i="63"/>
  <c r="T38" i="63" l="1"/>
  <c r="S38" i="63"/>
  <c r="R38" i="63"/>
  <c r="P40" i="63"/>
  <c r="Q39" i="63"/>
  <c r="T38" i="32"/>
  <c r="S38" i="32"/>
  <c r="R38" i="32"/>
  <c r="P40" i="32"/>
  <c r="Q39" i="32"/>
  <c r="R39" i="32" l="1"/>
  <c r="T39" i="32"/>
  <c r="S39" i="32"/>
  <c r="P41" i="32"/>
  <c r="Q40" i="32"/>
  <c r="T39" i="63"/>
  <c r="S39" i="63"/>
  <c r="R39" i="63"/>
  <c r="Q40" i="63"/>
  <c r="P41" i="63"/>
  <c r="T40" i="32" l="1"/>
  <c r="S40" i="32"/>
  <c r="R40" i="32"/>
  <c r="Q41" i="63"/>
  <c r="P42" i="63"/>
  <c r="R40" i="63"/>
  <c r="T40" i="63"/>
  <c r="S40" i="63"/>
  <c r="Q41" i="32"/>
  <c r="P42" i="32"/>
  <c r="P43" i="32" l="1"/>
  <c r="Q42" i="32"/>
  <c r="T41" i="32"/>
  <c r="S41" i="32"/>
  <c r="R41" i="32"/>
  <c r="Q42" i="63"/>
  <c r="P43" i="63"/>
  <c r="T41" i="63"/>
  <c r="S41" i="63"/>
  <c r="R41" i="63"/>
  <c r="Q43" i="63" l="1"/>
  <c r="P44" i="63"/>
  <c r="T42" i="63"/>
  <c r="S42" i="63"/>
  <c r="R42" i="63"/>
  <c r="R42" i="32"/>
  <c r="S42" i="32"/>
  <c r="T42" i="32"/>
  <c r="Q43" i="32"/>
  <c r="P44" i="32"/>
  <c r="P45" i="32" l="1"/>
  <c r="Q44" i="32"/>
  <c r="T43" i="32"/>
  <c r="S43" i="32"/>
  <c r="R43" i="32"/>
  <c r="P45" i="63"/>
  <c r="Q44" i="63"/>
  <c r="S43" i="63"/>
  <c r="R43" i="63"/>
  <c r="T43" i="63"/>
  <c r="S44" i="63" l="1"/>
  <c r="R44" i="63"/>
  <c r="T44" i="63"/>
  <c r="T44" i="32"/>
  <c r="S44" i="32"/>
  <c r="R44" i="32"/>
  <c r="P46" i="63"/>
  <c r="Q45" i="63"/>
  <c r="P46" i="32"/>
  <c r="Q45" i="32"/>
  <c r="T45" i="63" l="1"/>
  <c r="S45" i="63"/>
  <c r="R45" i="63"/>
  <c r="T45" i="32"/>
  <c r="S45" i="32"/>
  <c r="R45" i="32"/>
  <c r="Q46" i="32"/>
  <c r="P47" i="32"/>
  <c r="Q46" i="63"/>
  <c r="P47" i="63"/>
  <c r="R46" i="63" l="1"/>
  <c r="T46" i="63"/>
  <c r="S46" i="63"/>
  <c r="T46" i="32"/>
  <c r="S46" i="32"/>
  <c r="R46" i="32"/>
  <c r="P48" i="63"/>
  <c r="Q47" i="63"/>
  <c r="P48" i="32"/>
  <c r="Q47" i="32"/>
  <c r="T47" i="32" l="1"/>
  <c r="S47" i="32"/>
  <c r="R47" i="32"/>
  <c r="P49" i="63"/>
  <c r="Q48" i="63"/>
  <c r="S47" i="63"/>
  <c r="T47" i="63"/>
  <c r="R47" i="63"/>
  <c r="P49" i="32"/>
  <c r="Q48" i="32"/>
  <c r="Q49" i="32" l="1"/>
  <c r="P50" i="32"/>
  <c r="S48" i="32"/>
  <c r="R48" i="32"/>
  <c r="T48" i="32"/>
  <c r="T48" i="63"/>
  <c r="S48" i="63"/>
  <c r="R48" i="63"/>
  <c r="P50" i="63"/>
  <c r="Q49" i="63"/>
  <c r="S49" i="63" l="1"/>
  <c r="R49" i="63"/>
  <c r="T49" i="63"/>
  <c r="P51" i="63"/>
  <c r="Q50" i="63"/>
  <c r="Q50" i="32"/>
  <c r="P51" i="32"/>
  <c r="R49" i="32"/>
  <c r="T49" i="32"/>
  <c r="S49" i="32"/>
  <c r="Q51" i="32" l="1"/>
  <c r="P52" i="32"/>
  <c r="R50" i="63"/>
  <c r="T50" i="63"/>
  <c r="S50" i="63"/>
  <c r="T50" i="32"/>
  <c r="S50" i="32"/>
  <c r="R50" i="32"/>
  <c r="Q51" i="63"/>
  <c r="P52" i="63"/>
  <c r="P53" i="63" l="1"/>
  <c r="Q52" i="63"/>
  <c r="T51" i="63"/>
  <c r="S51" i="63"/>
  <c r="R51" i="63"/>
  <c r="P53" i="32"/>
  <c r="Q52" i="32"/>
  <c r="S51" i="32"/>
  <c r="R51" i="32"/>
  <c r="T51" i="32"/>
  <c r="T52" i="32" l="1"/>
  <c r="S52" i="32"/>
  <c r="R52" i="32"/>
  <c r="T52" i="63"/>
  <c r="S52" i="63"/>
  <c r="R52" i="63"/>
  <c r="Q53" i="32"/>
  <c r="P54" i="32"/>
  <c r="P54" i="63"/>
  <c r="Q53" i="63"/>
  <c r="T53" i="63" l="1"/>
  <c r="R53" i="63"/>
  <c r="S53" i="63"/>
  <c r="P55" i="32"/>
  <c r="Q54" i="32"/>
  <c r="Q54" i="63"/>
  <c r="P55" i="63"/>
  <c r="T53" i="32"/>
  <c r="S53" i="32"/>
  <c r="R53" i="32"/>
  <c r="P56" i="63" l="1"/>
  <c r="Q55" i="63"/>
  <c r="T54" i="63"/>
  <c r="S54" i="63"/>
  <c r="R54" i="63"/>
  <c r="P56" i="32"/>
  <c r="Q55" i="32"/>
  <c r="T54" i="32"/>
  <c r="S54" i="32"/>
  <c r="R54" i="32"/>
  <c r="R55" i="32" l="1"/>
  <c r="T55" i="32"/>
  <c r="S55" i="32"/>
  <c r="P57" i="32"/>
  <c r="Q56" i="32"/>
  <c r="R55" i="63"/>
  <c r="T55" i="63"/>
  <c r="S55" i="63"/>
  <c r="Q56" i="63"/>
  <c r="P57" i="63"/>
  <c r="Q57" i="63" l="1"/>
  <c r="P58" i="63"/>
  <c r="R56" i="63"/>
  <c r="S56" i="63"/>
  <c r="T56" i="63"/>
  <c r="T56" i="32"/>
  <c r="S56" i="32"/>
  <c r="R56" i="32"/>
  <c r="P58" i="32"/>
  <c r="Q57" i="32"/>
  <c r="T57" i="32" l="1"/>
  <c r="S57" i="32"/>
  <c r="R57" i="32"/>
  <c r="Q58" i="32"/>
  <c r="P59" i="32"/>
  <c r="P59" i="63"/>
  <c r="Q58" i="63"/>
  <c r="T57" i="63"/>
  <c r="S57" i="63"/>
  <c r="R57" i="63"/>
  <c r="T58" i="63" l="1"/>
  <c r="S58" i="63"/>
  <c r="R58" i="63"/>
  <c r="Q59" i="32"/>
  <c r="P60" i="32"/>
  <c r="Q59" i="63"/>
  <c r="P60" i="63"/>
  <c r="R58" i="32"/>
  <c r="S58" i="32"/>
  <c r="T58" i="32"/>
  <c r="P61" i="63" l="1"/>
  <c r="Q60" i="63"/>
  <c r="S59" i="63"/>
  <c r="T59" i="63"/>
  <c r="R59" i="63"/>
  <c r="P61" i="32"/>
  <c r="Q60" i="32"/>
  <c r="T59" i="32"/>
  <c r="S59" i="32"/>
  <c r="R59" i="32"/>
  <c r="T60" i="32" l="1"/>
  <c r="S60" i="32"/>
  <c r="R60" i="32"/>
  <c r="P62" i="32"/>
  <c r="Q61" i="32"/>
  <c r="S60" i="63"/>
  <c r="R60" i="63"/>
  <c r="T60" i="63"/>
  <c r="Q61" i="63"/>
  <c r="P62" i="63"/>
  <c r="P63" i="63" l="1"/>
  <c r="Q62" i="63"/>
  <c r="T61" i="63"/>
  <c r="S61" i="63"/>
  <c r="R61" i="63"/>
  <c r="T61" i="32"/>
  <c r="S61" i="32"/>
  <c r="R61" i="32"/>
  <c r="Q62" i="32"/>
  <c r="P63" i="32"/>
  <c r="P64" i="32" l="1"/>
  <c r="Q63" i="32"/>
  <c r="R62" i="63"/>
  <c r="T62" i="63"/>
  <c r="S62" i="63"/>
  <c r="T62" i="32"/>
  <c r="S62" i="32"/>
  <c r="R62" i="32"/>
  <c r="P64" i="63"/>
  <c r="Q63" i="63"/>
  <c r="T63" i="63" l="1"/>
  <c r="S63" i="63"/>
  <c r="R63" i="63"/>
  <c r="T63" i="32"/>
  <c r="S63" i="32"/>
  <c r="R63" i="32"/>
  <c r="Q64" i="63"/>
  <c r="P65" i="63"/>
  <c r="P65" i="32"/>
  <c r="Q64" i="32"/>
  <c r="Q65" i="32" l="1"/>
  <c r="P66" i="32"/>
  <c r="S64" i="32"/>
  <c r="R64" i="32"/>
  <c r="T64" i="32"/>
  <c r="R64" i="63"/>
  <c r="T64" i="63"/>
  <c r="S64" i="63"/>
  <c r="Q65" i="63"/>
  <c r="P66" i="63"/>
  <c r="S65" i="63" l="1"/>
  <c r="R65" i="63"/>
  <c r="T65" i="63"/>
  <c r="Q66" i="63"/>
  <c r="P67" i="63"/>
  <c r="Q66" i="32"/>
  <c r="P67" i="32"/>
  <c r="R65" i="32"/>
  <c r="T65" i="32"/>
  <c r="S65" i="32"/>
  <c r="Q67" i="32" l="1"/>
  <c r="P68" i="32"/>
  <c r="T66" i="32"/>
  <c r="S66" i="32"/>
  <c r="R66" i="32"/>
  <c r="P68" i="63"/>
  <c r="Q67" i="63"/>
  <c r="R66" i="63"/>
  <c r="T66" i="63"/>
  <c r="S66" i="63"/>
  <c r="T67" i="63" l="1"/>
  <c r="S67" i="63"/>
  <c r="R67" i="63"/>
  <c r="P69" i="63"/>
  <c r="Q68" i="63"/>
  <c r="P69" i="32"/>
  <c r="Q68" i="32"/>
  <c r="S67" i="32"/>
  <c r="R67" i="32"/>
  <c r="T67" i="32"/>
  <c r="P70" i="32" l="1"/>
  <c r="Q69" i="32"/>
  <c r="T68" i="63"/>
  <c r="R68" i="63"/>
  <c r="S68" i="63"/>
  <c r="P70" i="63"/>
  <c r="Q69" i="63"/>
  <c r="T68" i="32"/>
  <c r="S68" i="32"/>
  <c r="R68" i="32"/>
  <c r="T69" i="63" l="1"/>
  <c r="S69" i="63"/>
  <c r="R69" i="63"/>
  <c r="P71" i="63"/>
  <c r="Q70" i="63"/>
  <c r="T69" i="32"/>
  <c r="S69" i="32"/>
  <c r="R69" i="32"/>
  <c r="P71" i="32"/>
  <c r="Q70" i="32"/>
  <c r="T70" i="32" l="1"/>
  <c r="S70" i="32"/>
  <c r="R70" i="32"/>
  <c r="P72" i="32"/>
  <c r="Q71" i="32"/>
  <c r="R70" i="63"/>
  <c r="T70" i="63"/>
  <c r="S70" i="63"/>
  <c r="Q71" i="63"/>
  <c r="P72" i="63"/>
  <c r="R71" i="63" l="1"/>
  <c r="S71" i="63"/>
  <c r="T71" i="63"/>
  <c r="Q72" i="63"/>
  <c r="P73" i="63"/>
  <c r="T71" i="32"/>
  <c r="R71" i="32"/>
  <c r="S71" i="32"/>
  <c r="P73" i="32"/>
  <c r="Q72" i="32"/>
  <c r="T72" i="32" l="1"/>
  <c r="S72" i="32"/>
  <c r="R72" i="32"/>
  <c r="P74" i="32"/>
  <c r="Q73" i="32"/>
  <c r="P74" i="63"/>
  <c r="Q73" i="63"/>
  <c r="T72" i="63"/>
  <c r="R72" i="63"/>
  <c r="S72" i="63"/>
  <c r="T73" i="63" l="1"/>
  <c r="S73" i="63"/>
  <c r="R73" i="63"/>
  <c r="P75" i="63"/>
  <c r="Q74" i="63"/>
  <c r="T73" i="32"/>
  <c r="S73" i="32"/>
  <c r="R73" i="32"/>
  <c r="Q74" i="32"/>
  <c r="P75" i="32"/>
  <c r="Q75" i="32" l="1"/>
  <c r="P76" i="32"/>
  <c r="R74" i="32"/>
  <c r="S74" i="32"/>
  <c r="T74" i="32"/>
  <c r="T74" i="63"/>
  <c r="S74" i="63"/>
  <c r="R74" i="63"/>
  <c r="P76" i="63"/>
  <c r="Q75" i="63"/>
  <c r="T75" i="63" l="1"/>
  <c r="S75" i="63"/>
  <c r="R75" i="63"/>
  <c r="P77" i="63"/>
  <c r="Q76" i="63"/>
  <c r="Q76" i="32"/>
  <c r="P77" i="32"/>
  <c r="T75" i="32"/>
  <c r="S75" i="32"/>
  <c r="R75" i="32"/>
  <c r="T76" i="32" l="1"/>
  <c r="S76" i="32"/>
  <c r="R76" i="32"/>
  <c r="P78" i="63"/>
  <c r="Q77" i="63"/>
  <c r="P78" i="32"/>
  <c r="Q77" i="32"/>
  <c r="S76" i="63"/>
  <c r="T76" i="63"/>
  <c r="R76" i="63"/>
  <c r="Q78" i="63" l="1"/>
  <c r="P79" i="63"/>
  <c r="S77" i="63"/>
  <c r="T77" i="63"/>
  <c r="R77" i="63"/>
  <c r="T77" i="32"/>
  <c r="S77" i="32"/>
  <c r="R77" i="32"/>
  <c r="P79" i="32"/>
  <c r="Q78" i="32"/>
  <c r="T78" i="32" l="1"/>
  <c r="R78" i="32"/>
  <c r="S78" i="32"/>
  <c r="P80" i="32"/>
  <c r="Q79" i="32"/>
  <c r="P80" i="63"/>
  <c r="Q79" i="63"/>
  <c r="S78" i="63"/>
  <c r="R78" i="63"/>
  <c r="T78" i="63"/>
  <c r="S79" i="63" l="1"/>
  <c r="T79" i="63"/>
  <c r="R79" i="63"/>
  <c r="Q80" i="63"/>
  <c r="P81" i="63"/>
  <c r="T79" i="32"/>
  <c r="S79" i="32"/>
  <c r="R79" i="32"/>
  <c r="P81" i="32"/>
  <c r="Q80" i="32"/>
  <c r="T80" i="32" l="1"/>
  <c r="S80" i="32"/>
  <c r="R80" i="32"/>
  <c r="P82" i="63"/>
  <c r="Q81" i="63"/>
  <c r="Q81" i="32"/>
  <c r="P82" i="32"/>
  <c r="S80" i="63"/>
  <c r="T80" i="63"/>
  <c r="R80" i="63"/>
  <c r="T81" i="63" l="1"/>
  <c r="S81" i="63"/>
  <c r="R81" i="63"/>
  <c r="Q82" i="32"/>
  <c r="P83" i="32"/>
  <c r="S81" i="32"/>
  <c r="R81" i="32"/>
  <c r="T81" i="32"/>
  <c r="Q82" i="63"/>
  <c r="P83" i="63"/>
  <c r="Q83" i="63" l="1"/>
  <c r="P84" i="63"/>
  <c r="R82" i="63"/>
  <c r="S82" i="63"/>
  <c r="T82" i="63"/>
  <c r="Q83" i="32"/>
  <c r="P84" i="32"/>
  <c r="T82" i="32"/>
  <c r="S82" i="32"/>
  <c r="R82" i="32"/>
  <c r="P85" i="32" l="1"/>
  <c r="Q84" i="32"/>
  <c r="T83" i="32"/>
  <c r="S83" i="32"/>
  <c r="R83" i="32"/>
  <c r="P85" i="63"/>
  <c r="Q84" i="63"/>
  <c r="R83" i="63"/>
  <c r="T83" i="63"/>
  <c r="S83" i="63"/>
  <c r="T84" i="63" l="1"/>
  <c r="S84" i="63"/>
  <c r="R84" i="63"/>
  <c r="Q85" i="63"/>
  <c r="P86" i="63"/>
  <c r="S84" i="32"/>
  <c r="T84" i="32"/>
  <c r="R84" i="32"/>
  <c r="P86" i="32"/>
  <c r="Q85" i="32"/>
  <c r="T85" i="32" l="1"/>
  <c r="S85" i="32"/>
  <c r="R85" i="32"/>
  <c r="Q86" i="32"/>
  <c r="P87" i="32"/>
  <c r="Q86" i="63"/>
  <c r="P87" i="63"/>
  <c r="T85" i="63"/>
  <c r="R85" i="63"/>
  <c r="S85" i="63"/>
  <c r="R86" i="63" l="1"/>
  <c r="T86" i="63"/>
  <c r="S86" i="63"/>
  <c r="Q87" i="63"/>
  <c r="P88" i="63"/>
  <c r="Q87" i="32"/>
  <c r="P88" i="32"/>
  <c r="R86" i="32"/>
  <c r="S86" i="32"/>
  <c r="T86" i="32"/>
  <c r="P89" i="32" l="1"/>
  <c r="Q88" i="32"/>
  <c r="T87" i="32"/>
  <c r="S87" i="32"/>
  <c r="R87" i="32"/>
  <c r="Q88" i="63"/>
  <c r="P89" i="63"/>
  <c r="R87" i="63"/>
  <c r="T87" i="63"/>
  <c r="S87" i="63"/>
  <c r="Q89" i="63" l="1"/>
  <c r="P90" i="63"/>
  <c r="T88" i="32"/>
  <c r="S88" i="32"/>
  <c r="R88" i="32"/>
  <c r="S88" i="63"/>
  <c r="R88" i="63"/>
  <c r="T88" i="63"/>
  <c r="P90" i="32"/>
  <c r="Q89" i="32"/>
  <c r="P91" i="32" l="1"/>
  <c r="Q90" i="32"/>
  <c r="T89" i="32"/>
  <c r="S89" i="32"/>
  <c r="R89" i="32"/>
  <c r="Q90" i="63"/>
  <c r="P91" i="63"/>
  <c r="T89" i="63"/>
  <c r="R89" i="63"/>
  <c r="S89" i="63"/>
  <c r="T90" i="63" l="1"/>
  <c r="R90" i="63"/>
  <c r="S90" i="63"/>
  <c r="P92" i="63"/>
  <c r="Q91" i="63"/>
  <c r="T90" i="32"/>
  <c r="R90" i="32"/>
  <c r="S90" i="32"/>
  <c r="P92" i="32"/>
  <c r="Q91" i="32"/>
  <c r="R91" i="32" l="1"/>
  <c r="T91" i="32"/>
  <c r="S91" i="32"/>
  <c r="P93" i="32"/>
  <c r="Q92" i="32"/>
  <c r="T91" i="63"/>
  <c r="S91" i="63"/>
  <c r="R91" i="63"/>
  <c r="P93" i="63"/>
  <c r="Q92" i="63"/>
  <c r="T92" i="63" l="1"/>
  <c r="S92" i="63"/>
  <c r="R92" i="63"/>
  <c r="T92" i="32"/>
  <c r="S92" i="32"/>
  <c r="R92" i="32"/>
  <c r="Q93" i="63"/>
  <c r="P94" i="63"/>
  <c r="Q93" i="32"/>
  <c r="P94" i="32"/>
  <c r="P95" i="32" l="1"/>
  <c r="Q94" i="32"/>
  <c r="T93" i="32"/>
  <c r="S93" i="32"/>
  <c r="R93" i="32"/>
  <c r="Q94" i="63"/>
  <c r="P95" i="63"/>
  <c r="S93" i="63"/>
  <c r="T93" i="63"/>
  <c r="R93" i="63"/>
  <c r="P96" i="63" l="1"/>
  <c r="Q95" i="63"/>
  <c r="T94" i="63"/>
  <c r="S94" i="63"/>
  <c r="R94" i="63"/>
  <c r="T94" i="32"/>
  <c r="S94" i="32"/>
  <c r="R94" i="32"/>
  <c r="P96" i="32"/>
  <c r="Q95" i="32"/>
  <c r="T95" i="32" l="1"/>
  <c r="S95" i="32"/>
  <c r="R95" i="32"/>
  <c r="P97" i="32"/>
  <c r="Q96" i="32"/>
  <c r="S95" i="63"/>
  <c r="R95" i="63"/>
  <c r="T95" i="63"/>
  <c r="P97" i="63"/>
  <c r="Q96" i="63"/>
  <c r="S96" i="63" l="1"/>
  <c r="T96" i="63"/>
  <c r="R96" i="63"/>
  <c r="P98" i="63"/>
  <c r="Q97" i="63"/>
  <c r="T96" i="32"/>
  <c r="S96" i="32"/>
  <c r="R96" i="32"/>
  <c r="P98" i="32"/>
  <c r="Q97" i="32"/>
  <c r="T97" i="32" l="1"/>
  <c r="S97" i="32"/>
  <c r="R97" i="32"/>
  <c r="S97" i="63"/>
  <c r="R97" i="63"/>
  <c r="T97" i="63"/>
  <c r="P99" i="63"/>
  <c r="Q98" i="63"/>
  <c r="Q98" i="32"/>
  <c r="P99" i="32"/>
  <c r="T98" i="63" l="1"/>
  <c r="S98" i="63"/>
  <c r="R98" i="63"/>
  <c r="P100" i="32"/>
  <c r="Q99" i="32"/>
  <c r="S98" i="32"/>
  <c r="R98" i="32"/>
  <c r="T98" i="32"/>
  <c r="P100" i="63"/>
  <c r="Q99" i="63"/>
  <c r="P101" i="63" l="1"/>
  <c r="Q100" i="63"/>
  <c r="S99" i="63"/>
  <c r="T99" i="63"/>
  <c r="R99" i="63"/>
  <c r="T99" i="32"/>
  <c r="S99" i="32"/>
  <c r="R99" i="32"/>
  <c r="P101" i="32"/>
  <c r="Q100" i="32"/>
  <c r="S100" i="32" l="1"/>
  <c r="T100" i="32"/>
  <c r="R100" i="32"/>
  <c r="R100" i="63"/>
  <c r="T100" i="63"/>
  <c r="S100" i="63"/>
  <c r="P102" i="32"/>
  <c r="Q101" i="32"/>
  <c r="P102" i="63"/>
  <c r="Q101" i="63"/>
  <c r="T101" i="63" l="1"/>
  <c r="S101" i="63"/>
  <c r="R101" i="63"/>
  <c r="P103" i="63"/>
  <c r="Q102" i="63"/>
  <c r="P103" i="32"/>
  <c r="Q102" i="32"/>
  <c r="T101" i="32"/>
  <c r="S101" i="32"/>
  <c r="R101" i="32"/>
  <c r="Q103" i="32" l="1"/>
  <c r="P104" i="32"/>
  <c r="Q103" i="63"/>
  <c r="P104" i="63"/>
  <c r="S102" i="32"/>
  <c r="R102" i="32"/>
  <c r="T102" i="32"/>
  <c r="T102" i="63"/>
  <c r="S102" i="63"/>
  <c r="R102" i="63"/>
  <c r="R103" i="63" l="1"/>
  <c r="T103" i="63"/>
  <c r="S103" i="63"/>
  <c r="P105" i="32"/>
  <c r="Q104" i="32"/>
  <c r="Q104" i="63"/>
  <c r="P105" i="63"/>
  <c r="T103" i="32"/>
  <c r="R103" i="32"/>
  <c r="S103" i="32"/>
  <c r="Q105" i="63" l="1"/>
  <c r="P106" i="63"/>
  <c r="R104" i="63"/>
  <c r="T104" i="63"/>
  <c r="S104" i="63"/>
  <c r="T104" i="32"/>
  <c r="S104" i="32"/>
  <c r="R104" i="32"/>
  <c r="Q105" i="32"/>
  <c r="P106" i="32"/>
  <c r="P107" i="32" l="1"/>
  <c r="Q106" i="32"/>
  <c r="T105" i="32"/>
  <c r="S105" i="32"/>
  <c r="R105" i="32"/>
  <c r="P107" i="63"/>
  <c r="Q106" i="63"/>
  <c r="T105" i="63"/>
  <c r="S105" i="63"/>
  <c r="R105" i="63"/>
  <c r="Q107" i="63" l="1"/>
  <c r="P108" i="63"/>
  <c r="T106" i="63"/>
  <c r="S106" i="63"/>
  <c r="R106" i="63"/>
  <c r="T106" i="32"/>
  <c r="S106" i="32"/>
  <c r="R106" i="32"/>
  <c r="P108" i="32"/>
  <c r="Q107" i="32"/>
  <c r="R107" i="32" l="1"/>
  <c r="T107" i="32"/>
  <c r="S107" i="32"/>
  <c r="P109" i="32"/>
  <c r="Q108" i="32"/>
  <c r="P109" i="63"/>
  <c r="Q108" i="63"/>
  <c r="T107" i="63"/>
  <c r="S107" i="63"/>
  <c r="R107" i="63"/>
  <c r="T108" i="63" l="1"/>
  <c r="R108" i="63"/>
  <c r="S108" i="63"/>
  <c r="T108" i="32"/>
  <c r="S108" i="32"/>
  <c r="R108" i="32"/>
  <c r="P110" i="63"/>
  <c r="Q109" i="63"/>
  <c r="P110" i="32"/>
  <c r="Q109" i="32"/>
  <c r="T109" i="32" l="1"/>
  <c r="S109" i="32"/>
  <c r="R109" i="32"/>
  <c r="Q110" i="32"/>
  <c r="P111" i="32"/>
  <c r="T109" i="63"/>
  <c r="S109" i="63"/>
  <c r="R109" i="63"/>
  <c r="Q110" i="63"/>
  <c r="P111" i="63"/>
  <c r="P112" i="63" l="1"/>
  <c r="Q111" i="63"/>
  <c r="S110" i="63"/>
  <c r="R110" i="63"/>
  <c r="T110" i="63"/>
  <c r="P112" i="32"/>
  <c r="Q111" i="32"/>
  <c r="S110" i="32"/>
  <c r="R110" i="32"/>
  <c r="T110" i="32"/>
  <c r="T111" i="32" l="1"/>
  <c r="S111" i="32"/>
  <c r="R111" i="32"/>
  <c r="Q112" i="32"/>
  <c r="P113" i="32"/>
  <c r="T111" i="63"/>
  <c r="S111" i="63"/>
  <c r="R111" i="63"/>
  <c r="P113" i="63"/>
  <c r="Q112" i="63"/>
  <c r="P114" i="32" l="1"/>
  <c r="Q113" i="32"/>
  <c r="S112" i="63"/>
  <c r="T112" i="63"/>
  <c r="R112" i="63"/>
  <c r="P114" i="63"/>
  <c r="Q113" i="63"/>
  <c r="T112" i="32"/>
  <c r="S112" i="32"/>
  <c r="R112" i="32"/>
  <c r="T113" i="63" l="1"/>
  <c r="S113" i="63"/>
  <c r="R113" i="63"/>
  <c r="T113" i="32"/>
  <c r="S113" i="32"/>
  <c r="R113" i="32"/>
  <c r="P115" i="63"/>
  <c r="Q114" i="63"/>
  <c r="Q114" i="32"/>
  <c r="P115" i="32"/>
  <c r="S114" i="63" l="1"/>
  <c r="R114" i="63"/>
  <c r="T114" i="63"/>
  <c r="T114" i="32"/>
  <c r="S114" i="32"/>
  <c r="R114" i="32"/>
  <c r="Q115" i="63"/>
  <c r="P116" i="63"/>
  <c r="Q115" i="32"/>
  <c r="P116" i="32"/>
  <c r="P117" i="32" l="1"/>
  <c r="Q116" i="32"/>
  <c r="R115" i="32"/>
  <c r="S115" i="32"/>
  <c r="T115" i="32"/>
  <c r="P117" i="63"/>
  <c r="Q116" i="63"/>
  <c r="R115" i="63"/>
  <c r="T115" i="63"/>
  <c r="S115" i="63"/>
  <c r="S116" i="63" l="1"/>
  <c r="T116" i="63"/>
  <c r="R116" i="63"/>
  <c r="P118" i="63"/>
  <c r="Q117" i="63"/>
  <c r="S116" i="32"/>
  <c r="T116" i="32"/>
  <c r="R116" i="32"/>
  <c r="P118" i="32"/>
  <c r="Q117" i="32"/>
  <c r="T117" i="32" l="1"/>
  <c r="S117" i="32"/>
  <c r="R117" i="32"/>
  <c r="P119" i="32"/>
  <c r="Q118" i="32"/>
  <c r="S117" i="63"/>
  <c r="T117" i="63"/>
  <c r="R117" i="63"/>
  <c r="Q118" i="63"/>
  <c r="P119" i="63"/>
  <c r="T118" i="63" l="1"/>
  <c r="S118" i="63"/>
  <c r="R118" i="63"/>
  <c r="P120" i="63"/>
  <c r="Q119" i="63"/>
  <c r="T118" i="32"/>
  <c r="S118" i="32"/>
  <c r="R118" i="32"/>
  <c r="P120" i="32"/>
  <c r="Q119" i="32"/>
  <c r="T119" i="32" l="1"/>
  <c r="R119" i="32"/>
  <c r="S119" i="32"/>
  <c r="P121" i="32"/>
  <c r="Q120" i="32"/>
  <c r="R119" i="63"/>
  <c r="S119" i="63"/>
  <c r="T119" i="63"/>
  <c r="Q120" i="63"/>
  <c r="P121" i="63"/>
  <c r="Q121" i="63" l="1"/>
  <c r="P122" i="63"/>
  <c r="S120" i="63"/>
  <c r="R120" i="63"/>
  <c r="T120" i="63"/>
  <c r="T120" i="32"/>
  <c r="S120" i="32"/>
  <c r="R120" i="32"/>
  <c r="P122" i="32"/>
  <c r="Q121" i="32"/>
  <c r="T121" i="32" l="1"/>
  <c r="S121" i="32"/>
  <c r="R121" i="32"/>
  <c r="Q122" i="32"/>
  <c r="P123" i="32"/>
  <c r="Q122" i="63"/>
  <c r="P123" i="63"/>
  <c r="T121" i="63"/>
  <c r="R121" i="63"/>
  <c r="S121" i="63"/>
  <c r="P124" i="63" l="1"/>
  <c r="Q123" i="63"/>
  <c r="R122" i="63"/>
  <c r="S122" i="63"/>
  <c r="T122" i="63"/>
  <c r="P124" i="32"/>
  <c r="Q123" i="32"/>
  <c r="S122" i="32"/>
  <c r="R122" i="32"/>
  <c r="T122" i="32"/>
  <c r="R123" i="32" l="1"/>
  <c r="T123" i="32"/>
  <c r="S123" i="32"/>
  <c r="Q124" i="32"/>
  <c r="P125" i="32"/>
  <c r="T123" i="63"/>
  <c r="S123" i="63"/>
  <c r="R123" i="63"/>
  <c r="P125" i="63"/>
  <c r="Q124" i="63"/>
  <c r="R124" i="63" l="1"/>
  <c r="S124" i="63"/>
  <c r="T124" i="63"/>
  <c r="Q125" i="63"/>
  <c r="P126" i="63"/>
  <c r="P126" i="32"/>
  <c r="Q125" i="32"/>
  <c r="T124" i="32"/>
  <c r="S124" i="32"/>
  <c r="R124" i="32"/>
  <c r="T125" i="32" l="1"/>
  <c r="S125" i="32"/>
  <c r="R125" i="32"/>
  <c r="Q126" i="63"/>
  <c r="P127" i="63"/>
  <c r="P127" i="32"/>
  <c r="Q126" i="32"/>
  <c r="T125" i="63"/>
  <c r="S125" i="63"/>
  <c r="R125" i="63"/>
  <c r="Q127" i="32" l="1"/>
  <c r="P128" i="32"/>
  <c r="T126" i="32"/>
  <c r="S126" i="32"/>
  <c r="R126" i="32"/>
  <c r="R126" i="63"/>
  <c r="T126" i="63"/>
  <c r="S126" i="63"/>
  <c r="Q127" i="63"/>
  <c r="P128" i="63"/>
  <c r="T127" i="63" l="1"/>
  <c r="S127" i="63"/>
  <c r="R127" i="63"/>
  <c r="P129" i="63"/>
  <c r="Q128" i="63"/>
  <c r="P129" i="32"/>
  <c r="Q128" i="32"/>
  <c r="R127" i="32"/>
  <c r="S127" i="32"/>
  <c r="T127" i="32"/>
  <c r="P130" i="32" l="1"/>
  <c r="Q129" i="32"/>
  <c r="S128" i="63"/>
  <c r="T128" i="63"/>
  <c r="R128" i="63"/>
  <c r="Q129" i="63"/>
  <c r="P130" i="63"/>
  <c r="T128" i="32"/>
  <c r="S128" i="32"/>
  <c r="R128" i="32"/>
  <c r="T129" i="63" l="1"/>
  <c r="S129" i="63"/>
  <c r="R129" i="63"/>
  <c r="P131" i="63"/>
  <c r="Q130" i="63"/>
  <c r="T129" i="32"/>
  <c r="S129" i="32"/>
  <c r="R129" i="32"/>
  <c r="Q130" i="32"/>
  <c r="P131" i="32"/>
  <c r="P132" i="32" l="1"/>
  <c r="Q131" i="32"/>
  <c r="T130" i="32"/>
  <c r="S130" i="32"/>
  <c r="R130" i="32"/>
  <c r="S130" i="63"/>
  <c r="R130" i="63"/>
  <c r="T130" i="63"/>
  <c r="P132" i="63"/>
  <c r="Q131" i="63"/>
  <c r="T131" i="63" l="1"/>
  <c r="S131" i="63"/>
  <c r="R131" i="63"/>
  <c r="P133" i="63"/>
  <c r="Q132" i="63"/>
  <c r="S131" i="32"/>
  <c r="R131" i="32"/>
  <c r="T131" i="32"/>
  <c r="Q132" i="32"/>
  <c r="P133" i="32"/>
  <c r="S132" i="32" l="1"/>
  <c r="R132" i="32"/>
  <c r="T132" i="32"/>
  <c r="S132" i="63"/>
  <c r="R132" i="63"/>
  <c r="T132" i="63"/>
  <c r="P134" i="63"/>
  <c r="Q133" i="63"/>
  <c r="Q133" i="32"/>
  <c r="P134" i="32"/>
  <c r="Q134" i="32" l="1"/>
  <c r="P135" i="32"/>
  <c r="T133" i="32"/>
  <c r="S133" i="32"/>
  <c r="R133" i="32"/>
  <c r="T133" i="63"/>
  <c r="S133" i="63"/>
  <c r="R133" i="63"/>
  <c r="P135" i="63"/>
  <c r="Q134" i="63"/>
  <c r="S134" i="63" l="1"/>
  <c r="R134" i="63"/>
  <c r="T134" i="63"/>
  <c r="P136" i="63"/>
  <c r="Q135" i="63"/>
  <c r="P136" i="32"/>
  <c r="Q135" i="32"/>
  <c r="T134" i="32"/>
  <c r="S134" i="32"/>
  <c r="R134" i="32"/>
  <c r="T135" i="32" l="1"/>
  <c r="S135" i="32"/>
  <c r="R135" i="32"/>
  <c r="P137" i="32"/>
  <c r="Q136" i="32"/>
  <c r="R135" i="63"/>
  <c r="T135" i="63"/>
  <c r="S135" i="63"/>
  <c r="Q136" i="63"/>
  <c r="P137" i="63"/>
  <c r="S136" i="63" l="1"/>
  <c r="R136" i="63"/>
  <c r="T136" i="63"/>
  <c r="T136" i="32"/>
  <c r="S136" i="32"/>
  <c r="R136" i="32"/>
  <c r="Q137" i="63"/>
  <c r="P138" i="63"/>
  <c r="P138" i="32"/>
  <c r="Q137" i="32"/>
  <c r="T137" i="32" l="1"/>
  <c r="S137" i="32"/>
  <c r="R137" i="32"/>
  <c r="T137" i="63"/>
  <c r="S137" i="63"/>
  <c r="R137" i="63"/>
  <c r="P139" i="32"/>
  <c r="Q138" i="32"/>
  <c r="P139" i="63"/>
  <c r="Q138" i="63"/>
  <c r="P140" i="63" l="1"/>
  <c r="Q139" i="63"/>
  <c r="S138" i="63"/>
  <c r="T138" i="63"/>
  <c r="R138" i="63"/>
  <c r="T138" i="32"/>
  <c r="S138" i="32"/>
  <c r="R138" i="32"/>
  <c r="Q139" i="32"/>
  <c r="P140" i="32"/>
  <c r="P141" i="32" l="1"/>
  <c r="Q140" i="32"/>
  <c r="R139" i="32"/>
  <c r="S139" i="32"/>
  <c r="T139" i="32"/>
  <c r="R139" i="63"/>
  <c r="T139" i="63"/>
  <c r="S139" i="63"/>
  <c r="Q140" i="63"/>
  <c r="P141" i="63"/>
  <c r="T140" i="63" l="1"/>
  <c r="S140" i="63"/>
  <c r="R140" i="63"/>
  <c r="P142" i="63"/>
  <c r="Q141" i="63"/>
  <c r="T140" i="32"/>
  <c r="S140" i="32"/>
  <c r="R140" i="32"/>
  <c r="P142" i="32"/>
  <c r="Q141" i="32"/>
  <c r="T141" i="32" l="1"/>
  <c r="S141" i="32"/>
  <c r="R141" i="32"/>
  <c r="P143" i="32"/>
  <c r="Q142" i="32"/>
  <c r="R141" i="63"/>
  <c r="T141" i="63"/>
  <c r="S141" i="63"/>
  <c r="Q142" i="63"/>
  <c r="P143" i="63"/>
  <c r="Q143" i="63" l="1"/>
  <c r="P144" i="63"/>
  <c r="T142" i="63"/>
  <c r="S142" i="63"/>
  <c r="R142" i="63"/>
  <c r="T142" i="32"/>
  <c r="S142" i="32"/>
  <c r="R142" i="32"/>
  <c r="P144" i="32"/>
  <c r="Q143" i="32"/>
  <c r="S143" i="32" l="1"/>
  <c r="R143" i="32"/>
  <c r="T143" i="32"/>
  <c r="Q144" i="32"/>
  <c r="P145" i="32"/>
  <c r="Q144" i="63"/>
  <c r="P145" i="63"/>
  <c r="R143" i="63"/>
  <c r="T143" i="63"/>
  <c r="S143" i="63"/>
  <c r="P146" i="63" l="1"/>
  <c r="Q145" i="63"/>
  <c r="Q145" i="32"/>
  <c r="P146" i="32"/>
  <c r="S144" i="63"/>
  <c r="T144" i="63"/>
  <c r="R144" i="63"/>
  <c r="R144" i="32"/>
  <c r="S144" i="32"/>
  <c r="T144" i="32"/>
  <c r="Q146" i="32" l="1"/>
  <c r="P147" i="32"/>
  <c r="T145" i="32"/>
  <c r="S145" i="32"/>
  <c r="R145" i="32"/>
  <c r="T145" i="63"/>
  <c r="S145" i="63"/>
  <c r="R145" i="63"/>
  <c r="Q146" i="63"/>
  <c r="P147" i="63"/>
  <c r="T146" i="63" l="1"/>
  <c r="R146" i="63"/>
  <c r="S146" i="63"/>
  <c r="P148" i="32"/>
  <c r="Q147" i="32"/>
  <c r="Q147" i="63"/>
  <c r="P148" i="63"/>
  <c r="T146" i="32"/>
  <c r="S146" i="32"/>
  <c r="R146" i="32"/>
  <c r="P149" i="63" l="1"/>
  <c r="Q148" i="63"/>
  <c r="R147" i="63"/>
  <c r="T147" i="63"/>
  <c r="S147" i="63"/>
  <c r="T147" i="32"/>
  <c r="S147" i="32"/>
  <c r="R147" i="32"/>
  <c r="P149" i="32"/>
  <c r="Q148" i="32"/>
  <c r="Q149" i="32" l="1"/>
  <c r="P150" i="32"/>
  <c r="T148" i="63"/>
  <c r="R148" i="63"/>
  <c r="S148" i="63"/>
  <c r="S148" i="32"/>
  <c r="R148" i="32"/>
  <c r="T148" i="32"/>
  <c r="Q149" i="63"/>
  <c r="P150" i="63"/>
  <c r="P151" i="63" l="1"/>
  <c r="Q150" i="63"/>
  <c r="T149" i="63"/>
  <c r="S149" i="63"/>
  <c r="R149" i="63"/>
  <c r="P151" i="32"/>
  <c r="Q150" i="32"/>
  <c r="T149" i="32"/>
  <c r="R149" i="32"/>
  <c r="S149" i="32"/>
  <c r="T150" i="32" l="1"/>
  <c r="S150" i="32"/>
  <c r="R150" i="32"/>
  <c r="P152" i="32"/>
  <c r="Q151" i="32"/>
  <c r="T150" i="63"/>
  <c r="S150" i="63"/>
  <c r="R150" i="63"/>
  <c r="P152" i="63"/>
  <c r="Q151" i="63"/>
  <c r="R151" i="63" l="1"/>
  <c r="T151" i="63"/>
  <c r="S151" i="63"/>
  <c r="P153" i="63"/>
  <c r="Q152" i="63"/>
  <c r="S151" i="32"/>
  <c r="R151" i="32"/>
  <c r="T151" i="32"/>
  <c r="P153" i="32"/>
  <c r="Q152" i="32"/>
  <c r="T152" i="32" l="1"/>
  <c r="S152" i="32"/>
  <c r="R152" i="32"/>
  <c r="P154" i="32"/>
  <c r="Q153" i="32"/>
  <c r="T152" i="63"/>
  <c r="R152" i="63"/>
  <c r="S152" i="63"/>
  <c r="P154" i="63"/>
  <c r="Q153" i="63"/>
  <c r="T153" i="63" l="1"/>
  <c r="S153" i="63"/>
  <c r="R153" i="63"/>
  <c r="Q154" i="63"/>
  <c r="P155" i="63"/>
  <c r="T153" i="32"/>
  <c r="R153" i="32"/>
  <c r="S153" i="32"/>
  <c r="P155" i="32"/>
  <c r="Q154" i="32"/>
  <c r="R154" i="32" l="1"/>
  <c r="T154" i="32"/>
  <c r="S154" i="32"/>
  <c r="Q155" i="32"/>
  <c r="P156" i="32"/>
  <c r="P156" i="63"/>
  <c r="Q155" i="63"/>
  <c r="T154" i="63"/>
  <c r="S154" i="63"/>
  <c r="R154" i="63"/>
  <c r="S155" i="63" l="1"/>
  <c r="T155" i="63"/>
  <c r="R155" i="63"/>
  <c r="R155" i="32"/>
  <c r="T155" i="32"/>
  <c r="S155" i="32"/>
  <c r="P157" i="63"/>
  <c r="Q156" i="63"/>
  <c r="Q156" i="32"/>
  <c r="P157" i="32"/>
  <c r="P158" i="32" l="1"/>
  <c r="Q157" i="32"/>
  <c r="T156" i="32"/>
  <c r="S156" i="32"/>
  <c r="R156" i="32"/>
  <c r="S156" i="63"/>
  <c r="T156" i="63"/>
  <c r="R156" i="63"/>
  <c r="P158" i="63"/>
  <c r="Q157" i="63"/>
  <c r="S157" i="63" l="1"/>
  <c r="R157" i="63"/>
  <c r="T157" i="63"/>
  <c r="Q158" i="63"/>
  <c r="P159" i="63"/>
  <c r="T157" i="32"/>
  <c r="S157" i="32"/>
  <c r="R157" i="32"/>
  <c r="P159" i="32"/>
  <c r="Q158" i="32"/>
  <c r="S158" i="32" l="1"/>
  <c r="R158" i="32"/>
  <c r="T158" i="32"/>
  <c r="Q159" i="32"/>
  <c r="P160" i="32"/>
  <c r="P160" i="63"/>
  <c r="Q159" i="63"/>
  <c r="S158" i="63"/>
  <c r="R158" i="63"/>
  <c r="T158" i="63"/>
  <c r="R159" i="63" l="1"/>
  <c r="T159" i="63"/>
  <c r="S159" i="63"/>
  <c r="P161" i="32"/>
  <c r="Q160" i="32"/>
  <c r="P161" i="63"/>
  <c r="Q160" i="63"/>
  <c r="R159" i="32"/>
  <c r="S159" i="32"/>
  <c r="T159" i="32"/>
  <c r="S160" i="63" l="1"/>
  <c r="R160" i="63"/>
  <c r="T160" i="63"/>
  <c r="P162" i="63"/>
  <c r="Q161" i="63"/>
  <c r="T160" i="32"/>
  <c r="S160" i="32"/>
  <c r="R160" i="32"/>
  <c r="Q161" i="32"/>
  <c r="P162" i="32"/>
  <c r="Q162" i="32" l="1"/>
  <c r="P163" i="32"/>
  <c r="T161" i="32"/>
  <c r="S161" i="32"/>
  <c r="R161" i="32"/>
  <c r="R161" i="63"/>
  <c r="T161" i="63"/>
  <c r="S161" i="63"/>
  <c r="P163" i="63"/>
  <c r="Q162" i="63"/>
  <c r="T162" i="63" l="1"/>
  <c r="S162" i="63"/>
  <c r="R162" i="63"/>
  <c r="Q163" i="63"/>
  <c r="P164" i="63"/>
  <c r="P164" i="32"/>
  <c r="Q163" i="32"/>
  <c r="T162" i="32"/>
  <c r="S162" i="32"/>
  <c r="R162" i="32"/>
  <c r="R163" i="63" l="1"/>
  <c r="T163" i="63"/>
  <c r="S163" i="63"/>
  <c r="S163" i="32"/>
  <c r="T163" i="32"/>
  <c r="R163" i="32"/>
  <c r="Q164" i="32"/>
  <c r="P165" i="32"/>
  <c r="P165" i="63"/>
  <c r="Q164" i="63"/>
  <c r="S164" i="32" l="1"/>
  <c r="T164" i="32"/>
  <c r="R164" i="32"/>
  <c r="T164" i="63"/>
  <c r="S164" i="63"/>
  <c r="R164" i="63"/>
  <c r="P166" i="63"/>
  <c r="Q165" i="63"/>
  <c r="P166" i="32"/>
  <c r="Q165" i="32"/>
  <c r="R165" i="63" l="1"/>
  <c r="T165" i="63"/>
  <c r="S165" i="63"/>
  <c r="Q166" i="32"/>
  <c r="P167" i="32"/>
  <c r="Q166" i="63"/>
  <c r="P167" i="63"/>
  <c r="T165" i="32"/>
  <c r="S165" i="32"/>
  <c r="R165" i="32"/>
  <c r="Q167" i="63" l="1"/>
  <c r="P168" i="63"/>
  <c r="R166" i="63"/>
  <c r="T166" i="63"/>
  <c r="S166" i="63"/>
  <c r="P168" i="32"/>
  <c r="Q167" i="32"/>
  <c r="T166" i="32"/>
  <c r="S166" i="32"/>
  <c r="R166" i="32"/>
  <c r="T167" i="32" l="1"/>
  <c r="S167" i="32"/>
  <c r="R167" i="32"/>
  <c r="Q168" i="63"/>
  <c r="P169" i="63"/>
  <c r="P169" i="32"/>
  <c r="Q168" i="32"/>
  <c r="R167" i="63"/>
  <c r="T167" i="63"/>
  <c r="S167" i="63"/>
  <c r="T168" i="32" l="1"/>
  <c r="S168" i="32"/>
  <c r="R168" i="32"/>
  <c r="Q169" i="32"/>
  <c r="P170" i="32"/>
  <c r="Q169" i="63"/>
  <c r="P170" i="63"/>
  <c r="T168" i="63"/>
  <c r="S168" i="63"/>
  <c r="R168" i="63"/>
  <c r="P171" i="63" l="1"/>
  <c r="Q170" i="63"/>
  <c r="T169" i="63"/>
  <c r="S169" i="63"/>
  <c r="R169" i="63"/>
  <c r="P171" i="32"/>
  <c r="Q170" i="32"/>
  <c r="S169" i="32"/>
  <c r="R169" i="32"/>
  <c r="T169" i="32"/>
  <c r="R170" i="32" l="1"/>
  <c r="T170" i="32"/>
  <c r="S170" i="32"/>
  <c r="P172" i="32"/>
  <c r="Q171" i="32"/>
  <c r="T170" i="63"/>
  <c r="S170" i="63"/>
  <c r="R170" i="63"/>
  <c r="P172" i="63"/>
  <c r="Q171" i="63"/>
  <c r="S171" i="63" l="1"/>
  <c r="T171" i="63"/>
  <c r="R171" i="63"/>
  <c r="P173" i="63"/>
  <c r="Q172" i="63"/>
  <c r="R171" i="32"/>
  <c r="T171" i="32"/>
  <c r="S171" i="32"/>
  <c r="P173" i="32"/>
  <c r="Q172" i="32"/>
  <c r="T172" i="32" l="1"/>
  <c r="S172" i="32"/>
  <c r="R172" i="32"/>
  <c r="P174" i="32"/>
  <c r="Q173" i="32"/>
  <c r="T172" i="63"/>
  <c r="S172" i="63"/>
  <c r="R172" i="63"/>
  <c r="P174" i="63"/>
  <c r="Q173" i="63"/>
  <c r="S173" i="63" l="1"/>
  <c r="T173" i="63"/>
  <c r="R173" i="63"/>
  <c r="T173" i="32"/>
  <c r="S173" i="32"/>
  <c r="R173" i="32"/>
  <c r="Q174" i="63"/>
  <c r="P175" i="63"/>
  <c r="Q174" i="32"/>
  <c r="P175" i="32"/>
  <c r="P176" i="32" l="1"/>
  <c r="Q175" i="32"/>
  <c r="T174" i="32"/>
  <c r="S174" i="32"/>
  <c r="R174" i="32"/>
  <c r="Q175" i="63"/>
  <c r="P176" i="63"/>
  <c r="T174" i="63"/>
  <c r="S174" i="63"/>
  <c r="R174" i="63"/>
  <c r="P177" i="63" l="1"/>
  <c r="Q176" i="63"/>
  <c r="S175" i="63"/>
  <c r="T175" i="63"/>
  <c r="R175" i="63"/>
  <c r="T175" i="32"/>
  <c r="S175" i="32"/>
  <c r="R175" i="32"/>
  <c r="P177" i="32"/>
  <c r="Q176" i="32"/>
  <c r="Q177" i="32" l="1"/>
  <c r="P178" i="32"/>
  <c r="T176" i="32"/>
  <c r="S176" i="32"/>
  <c r="R176" i="32"/>
  <c r="S176" i="63"/>
  <c r="T176" i="63"/>
  <c r="R176" i="63"/>
  <c r="P178" i="63"/>
  <c r="Q177" i="63"/>
  <c r="S177" i="63" l="1"/>
  <c r="T177" i="63"/>
  <c r="R177" i="63"/>
  <c r="P179" i="63"/>
  <c r="Q178" i="63"/>
  <c r="Q178" i="32"/>
  <c r="P179" i="32"/>
  <c r="R177" i="32"/>
  <c r="S177" i="32"/>
  <c r="T177" i="32"/>
  <c r="Q179" i="32" l="1"/>
  <c r="P180" i="32"/>
  <c r="T178" i="32"/>
  <c r="S178" i="32"/>
  <c r="R178" i="32"/>
  <c r="R178" i="63"/>
  <c r="T178" i="63"/>
  <c r="S178" i="63"/>
  <c r="P180" i="63"/>
  <c r="Q179" i="63"/>
  <c r="T179" i="63" l="1"/>
  <c r="S179" i="63"/>
  <c r="R179" i="63"/>
  <c r="P181" i="63"/>
  <c r="Q180" i="63"/>
  <c r="P181" i="32"/>
  <c r="Q180" i="32"/>
  <c r="S179" i="32"/>
  <c r="T179" i="32"/>
  <c r="R179" i="32"/>
  <c r="S180" i="32" l="1"/>
  <c r="T180" i="32"/>
  <c r="R180" i="32"/>
  <c r="P182" i="32"/>
  <c r="Q181" i="32"/>
  <c r="R180" i="63"/>
  <c r="T180" i="63"/>
  <c r="S180" i="63"/>
  <c r="Q181" i="63"/>
  <c r="P182" i="63"/>
  <c r="P183" i="63" l="1"/>
  <c r="Q182" i="63"/>
  <c r="R181" i="63"/>
  <c r="T181" i="63"/>
  <c r="S181" i="63"/>
  <c r="T181" i="32"/>
  <c r="S181" i="32"/>
  <c r="R181" i="32"/>
  <c r="Q182" i="32"/>
  <c r="P183" i="32"/>
  <c r="P184" i="32" l="1"/>
  <c r="Q183" i="32"/>
  <c r="R182" i="32"/>
  <c r="S182" i="32"/>
  <c r="T182" i="32"/>
  <c r="R182" i="63"/>
  <c r="T182" i="63"/>
  <c r="S182" i="63"/>
  <c r="Q183" i="63"/>
  <c r="P184" i="63"/>
  <c r="P185" i="63" l="1"/>
  <c r="Q184" i="63"/>
  <c r="R183" i="63"/>
  <c r="T183" i="63"/>
  <c r="S183" i="63"/>
  <c r="T183" i="32"/>
  <c r="S183" i="32"/>
  <c r="R183" i="32"/>
  <c r="P185" i="32"/>
  <c r="Q184" i="32"/>
  <c r="T184" i="32" l="1"/>
  <c r="S184" i="32"/>
  <c r="R184" i="32"/>
  <c r="P186" i="32"/>
  <c r="Q185" i="32"/>
  <c r="T184" i="63"/>
  <c r="S184" i="63"/>
  <c r="R184" i="63"/>
  <c r="Q185" i="63"/>
  <c r="P186" i="63"/>
  <c r="P187" i="63" l="1"/>
  <c r="Q186" i="63"/>
  <c r="T185" i="63"/>
  <c r="S185" i="63"/>
  <c r="R185" i="63"/>
  <c r="T185" i="32"/>
  <c r="S185" i="32"/>
  <c r="R185" i="32"/>
  <c r="P187" i="32"/>
  <c r="Q186" i="32"/>
  <c r="R186" i="32" l="1"/>
  <c r="T186" i="32"/>
  <c r="S186" i="32"/>
  <c r="Q187" i="32"/>
  <c r="P188" i="32"/>
  <c r="T186" i="63"/>
  <c r="S186" i="63"/>
  <c r="R186" i="63"/>
  <c r="Q187" i="63"/>
  <c r="P188" i="63"/>
  <c r="Q188" i="63" l="1"/>
  <c r="P189" i="63"/>
  <c r="T187" i="63"/>
  <c r="S187" i="63"/>
  <c r="R187" i="63"/>
  <c r="P189" i="32"/>
  <c r="Q188" i="32"/>
  <c r="R187" i="32"/>
  <c r="S187" i="32"/>
  <c r="T187" i="32"/>
  <c r="T188" i="32" l="1"/>
  <c r="S188" i="32"/>
  <c r="R188" i="32"/>
  <c r="P190" i="32"/>
  <c r="Q189" i="32"/>
  <c r="P190" i="63"/>
  <c r="Q189" i="63"/>
  <c r="T188" i="63"/>
  <c r="S188" i="63"/>
  <c r="R188" i="63"/>
  <c r="T189" i="63" l="1"/>
  <c r="S189" i="63"/>
  <c r="R189" i="63"/>
  <c r="Q190" i="63"/>
  <c r="P191" i="63"/>
  <c r="T189" i="32"/>
  <c r="S189" i="32"/>
  <c r="R189" i="32"/>
  <c r="P191" i="32"/>
  <c r="Q190" i="32"/>
  <c r="T190" i="32" l="1"/>
  <c r="S190" i="32"/>
  <c r="R190" i="32"/>
  <c r="P192" i="32"/>
  <c r="Q191" i="32"/>
  <c r="P192" i="63"/>
  <c r="Q191" i="63"/>
  <c r="T190" i="63"/>
  <c r="R190" i="63"/>
  <c r="S190" i="63"/>
  <c r="T191" i="63" l="1"/>
  <c r="S191" i="63"/>
  <c r="R191" i="63"/>
  <c r="P193" i="63"/>
  <c r="Q192" i="63"/>
  <c r="T191" i="32"/>
  <c r="S191" i="32"/>
  <c r="R191" i="32"/>
  <c r="Q192" i="32"/>
  <c r="P193" i="32"/>
  <c r="Q193" i="32" l="1"/>
  <c r="P194" i="32"/>
  <c r="Q193" i="63"/>
  <c r="P194" i="63"/>
  <c r="T192" i="32"/>
  <c r="S192" i="32"/>
  <c r="R192" i="32"/>
  <c r="S192" i="63"/>
  <c r="T192" i="63"/>
  <c r="R192" i="63"/>
  <c r="P195" i="63" l="1"/>
  <c r="Q194" i="63"/>
  <c r="R193" i="63"/>
  <c r="T193" i="63"/>
  <c r="S193" i="63"/>
  <c r="Q194" i="32"/>
  <c r="P195" i="32"/>
  <c r="T193" i="32"/>
  <c r="S193" i="32"/>
  <c r="R193" i="32"/>
  <c r="Q195" i="32" l="1"/>
  <c r="P196" i="32"/>
  <c r="T194" i="32"/>
  <c r="S194" i="32"/>
  <c r="R194" i="32"/>
  <c r="S194" i="63"/>
  <c r="T194" i="63"/>
  <c r="R194" i="63"/>
  <c r="P196" i="63"/>
  <c r="Q195" i="63"/>
  <c r="P197" i="63" l="1"/>
  <c r="Q196" i="63"/>
  <c r="P197" i="32"/>
  <c r="Q196" i="32"/>
  <c r="S195" i="63"/>
  <c r="T195" i="63"/>
  <c r="R195" i="63"/>
  <c r="S195" i="32"/>
  <c r="R195" i="32"/>
  <c r="T195" i="32"/>
  <c r="S196" i="32" l="1"/>
  <c r="T196" i="32"/>
  <c r="R196" i="32"/>
  <c r="Q197" i="32"/>
  <c r="P198" i="32"/>
  <c r="T196" i="63"/>
  <c r="S196" i="63"/>
  <c r="R196" i="63"/>
  <c r="P198" i="63"/>
  <c r="Q197" i="63"/>
  <c r="S197" i="63" l="1"/>
  <c r="T197" i="63"/>
  <c r="R197" i="63"/>
  <c r="P199" i="63"/>
  <c r="Q198" i="63"/>
  <c r="P199" i="32"/>
  <c r="Q198" i="32"/>
  <c r="T197" i="32"/>
  <c r="S197" i="32"/>
  <c r="R197" i="32"/>
  <c r="T198" i="32" l="1"/>
  <c r="S198" i="32"/>
  <c r="R198" i="32"/>
  <c r="P200" i="32"/>
  <c r="Q199" i="32"/>
  <c r="T198" i="63"/>
  <c r="S198" i="63"/>
  <c r="R198" i="63"/>
  <c r="P200" i="63"/>
  <c r="Q199" i="63"/>
  <c r="R199" i="63" l="1"/>
  <c r="S199" i="63"/>
  <c r="T199" i="63"/>
  <c r="P201" i="63"/>
  <c r="Q201" i="63" s="1"/>
  <c r="Q200" i="63"/>
  <c r="T199" i="32"/>
  <c r="S199" i="32"/>
  <c r="R199" i="32"/>
  <c r="P201" i="32"/>
  <c r="Q201" i="32" s="1"/>
  <c r="Q200" i="32"/>
  <c r="T200" i="32" l="1"/>
  <c r="R200" i="32"/>
  <c r="S200" i="32"/>
  <c r="T201" i="32"/>
  <c r="S201" i="32"/>
  <c r="R201" i="32"/>
  <c r="R200" i="63"/>
  <c r="T200" i="63"/>
  <c r="S200" i="63"/>
  <c r="T201" i="63"/>
  <c r="S201" i="63"/>
  <c r="R201" i="63"/>
  <c r="E9" i="32" l="1"/>
  <c r="H7" i="32" s="1"/>
  <c r="E13" i="32" s="1"/>
  <c r="B21" i="32" s="1"/>
  <c r="D21" i="32" s="1"/>
  <c r="E10" i="32"/>
  <c r="H10" i="32" s="1"/>
  <c r="E10" i="63"/>
  <c r="H29" i="33" s="1"/>
  <c r="E9" i="63"/>
  <c r="H28" i="33" s="1"/>
  <c r="E8" i="63"/>
  <c r="H30" i="33" s="1"/>
  <c r="E11" i="63"/>
  <c r="E12" i="63" s="1"/>
  <c r="H21" i="33" s="1"/>
  <c r="E8" i="32"/>
  <c r="E11" i="32"/>
  <c r="E12" i="32" s="1"/>
  <c r="B16" i="32" s="1"/>
  <c r="H9" i="32" l="1"/>
  <c r="E14" i="32" s="1"/>
  <c r="B22" i="32" s="1"/>
  <c r="D22" i="32" s="1"/>
  <c r="B209" i="32" s="1"/>
  <c r="B211" i="32" s="1"/>
  <c r="H8" i="32"/>
  <c r="H9" i="63"/>
  <c r="E14" i="63" s="1"/>
  <c r="B22" i="63" s="1"/>
  <c r="D22" i="63" s="1"/>
  <c r="D20" i="33" s="1"/>
  <c r="H10" i="63"/>
  <c r="H7" i="63"/>
  <c r="E13" i="63" s="1"/>
  <c r="B21" i="63" s="1"/>
  <c r="D21" i="63" s="1"/>
  <c r="D19" i="33" s="1"/>
  <c r="H8" i="63"/>
  <c r="B20" i="33"/>
  <c r="B19" i="33"/>
  <c r="D27" i="32" l="1"/>
  <c r="D28" i="32" s="1"/>
  <c r="D31" i="32"/>
  <c r="B209" i="63"/>
  <c r="B211" i="63" s="1"/>
  <c r="D31" i="63"/>
  <c r="D27" i="63"/>
  <c r="D28" i="63" s="1"/>
  <c r="D36" i="33"/>
  <c r="B58" i="33"/>
  <c r="B61" i="33" s="1"/>
  <c r="C30" i="42"/>
  <c r="B217" i="32"/>
  <c r="B217" i="63" l="1"/>
  <c r="B67" i="33"/>
  <c r="D37" i="33"/>
  <c r="C31" i="42"/>
  <c r="B206" i="32"/>
  <c r="B205" i="32"/>
  <c r="D34" i="32" s="1"/>
  <c r="B206" i="63" l="1"/>
  <c r="B205" i="63"/>
  <c r="D34" i="63"/>
  <c r="B76" i="33"/>
  <c r="B77" i="33"/>
  <c r="B55" i="33"/>
  <c r="D35" i="32"/>
  <c r="D30" i="42"/>
  <c r="D36" i="32"/>
  <c r="D35" i="63" l="1"/>
  <c r="B220" i="63" s="1"/>
  <c r="B221" i="63" s="1"/>
  <c r="B222" i="63" s="1"/>
  <c r="D36" i="63"/>
  <c r="B78" i="33"/>
  <c r="D48" i="33"/>
  <c r="E30" i="42"/>
  <c r="B220" i="32"/>
  <c r="B221" i="32" s="1"/>
  <c r="B222" i="32" s="1"/>
  <c r="F30" i="42" s="1"/>
  <c r="D31" i="42" l="1"/>
  <c r="E31" i="42"/>
  <c r="B70" i="33"/>
  <c r="B71" i="33" s="1"/>
  <c r="B72" i="33" s="1"/>
  <c r="F31" i="4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มด</author>
  </authors>
  <commentList>
    <comment ref="C30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อลูฐาน 4770 = เมืองทอง(ราง/กล่อง) 2990 + SMS(เฟรม) 1780
สูตร live คูณ 2 ตัวคูณแยกกัน → แม่นเมื่อ SMS หรือ เมืองทอง ขึ้นราคา</t>
        </r>
      </text>
    </comment>
  </commentList>
</comments>
</file>

<file path=xl/sharedStrings.xml><?xml version="1.0" encoding="utf-8"?>
<sst xmlns="http://schemas.openxmlformats.org/spreadsheetml/2006/main" count="8704" uniqueCount="3266">
  <si>
    <t>คิดทุน ยูโร</t>
  </si>
  <si>
    <t>คิดทุน SlimLux</t>
  </si>
  <si>
    <t>คิดทุน บานยก</t>
  </si>
  <si>
    <t>คิดทุน เฟี้ยมยูโร</t>
  </si>
  <si>
    <t>คิดทุน บานระแนงเลื่อน</t>
  </si>
  <si>
    <t>2</t>
  </si>
  <si>
    <t>คิดทุน เฟี้ยม</t>
  </si>
  <si>
    <t>—</t>
  </si>
  <si>
    <t>ชีทนี้ไม่มีค่าแรงผลิต (บานสำเร็จ)</t>
  </si>
  <si>
    <t>📑 สารบัญ — กดลิงก์กระโดดไปหน้าที่ต้องการ</t>
  </si>
  <si>
    <t>▶ อัปเดตราคาอลู</t>
  </si>
  <si>
    <t>ราคาอลู/กก. ทุกแบรนด์ + ค่าอบสี ★</t>
  </si>
  <si>
    <t>▶ ราคาสี</t>
  </si>
  <si>
    <t>▶ ราคาออโต้</t>
  </si>
  <si>
    <t>▶ ราคามุ้ง</t>
  </si>
  <si>
    <t>มุ้งซื้อสำเร็จ + ค่าแรงติดตั้ง</t>
  </si>
  <si>
    <t>▶ ค่าแรง</t>
  </si>
  <si>
    <t>▶ น้ำหนักโปรไฟล์</t>
  </si>
  <si>
    <t>น้ำหนัก กก./เส้น ทุกโปรไฟล์</t>
  </si>
  <si>
    <t>📊 สรุป / ภาพรวม</t>
  </si>
  <si>
    <t>▶ หน้าตารางรวม</t>
  </si>
  <si>
    <t>▶ สรุปงานเสริม</t>
  </si>
  <si>
    <t>▶ สรุปค่าแรง</t>
  </si>
  <si>
    <t>▶ SMS</t>
  </si>
  <si>
    <t>▶ ยูโร</t>
  </si>
  <si>
    <t>▶ SlimLux</t>
  </si>
  <si>
    <t>▶ Velora</t>
  </si>
  <si>
    <t>▶ E-series</t>
  </si>
  <si>
    <t>▶ บานเปิด</t>
  </si>
  <si>
    <t>▶ PC Door</t>
  </si>
  <si>
    <t>▶ กระทุ้ง</t>
  </si>
  <si>
    <t>▶ บานยก</t>
  </si>
  <si>
    <t>▶ เฟี้ยม</t>
  </si>
  <si>
    <t>▶ เฟี้ยมยูโร</t>
  </si>
  <si>
    <t>▶ ติดตาย</t>
  </si>
  <si>
    <t>▶ บานเลื่อนรางบน</t>
  </si>
  <si>
    <t>🌀 คิดทุน — ดัดโค้ง</t>
  </si>
  <si>
    <t>▶ ตายดัดโค้ง</t>
  </si>
  <si>
    <t>▶ เปิดดัดโค้ง</t>
  </si>
  <si>
    <t>▦ คิดทุน — ระแนง / ประตูรั้ว</t>
  </si>
  <si>
    <t>▶ ระแนง</t>
  </si>
  <si>
    <t>▶ ระแนงสลับ</t>
  </si>
  <si>
    <t>▶ ระแนงสลับ_ประตู</t>
  </si>
  <si>
    <t>▶ ประตูรั้ว</t>
  </si>
  <si>
    <t>▶ บานเกล็ด</t>
  </si>
  <si>
    <t>▶ ระแนงหมุน</t>
  </si>
  <si>
    <t>🏠 คิดทุน — หลังคา</t>
  </si>
  <si>
    <t>▶ หลังคา (รวม)</t>
  </si>
  <si>
    <t>▶ หลังคา</t>
  </si>
  <si>
    <t>▶ ฝ้ายิปซัม</t>
  </si>
  <si>
    <t>▶ สมาร์ทบอร์ด</t>
  </si>
  <si>
    <t>▶ ไอโซวอล</t>
  </si>
  <si>
    <t>▶ งานไฟ</t>
  </si>
  <si>
    <t>▶ ฝ้าไม้เทียม</t>
  </si>
  <si>
    <t>▶ สีฝ้าไม้เทียม</t>
  </si>
  <si>
    <t>▶ เช็กขนาดกระจก</t>
  </si>
  <si>
    <t>▶ บานหมุน</t>
  </si>
  <si>
    <t>▶ บานโซลิด</t>
  </si>
  <si>
    <t>▶ บานระแนงเลื่อน</t>
  </si>
  <si>
    <t>▶ เฟี้ยมยก</t>
  </si>
  <si>
    <t>บานเฟี้ยมยก</t>
  </si>
  <si>
    <t>▶ บานเปลือย</t>
  </si>
  <si>
    <t>▶ ชุด Shower</t>
  </si>
  <si>
    <t>▶ บานตู้ Futuretech</t>
  </si>
  <si>
    <t>บานตู้ Futuretech</t>
  </si>
  <si>
    <t>▶ ราวกันตก</t>
  </si>
  <si>
    <t>▶ สมาร์ทบอร์ดพื้น</t>
  </si>
  <si>
    <t>⚠️ แก้ราคาที่นี่ → 📈 อัปเดตราคาวัสดุ — กรอก "ราคา/กก. ตอนนี้" ทับเมื่อราคาขึ้น (วิธีที่ 1)</t>
  </si>
  <si>
    <t>🏠 สารบัญ</t>
  </si>
  <si>
    <t>แบรนด์</t>
  </si>
  <si>
    <t>ราคาอลู/กก. ตอนนี้</t>
  </si>
  <si>
    <t>ตัวคูณ</t>
  </si>
  <si>
    <t>ครอบคลุมบาน</t>
  </si>
  <si>
    <t>ตั้งต้น (ล็อก-อย่าแก้)</t>
  </si>
  <si>
    <t>SMS</t>
  </si>
  <si>
    <t>ยูโรฟูจิ</t>
  </si>
  <si>
    <t>SlimLux</t>
  </si>
  <si>
    <t>Velora</t>
  </si>
  <si>
    <t>เมืองทอง (กล่อง/ฉาก/Z)</t>
  </si>
  <si>
    <t>วิธีใช้: ร้านอลูขึ้นราคา → พิมพ์ราคา/กก. ใหม่ทับช่อง B (เช่น เมืองทอง 188→196) → ทุกโปรไฟล์แบรนด์นั้นขยับ % เท่ากันอัตโนมัติ</t>
  </si>
  <si>
    <t>ค่าอบสี / ลายไม้ — ราคา บาท/กก. (กรอกทับเมื่อขึ้น · ชุดเดียวทุกแบรนด์)</t>
  </si>
  <si>
    <t>เทาซาฮาร่า</t>
  </si>
  <si>
    <t>ค่าอบเทา 100/กก. (ไม่มีค่าล้างสี)</t>
  </si>
  <si>
    <t>สีอบพิเศษ</t>
  </si>
  <si>
    <t>138 ค่าอบ + 35 ค่าล้างสี (พี่นัทเคาะ 18 มิ.ย.)</t>
  </si>
  <si>
    <t>สีลายไม้อบพิเศษ</t>
  </si>
  <si>
    <t>155 ค่าอบ + 35 ค่าล้างสี (พี่นัทเคาะ 18 มิ.ย.)</t>
  </si>
  <si>
    <t>ลายไม้ stock</t>
  </si>
  <si>
    <t>factor กล่องเมืองทอง · SMS/ยูโร ลายไม้=ราคาตรงต่อเส้น</t>
  </si>
  <si>
    <t>ค่าชุบเหมา (อโนไดซ์)</t>
  </si>
  <si>
    <t>บาท/กก. · บวกบนราคาขาว-ดำ · แก้ที่เดียว</t>
  </si>
  <si>
    <t>── ตัวคูณลายไม้สต็อค (เส้น SMS/ยูโร) — แยกจากเนื้ออลู ──</t>
  </si>
  <si>
    <t>ลายไม้สต็อค บาท/กก.</t>
  </si>
  <si>
    <t>ตอนนี้ 277 (ของจริง) ÷ ตั้งต้น 258 (ที่ฝังไว้) = ตัวคูณลายไม้</t>
  </si>
  <si>
    <t>เผื่อเศษอลู (× ตัดเท่าไหร่คิดเท่านั้น)</t>
  </si>
  <si>
    <t>แก้ที่เดียว · 1.30 = เผื่อเศษ 30%</t>
  </si>
  <si>
    <t>⚠️ แก้ราคาที่นี่ → ราคาสี/เส้น (จาก Stock.xlsx · ลายไม้เอา max กับที่น้องพิมพ์) — อบพิเศษ/ลายไม้พิเศษ คิดสูตร base+ค่าอบ×นน. · เพิ่มเมืองทอง/SlimLux/Velora/E-series (ราคาประเมิน นน×เรต+ค่าอบ)</t>
  </si>
  <si>
    <t>รหัส</t>
  </si>
  <si>
    <t>ชื่อ</t>
  </si>
  <si>
    <t>ระบบ</t>
  </si>
  <si>
    <t>ขาว/ดำ</t>
  </si>
  <si>
    <t>ดำซาฮาร่า</t>
  </si>
  <si>
    <t>แอทแทคเกรย์</t>
  </si>
  <si>
    <t>ลายไม้สต็อค</t>
  </si>
  <si>
    <t>ลายไม้
มะฮอกกานี</t>
  </si>
  <si>
    <t>ลายไม้
ไวท์โอ๊ค</t>
  </si>
  <si>
    <t>B20001</t>
  </si>
  <si>
    <t>เฟรมบนบานเลื่อน</t>
  </si>
  <si>
    <t>อลูมิเนียม sms</t>
  </si>
  <si>
    <t>B20002</t>
  </si>
  <si>
    <t>เฟรมล่างบานเลื่อน</t>
  </si>
  <si>
    <t>B20003</t>
  </si>
  <si>
    <t>เฟรมข้างบานเลื่อน</t>
  </si>
  <si>
    <t>B20004</t>
  </si>
  <si>
    <t>เฟรมบนเสริมร่องกระจก</t>
  </si>
  <si>
    <t>B20007</t>
  </si>
  <si>
    <t>เสากุญแจ (ตูดตัน)</t>
  </si>
  <si>
    <t>B20008</t>
  </si>
  <si>
    <t>เสากุญแจแบบรับแรง</t>
  </si>
  <si>
    <t>B20009</t>
  </si>
  <si>
    <t>เสาเกี่ยว (ธรรมดา)</t>
  </si>
  <si>
    <t>B20010</t>
  </si>
  <si>
    <t>เสาเกี่ยวนอก (สูง 2.4 m)</t>
  </si>
  <si>
    <t>B20019</t>
  </si>
  <si>
    <t>ฝาปิดเฟรมข้าง</t>
  </si>
  <si>
    <t>B20024</t>
  </si>
  <si>
    <t>คิ้วกันตก</t>
  </si>
  <si>
    <t>B20041</t>
  </si>
  <si>
    <t>เฟรมบานเลื่อน (3รางเสียบ)</t>
  </si>
  <si>
    <t>B20048</t>
  </si>
  <si>
    <t>ตัวตบรางมุ้ง</t>
  </si>
  <si>
    <t>B20046</t>
  </si>
  <si>
    <t>ตัวต่อมัลติพ้อยท์ล็อค (ชนกลางบานเลื่อน)</t>
  </si>
  <si>
    <t>B20047</t>
  </si>
  <si>
    <t>เฟรมล่างบานเลื่อนภายใน 3 รางเสียบภายใน</t>
  </si>
  <si>
    <t>B20050</t>
  </si>
  <si>
    <t>ฝาตบปิดรางภายใน</t>
  </si>
  <si>
    <t>B20051</t>
  </si>
  <si>
    <t>กรอบบานมัลติพ้อยท์ล็อค</t>
  </si>
  <si>
    <t>B20053</t>
  </si>
  <si>
    <t>กรอบบานมัลติพ้อยท์ล็อคร่องปกติมีมือจับ</t>
  </si>
  <si>
    <t>B20054</t>
  </si>
  <si>
    <t>ขวางล่างใส่ล้อตลับขวางบน/ขวางล่าง</t>
  </si>
  <si>
    <t>B22001</t>
  </si>
  <si>
    <t>เฟรมบนบานเลื่อน 45 มม.</t>
  </si>
  <si>
    <t>B22002</t>
  </si>
  <si>
    <t>เฟรมข้างบานเลื่อน 45 มม.</t>
  </si>
  <si>
    <t>B22004</t>
  </si>
  <si>
    <t>คิ้วรางข้างตบร่อง</t>
  </si>
  <si>
    <t>B24001</t>
  </si>
  <si>
    <t>เฟรมบนบานเฟี้ยม</t>
  </si>
  <si>
    <t>B24002</t>
  </si>
  <si>
    <t>คิ้วเฟรมบน</t>
  </si>
  <si>
    <t>B24003</t>
  </si>
  <si>
    <t>เฟรมล่างบานเฟี้ยม</t>
  </si>
  <si>
    <t>B24004</t>
  </si>
  <si>
    <t>ตบธรณี</t>
  </si>
  <si>
    <t>B24005</t>
  </si>
  <si>
    <t>เฟรมข้างบานเฟี้ยม</t>
  </si>
  <si>
    <t>B24006</t>
  </si>
  <si>
    <t>คิ้วเฟรมข้างประตู</t>
  </si>
  <si>
    <t>B24007</t>
  </si>
  <si>
    <t>เสาบานเฟี้ยม</t>
  </si>
  <si>
    <t>B24008</t>
  </si>
  <si>
    <t>คิ้วตบกระจก 5-6 มม.</t>
  </si>
  <si>
    <t>B24009</t>
  </si>
  <si>
    <t>บังใบเสาประตูบานเฟี้ยม</t>
  </si>
  <si>
    <t>B24017</t>
  </si>
  <si>
    <t>รางยู sms</t>
  </si>
  <si>
    <t>B24018</t>
  </si>
  <si>
    <t>รางบานเฟี้ยมภายใน sms</t>
  </si>
  <si>
    <t>B30006</t>
  </si>
  <si>
    <t>กรอบมุ้ง</t>
  </si>
  <si>
    <t>F7976</t>
  </si>
  <si>
    <t>เฟรมบน-ล่างบานเลื่อน 3 ราง</t>
  </si>
  <si>
    <t>อลูมิเนียม Fuji</t>
  </si>
  <si>
    <t>F7869</t>
  </si>
  <si>
    <t>เฟรมบน-ล่างบานเลื่อน 3 ราง (ตัวหนา)</t>
  </si>
  <si>
    <t>F7977</t>
  </si>
  <si>
    <t>เฟรมบน-ล่างบานเลื่อน 2 ราง</t>
  </si>
  <si>
    <t>F7990</t>
  </si>
  <si>
    <t>ต่อเฟรมบน-ล่างบานเลื่อน</t>
  </si>
  <si>
    <t>F7902</t>
  </si>
  <si>
    <t>เฟรมล่างบานเลื่อน 3 ราง (ตัวเตี้ย)</t>
  </si>
  <si>
    <t>F7978</t>
  </si>
  <si>
    <t>เฟรมข้างบานเลื่อน 3 ราง</t>
  </si>
  <si>
    <t>F7870</t>
  </si>
  <si>
    <t>เฟรมข้างบานเลื่อน 3 ราง (ตัวหนา)</t>
  </si>
  <si>
    <t>F7979</t>
  </si>
  <si>
    <t>เฟรมข้างบานเลื่อน 2 ราง</t>
  </si>
  <si>
    <t>F7986</t>
  </si>
  <si>
    <t>ตบรับล็อกเฟรมข้าง</t>
  </si>
  <si>
    <t>F7989</t>
  </si>
  <si>
    <t>กล่องต่อเฟรมข้างบานเลื่อน</t>
  </si>
  <si>
    <t>F7867</t>
  </si>
  <si>
    <t>กรอบบานเลื่อน ประตู (ตัวบาง)</t>
  </si>
  <si>
    <t>F7980</t>
  </si>
  <si>
    <t>กรอบบานเลื่อนประตู</t>
  </si>
  <si>
    <t>F7981</t>
  </si>
  <si>
    <t>กรอบบานเลื่อนหน้าต่าง</t>
  </si>
  <si>
    <t>F7991</t>
  </si>
  <si>
    <t>ตบธรณีบานเลื่อน</t>
  </si>
  <si>
    <t>F7992</t>
  </si>
  <si>
    <t>ตบฝังเฟรมบานเลื่อน</t>
  </si>
  <si>
    <t>F7982</t>
  </si>
  <si>
    <t>ตบเกี่ยวทางเดียว หน้าต่าง</t>
  </si>
  <si>
    <t>F7983</t>
  </si>
  <si>
    <t>ตบเกี่ยวทางเดียว ประตู</t>
  </si>
  <si>
    <t>F7984</t>
  </si>
  <si>
    <t>ตบเกี่ยวสองทาง หน้าต่าง</t>
  </si>
  <si>
    <t>F7985</t>
  </si>
  <si>
    <t>ตบเกี่ยวสองทาง ประตู</t>
  </si>
  <si>
    <t>F7966</t>
  </si>
  <si>
    <t>แบ่งบานมุ้งบานเลื่อน</t>
  </si>
  <si>
    <t>F7925</t>
  </si>
  <si>
    <t>ต่อชนกลาง</t>
  </si>
  <si>
    <t>F7855</t>
  </si>
  <si>
    <t>ชนกลางบานเลื่อนรับแรง</t>
  </si>
  <si>
    <t>F7951</t>
  </si>
  <si>
    <t>เสารับแรงบานเลื่อน</t>
  </si>
  <si>
    <t>F7857</t>
  </si>
  <si>
    <t>อแดปเตอร์บานเลือนดิจิตอล</t>
  </si>
  <si>
    <t>F7918</t>
  </si>
  <si>
    <t>เสาต่อหักมุม 90</t>
  </si>
  <si>
    <t>F7993</t>
  </si>
  <si>
    <t>ตบปิดร่องรางเลื่อน</t>
  </si>
  <si>
    <t>F7988</t>
  </si>
  <si>
    <t>ตบปิดร่อง</t>
  </si>
  <si>
    <t>F7994</t>
  </si>
  <si>
    <t>เส้นรางเลื่อน</t>
  </si>
  <si>
    <t>F7987</t>
  </si>
  <si>
    <t>คิ้วมุ้งบานเลื่อน</t>
  </si>
  <si>
    <t>F7996</t>
  </si>
  <si>
    <t>คิ้วลอยช่องแสง</t>
  </si>
  <si>
    <t>F7919</t>
  </si>
  <si>
    <t>คิ้วกรอบบาน</t>
  </si>
  <si>
    <t>F7917</t>
  </si>
  <si>
    <t>F7950</t>
  </si>
  <si>
    <t>F7952</t>
  </si>
  <si>
    <t>แผ่นยึดเฟรมล่าง</t>
  </si>
  <si>
    <t>F7879</t>
  </si>
  <si>
    <t>ตบธรณีเรียบตัวกลาง</t>
  </si>
  <si>
    <t>F7880</t>
  </si>
  <si>
    <t>ตบธรณีเรียบตัวริม</t>
  </si>
  <si>
    <t>F7859</t>
  </si>
  <si>
    <t>เฟรมบานกระทุ้ง ไม่มีรูระบายน้ำ</t>
  </si>
  <si>
    <t>F7858</t>
  </si>
  <si>
    <t>เฟรมบานตายคิ้วไม่มีรูระบายน้ำ</t>
  </si>
  <si>
    <t>F7937</t>
  </si>
  <si>
    <t>เฟรมบานตายคิ้วใน</t>
  </si>
  <si>
    <t>F7871</t>
  </si>
  <si>
    <t>เฟรมบานตายคิ้วใน (ตัวหนา)</t>
  </si>
  <si>
    <t>F7939B</t>
  </si>
  <si>
    <t>เฟรมบานกระทุ้ง</t>
  </si>
  <si>
    <t>F7938B</t>
  </si>
  <si>
    <t>เฟรมบานกระทุ้ง (ติดมุ้ง)</t>
  </si>
  <si>
    <t>F7861</t>
  </si>
  <si>
    <t>ตบเฟรมแบ่งบาน</t>
  </si>
  <si>
    <t>F7944B</t>
  </si>
  <si>
    <t>กรอบมุ้ง-มุ้งนิรภัย</t>
  </si>
  <si>
    <t>F7958B</t>
  </si>
  <si>
    <t>รับล็อคปิดกลางบานมุ้ง</t>
  </si>
  <si>
    <t>F7998</t>
  </si>
  <si>
    <t>กล่องก้านบานตายคิ้วใน</t>
  </si>
  <si>
    <t>F7940B</t>
  </si>
  <si>
    <t>กล่องก้านคิ้วนิก</t>
  </si>
  <si>
    <t>F7868</t>
  </si>
  <si>
    <t>กล่องก้าน 2 ทางคิ้วนอก (ติดมุ้ง)</t>
  </si>
  <si>
    <t>F7997</t>
  </si>
  <si>
    <t>กล่องก้านสลับ</t>
  </si>
  <si>
    <t>F7854</t>
  </si>
  <si>
    <t>เฟรมแบ่งบานคิ้วนอก</t>
  </si>
  <si>
    <t>F7852</t>
  </si>
  <si>
    <t>ตบเฟรมแบ่งบานคิ้วใน</t>
  </si>
  <si>
    <t>F7999</t>
  </si>
  <si>
    <t>เฟรมแบ่งบานคิ้วใน</t>
  </si>
  <si>
    <t>F7942</t>
  </si>
  <si>
    <t>ตบเฟรมแบ่งบานคิ้วนอก</t>
  </si>
  <si>
    <t>F7943B</t>
  </si>
  <si>
    <t>กรอบบานกระทุ้ง</t>
  </si>
  <si>
    <t>F7945C</t>
  </si>
  <si>
    <t>เสารับล็อกเปิดกลาง</t>
  </si>
  <si>
    <t>F7960</t>
  </si>
  <si>
    <t>F7959</t>
  </si>
  <si>
    <t>กล่องค้ำบานมุ้ง</t>
  </si>
  <si>
    <t>F7865B</t>
  </si>
  <si>
    <t>แผงประตู</t>
  </si>
  <si>
    <t>F7965</t>
  </si>
  <si>
    <t>ลูกฟักแบ่งบาน</t>
  </si>
  <si>
    <t>F7946</t>
  </si>
  <si>
    <t>คิ้วตบในบานตาย</t>
  </si>
  <si>
    <t>F7947</t>
  </si>
  <si>
    <t>คิ้วตบนอกบานตาย</t>
  </si>
  <si>
    <t>F7968</t>
  </si>
  <si>
    <t>เฟรมบานเฟี้ยม</t>
  </si>
  <si>
    <t>F7969</t>
  </si>
  <si>
    <t>F7970</t>
  </si>
  <si>
    <t>F7972</t>
  </si>
  <si>
    <t>กรอบบานเฟี้ยม</t>
  </si>
  <si>
    <t>F7932</t>
  </si>
  <si>
    <t>รางยู</t>
  </si>
  <si>
    <t>F7962</t>
  </si>
  <si>
    <t>รับล็อกบานคู่ + บานคี่</t>
  </si>
  <si>
    <t>F7961</t>
  </si>
  <si>
    <t>รับล็อกเฟรมข้างบานคู่</t>
  </si>
  <si>
    <t>F7963</t>
  </si>
  <si>
    <t>รับล็อกเข้ามุมบานคู่</t>
  </si>
  <si>
    <t>F7964</t>
  </si>
  <si>
    <t>เสาเข้ามุม</t>
  </si>
  <si>
    <t>F7974</t>
  </si>
  <si>
    <t>ชนกลางบานคู่</t>
  </si>
  <si>
    <t>F7973</t>
  </si>
  <si>
    <t>ตบเรียบบานเฟี้ยม</t>
  </si>
  <si>
    <t>F7975</t>
  </si>
  <si>
    <t>บังใบสำหรับใส่กลอน</t>
  </si>
  <si>
    <t>705</t>
  </si>
  <si>
    <t>แป๊บ 6 หุน</t>
  </si>
  <si>
    <t>อลูมิเนียม เมืองทอง</t>
  </si>
  <si>
    <t>706</t>
  </si>
  <si>
    <t>709</t>
  </si>
  <si>
    <t>แป๊บ 1 นิ้ว</t>
  </si>
  <si>
    <t>710</t>
  </si>
  <si>
    <t>711</t>
  </si>
  <si>
    <t>715</t>
  </si>
  <si>
    <t>แป๊บ 1¼ นิ้ว</t>
  </si>
  <si>
    <t>718</t>
  </si>
  <si>
    <t>แป๊บ 1½ นิ้ว</t>
  </si>
  <si>
    <t>745</t>
  </si>
  <si>
    <t>724A</t>
  </si>
  <si>
    <t>แป๊บ 1¾ นิ้ว</t>
  </si>
  <si>
    <t>724B</t>
  </si>
  <si>
    <t>724F</t>
  </si>
  <si>
    <t>726A</t>
  </si>
  <si>
    <t>726F</t>
  </si>
  <si>
    <t>728</t>
  </si>
  <si>
    <t>แป๊บ 2 นิ้ว</t>
  </si>
  <si>
    <t>749</t>
  </si>
  <si>
    <t>802</t>
  </si>
  <si>
    <t>½×1 นิ้ว</t>
  </si>
  <si>
    <t>808</t>
  </si>
  <si>
    <t>1½×1 นิ้ว</t>
  </si>
  <si>
    <t>812</t>
  </si>
  <si>
    <t>1¾×1 นิ้ว</t>
  </si>
  <si>
    <t>0827</t>
  </si>
  <si>
    <t>1×2 นิ้ว</t>
  </si>
  <si>
    <t>816</t>
  </si>
  <si>
    <t>820</t>
  </si>
  <si>
    <t>1×3 นิ้ว</t>
  </si>
  <si>
    <t>843</t>
  </si>
  <si>
    <t>0828</t>
  </si>
  <si>
    <t>1¾×3 นิ้ว</t>
  </si>
  <si>
    <t>823</t>
  </si>
  <si>
    <t>848</t>
  </si>
  <si>
    <t>0806</t>
  </si>
  <si>
    <t>1×4 นิ้ว</t>
  </si>
  <si>
    <t>831</t>
  </si>
  <si>
    <t>0829</t>
  </si>
  <si>
    <t>1¾×4 นิ้ว</t>
  </si>
  <si>
    <t>874</t>
  </si>
  <si>
    <t>837A</t>
  </si>
  <si>
    <t>837B</t>
  </si>
  <si>
    <t>837F</t>
  </si>
  <si>
    <t>0821</t>
  </si>
  <si>
    <t>2×4 นิ้ว</t>
  </si>
  <si>
    <t>0815</t>
  </si>
  <si>
    <t>TRT-1419</t>
  </si>
  <si>
    <t>ตัว Z 4 นิ้ว</t>
  </si>
  <si>
    <t>-</t>
  </si>
  <si>
    <t>ประตูรั้ว/เสา-คาน</t>
  </si>
  <si>
    <t>ติดตาย</t>
  </si>
  <si>
    <t>จันทันหลังคา</t>
  </si>
  <si>
    <t>ฉาก 6 หุน</t>
  </si>
  <si>
    <t>Z-1.6</t>
  </si>
  <si>
    <t>ตัว Z 1.6 นิ้ว</t>
  </si>
  <si>
    <t>━ SlimLux ━</t>
  </si>
  <si>
    <t>WM-K01</t>
  </si>
  <si>
    <t>ไส้เสาบาน</t>
  </si>
  <si>
    <t>อลูมิเนียม SlimLux</t>
  </si>
  <si>
    <t>WM-K02</t>
  </si>
  <si>
    <t>ฝาเสาเรียบ</t>
  </si>
  <si>
    <t>WM-K03</t>
  </si>
  <si>
    <t>ฝาเสาเกี่ยว</t>
  </si>
  <si>
    <t>WM-K04</t>
  </si>
  <si>
    <t>ขวางบนล่าง</t>
  </si>
  <si>
    <t>รางบน 3 ราง</t>
  </si>
  <si>
    <t>WM-K15</t>
  </si>
  <si>
    <t>รางแขวน 1 ราง</t>
  </si>
  <si>
    <t>WM-K19</t>
  </si>
  <si>
    <t>ข้อต่อรางแขวน</t>
  </si>
  <si>
    <t>WM-K18</t>
  </si>
  <si>
    <t>ฝาปิดข้างรางแขวน</t>
  </si>
  <si>
    <t>WM-K20</t>
  </si>
  <si>
    <t>ฝาปิดล่างรางแขวน</t>
  </si>
  <si>
    <t>WM-K21A</t>
  </si>
  <si>
    <t>ฝาปิดล่างรางแขวนตัวใหญ่</t>
  </si>
  <si>
    <t>วงกบ</t>
  </si>
  <si>
    <t>ลูกฟูก</t>
  </si>
  <si>
    <t>ซัพวงกบใน</t>
  </si>
  <si>
    <t>ซัพวงกบนอก</t>
  </si>
  <si>
    <t>บาน</t>
  </si>
  <si>
    <t>━ Velora ━</t>
  </si>
  <si>
    <t>อลูมิเนียม Velora</t>
  </si>
  <si>
    <t>━ E-series ━</t>
  </si>
  <si>
    <t>E-01</t>
  </si>
  <si>
    <t>อลูมิเนียม E-series</t>
  </si>
  <si>
    <t>E-01A</t>
  </si>
  <si>
    <t>E-03</t>
  </si>
  <si>
    <t>E-03C</t>
  </si>
  <si>
    <t>E-05</t>
  </si>
  <si>
    <t>E-02B</t>
  </si>
  <si>
    <t>E-02C</t>
  </si>
  <si>
    <t>E-04P</t>
  </si>
  <si>
    <t>E-04GP</t>
  </si>
  <si>
    <t>E-07</t>
  </si>
  <si>
    <t>E-07A</t>
  </si>
  <si>
    <t>E-04E</t>
  </si>
  <si>
    <t>E-05E</t>
  </si>
  <si>
    <t>E-06E</t>
  </si>
  <si>
    <t>E-07E</t>
  </si>
  <si>
    <t>E-01L</t>
  </si>
  <si>
    <t>E-02L</t>
  </si>
  <si>
    <t>E-03L</t>
  </si>
  <si>
    <t>X-01</t>
  </si>
  <si>
    <t>X-02</t>
  </si>
  <si>
    <t>X-03</t>
  </si>
  <si>
    <t>X-J</t>
  </si>
  <si>
    <t>F7971</t>
  </si>
  <si>
    <t>คิ้วตบเฟรมข้าง</t>
  </si>
  <si>
    <t>F7935</t>
  </si>
  <si>
    <t>คิ้วกระจก 5-6 มิล</t>
  </si>
  <si>
    <t>เส้นคาดตาราง</t>
  </si>
  <si>
    <t>📈 บันทึกราคาขึ้น — ทุน @ บานมาตรฐาน 150×150 ซม (2.25 ตร.ม.)</t>
  </si>
  <si>
    <t>ทุก ครั้งที่อลู/กก. ขึ้น → มดเพิ่มคอลัมน์วันที่ใหม่ + %ขึ้น · ดูได้ว่าบานไหนขึ้นเท่าไหร่ + ตรวจว่าเพิ่มถูก (ทุน=วัสดุ อลู+กระจก+อุปกรณ์ ไม่รวมค่าแรง · อลูเท่านั้นที่ขึ้นตาม/กก.)</t>
  </si>
  <si>
    <t>① ประวัติเรตอลู (บาท/กก.)</t>
  </si>
  <si>
    <t>วันที่</t>
  </si>
  <si>
    <t>ยูโร/Fuji</t>
  </si>
  <si>
    <t>เมืองทอง</t>
  </si>
  <si>
    <t>② ทุน @150×150 ต่อบาน (บาท)</t>
  </si>
  <si>
    <t>config</t>
  </si>
  <si>
    <t>ทุนอลูฐาน</t>
  </si>
  <si>
    <t>กระจก+อุปกรณ์</t>
  </si>
  <si>
    <t>ทุนรวม ปัจจุบัน
(สูตร live)</t>
  </si>
  <si>
    <t>25/6/69
(บันทึก)</t>
  </si>
  <si>
    <t>%ขึ้น</t>
  </si>
  <si>
    <t>บานเลื่อน SMS</t>
  </si>
  <si>
    <t>2 บาน</t>
  </si>
  <si>
    <t>ฐาน</t>
  </si>
  <si>
    <t>บานเลื่อน ยูโร</t>
  </si>
  <si>
    <t>บานเลื่อน SlimLux</t>
  </si>
  <si>
    <t>บานเลื่อน Velora</t>
  </si>
  <si>
    <t>บานเลื่อน E-series</t>
  </si>
  <si>
    <t>บานเปิด (ยูโร)</t>
  </si>
  <si>
    <t>PC Door</t>
  </si>
  <si>
    <t>1 บาน</t>
  </si>
  <si>
    <t>บานกระทุ้ง</t>
  </si>
  <si>
    <t>บานยก</t>
  </si>
  <si>
    <t>บานเฟี้ยม</t>
  </si>
  <si>
    <t>4 บาน</t>
  </si>
  <si>
    <t>เฟี้ยมยูโร</t>
  </si>
  <si>
    <t>บานติดตาย</t>
  </si>
  <si>
    <t>ตายดัดโค้ง</t>
  </si>
  <si>
    <t>เปิดดัดโค้ง</t>
  </si>
  <si>
    <t>บานเลื่อนรางบน</t>
  </si>
  <si>
    <t>🔧 วิธีเพิ่มรอบใหม่เมื่ออลูขึ้น:</t>
  </si>
  <si>
    <t>1) แก้ราคา/กก. ที่ชีท "อัปเดตราคาอลู" → ช่อง "ทุนรวม ปัจจุบัน(สูตร)" ขยับเอง</t>
  </si>
  <si>
    <t>2) มดเพิ่ม 2 คอลัมน์ใหม่ (วันที่ + %ขึ้น) คัดค่าจากช่องสูตร + เพิ่มแถวเรตใน ① → ได้ประวัติว่าบานไหนขึ้นเท่าไหร่</t>
  </si>
  <si>
    <t>หมายเหตุ: ตายดัดโค้ง/เปิดดัดโค้ง อลูตั้งราคาตายตัว ไม่ขึ้นตาม/กก. · รางบน/เฟี้ยม สูตร live ประมาณ (เลขเป๊ะดูคอลัมน์บันทึกวันที่)</t>
  </si>
  <si>
    <t>⚠️  ทุนอลูฐาน(ส้ม)/กระจก+อุปกรณ์(เทา) = ค่าคงที่ @150×150 · ทุนรวม(เขียว) = อลูฐาน×ตัวคูณ + อื่นๆ → ขึ้นเองเมื่อ/กก.ขึ้น</t>
  </si>
  <si>
    <t>⚠️ แก้ราคาที่นี่ → 📋 ราคาวัสดุงานเสริม — แก้ราคาที่นี่ที่เดียว (ช่องเหลือง) · ทุกชีทดึงไปใช้อัตโนมัติ</t>
  </si>
  <si>
    <t>งาน</t>
  </si>
  <si>
    <t>วัสดุ</t>
  </si>
  <si>
    <t>หน่วย</t>
  </si>
  <si>
    <t>ราคา (บาท)</t>
  </si>
  <si>
    <t>ฝ้ายิปซัม</t>
  </si>
  <si>
    <t>แผ่นยิปซัม 9มม</t>
  </si>
  <si>
    <t>แผ่น</t>
  </si>
  <si>
    <t>โครงซีไลน์ (ฟิวริ่ง)</t>
  </si>
  <si>
    <t>เส้น</t>
  </si>
  <si>
    <t>โครงเคร่าหลัก (อาบ)</t>
  </si>
  <si>
    <t>ขาแขวน</t>
  </si>
  <si>
    <t>สกรูยึดแผ่น</t>
  </si>
  <si>
    <t>ตัว</t>
  </si>
  <si>
    <t>สกรูยึดโครง</t>
  </si>
  <si>
    <t>ปูนฉาบรอยต่อ</t>
  </si>
  <si>
    <t>ถุง</t>
  </si>
  <si>
    <t>เทป/ตาข่าย</t>
  </si>
  <si>
    <t>ม้วน</t>
  </si>
  <si>
    <t>ฉากโอบ อลู 4หุน</t>
  </si>
  <si>
    <t>ฉนวน rockwool 3"</t>
  </si>
  <si>
    <t>งานไฟ</t>
  </si>
  <si>
    <t>ไฟดาวน์ไลท์</t>
  </si>
  <si>
    <t>ดวง</t>
  </si>
  <si>
    <t>เต้ารับ+หน้ากาก</t>
  </si>
  <si>
    <t>จุด</t>
  </si>
  <si>
    <t>สวิตช์+หน้ากาก</t>
  </si>
  <si>
    <t>กล่องไฟ</t>
  </si>
  <si>
    <t>กล่อง</t>
  </si>
  <si>
    <t>สายไฟ THW/VAF</t>
  </si>
  <si>
    <t>เมตร</t>
  </si>
  <si>
    <t>ท่อ PVC+ข้อต่อ</t>
  </si>
  <si>
    <t>เทป+เบ็ดเตล็ด</t>
  </si>
  <si>
    <t>สมาร์ทบอร์ด</t>
  </si>
  <si>
    <t>แผ่นสมาร์ทบอร์ด 12มม</t>
  </si>
  <si>
    <t>โครงเหล็กกรอบ 1½×3"</t>
  </si>
  <si>
    <t>ซีไลน์ 3" ดิ่ง</t>
  </si>
  <si>
    <t>ซีไลน์ 3" นอน</t>
  </si>
  <si>
    <t>ฉนวน 3"</t>
  </si>
  <si>
    <t>ไอโซวอล</t>
  </si>
  <si>
    <t>แผ่นไอโซวอล ≤2.4ม</t>
  </si>
  <si>
    <t>แผ่นไอโซวอล &gt;2.4ม</t>
  </si>
  <si>
    <t>กล่อง 1.6×4" โครงรอบ</t>
  </si>
  <si>
    <t>ฉาก 4หุน</t>
  </si>
  <si>
    <t>สกรู/รีเวท</t>
  </si>
  <si>
    <t>ซิลิโคน/ซีล</t>
  </si>
  <si>
    <t>หลอด</t>
  </si>
  <si>
    <t>ฝ้าไม้เทียม</t>
  </si>
  <si>
    <t>ขาจับฝ้า (ไม้ทิพย์)</t>
  </si>
  <si>
    <t>โครงซีไลน์</t>
  </si>
  <si>
    <t>⚠️ แก้ราคาที่นี่ → ราคาออโต้/มอเตอร์ (ทุน) — มดอัปเดตที่นี่ที่เดียว · ชีทบานติ๊กเลือกแล้วดึงมาใช้</t>
  </si>
  <si>
    <t>หมวด/บาน</t>
  </si>
  <si>
    <t>รุ่น/รายการ</t>
  </si>
  <si>
    <t>ราคา</t>
  </si>
  <si>
    <t>ค่าส่ง</t>
  </si>
  <si>
    <t>หน่วย/เงื่อนไข</t>
  </si>
  <si>
    <t>บานยก / เฟี้ยมยก</t>
  </si>
  <si>
    <t>ยก 80 กก.</t>
  </si>
  <si>
    <t>ยก 300 กก.</t>
  </si>
  <si>
    <t>หลังคาเลื่อน</t>
  </si>
  <si>
    <t>80 กก.</t>
  </si>
  <si>
    <t>300 กก.</t>
  </si>
  <si>
    <t>1500 กก.</t>
  </si>
  <si>
    <t>ฟันเฟือง (เฉพาะ1500)</t>
  </si>
  <si>
    <t>เซนเซอร์กันฝน (ออป,1500)</t>
  </si>
  <si>
    <t>ออปชั่น</t>
  </si>
  <si>
    <t>บานเกล็ด 38.1</t>
  </si>
  <si>
    <t>มอเตอร์บานเกล็ด</t>
  </si>
  <si>
    <t>ไม่มีค่าส่ง</t>
  </si>
  <si>
    <t>ระแนงหมุน</t>
  </si>
  <si>
    <t>มอเตอร์ระแนงหมุน</t>
  </si>
  <si>
    <t>รวมส่งแล้ว</t>
  </si>
  <si>
    <t>โช็ค เปิด 50</t>
  </si>
  <si>
    <t>2 ตัว→+อุปกรณ์พิเศษ</t>
  </si>
  <si>
    <t>โช็ค เปิด 80</t>
  </si>
  <si>
    <t>โซ่เดี่ยว 50</t>
  </si>
  <si>
    <t>โซ่คู่ 50</t>
  </si>
  <si>
    <t>อุปกรณ์พิเศษ (โช็ค 2 ตัว)</t>
  </si>
  <si>
    <t>บวกเมื่อใช้ 2 ตัว</t>
  </si>
  <si>
    <t>เลื่อน SMS/ยูโร</t>
  </si>
  <si>
    <t>Evecca (จีน)</t>
  </si>
  <si>
    <t>สายพาน Evecca</t>
  </si>
  <si>
    <t>บาท/ม. = กว้างช่อง×2</t>
  </si>
  <si>
    <t>ออป Smart lock</t>
  </si>
  <si>
    <t>ออปชั่น Evecca</t>
  </si>
  <si>
    <t>ช่างแซก</t>
  </si>
  <si>
    <t>เซฟตี้ตาแมว (บังคับช่างแซก)</t>
  </si>
  <si>
    <t>บวกทุกชุดช่างแซก</t>
  </si>
  <si>
    <t>ราง ช่างแซก</t>
  </si>
  <si>
    <t>บาท/ม. = กว้างช่อง</t>
  </si>
  <si>
    <t>ออป Touch Switch (ช่างแซก)</t>
  </si>
  <si>
    <t>ออป Infrared (ช่างแซก)</t>
  </si>
  <si>
    <t>ชุด SlimLux (บานแรก)</t>
  </si>
  <si>
    <t>บานแรก</t>
  </si>
  <si>
    <t>บานเพิ่ม</t>
  </si>
  <si>
    <t>บาท/บานเพิ่ม</t>
  </si>
  <si>
    <t>ราง SlimLux</t>
  </si>
  <si>
    <t>บาท/ม. = กว้างช่อง×จำนวนบาน</t>
  </si>
  <si>
    <t>ออป สแกนหน้า (บังคับเลือก1)</t>
  </si>
  <si>
    <t>เลือก 1 ใน 2</t>
  </si>
  <si>
    <t>ออป Touch Switch (บังคับเลือก1)</t>
  </si>
  <si>
    <t>หมายเหตุ</t>
  </si>
  <si>
    <t>กล่อง 1.6"×4"</t>
  </si>
  <si>
    <t>กล่อง 1.6"×1.6"</t>
  </si>
  <si>
    <t>กล่อง 1"×1½"</t>
  </si>
  <si>
    <t>แซด 4"</t>
  </si>
  <si>
    <t>กล่องเหล็ก 1"×1"</t>
  </si>
  <si>
    <t>เพลทเหล็ก</t>
  </si>
  <si>
    <t>กล่อง 4"×4"</t>
  </si>
  <si>
    <t>วัสดุปิดผิว</t>
  </si>
  <si>
    <t>ไวนิล</t>
  </si>
  <si>
    <t>แผ่น (7 ม.)</t>
  </si>
  <si>
    <t>จันทันห่าง ≤100 ซม.</t>
  </si>
  <si>
    <t>ฝาครอบไวนิล</t>
  </si>
  <si>
    <t>เส้น (7 ม.)</t>
  </si>
  <si>
    <t>1 เส้น/แผ่นไวนิล</t>
  </si>
  <si>
    <t>ดีไลท์</t>
  </si>
  <si>
    <t>แผ่น (6 ม.)</t>
  </si>
  <si>
    <t>ฝาครอบแถมฟรี</t>
  </si>
  <si>
    <t>โพลีตัน</t>
  </si>
  <si>
    <t>จันทันห่าง ≤122 ซม.</t>
  </si>
  <si>
    <t>ตัวครอบโพลีตัน</t>
  </si>
  <si>
    <t>จุด/จันทัน</t>
  </si>
  <si>
    <t>1 จุดต่อ 1 จันทัน</t>
  </si>
  <si>
    <t>ชินโคร์ไลท์ Heat Cut</t>
  </si>
  <si>
    <t>ตร.ม.</t>
  </si>
  <si>
    <t>รวมฝาครอบ</t>
  </si>
  <si>
    <t>ชินโคร์ไลท์ Superior</t>
  </si>
  <si>
    <t>เมทัลชีท PU 2" Snap</t>
  </si>
  <si>
    <t>กระจกลามิเนต 4+4</t>
  </si>
  <si>
    <t>กระจกลามิเนต 5+5</t>
  </si>
  <si>
    <t>ชินโคร์ Shade 4มม.</t>
  </si>
  <si>
    <t>กว้าง 1.38ม. · CPP 01-05-69</t>
  </si>
  <si>
    <t>ชินโคร์ Prime 10มม.</t>
  </si>
  <si>
    <t>กว้าง 1.38ม. · N828/562</t>
  </si>
  <si>
    <t>รางหลังคาเลื่อน</t>
  </si>
  <si>
    <t>เมทัลชีท EPS 2"</t>
  </si>
  <si>
    <t>จันทันห่าง ไม่เกิน 100 ซม.</t>
  </si>
  <si>
    <t>รายการ</t>
  </si>
  <si>
    <t>ขนาด (นิ้ว)</t>
  </si>
  <si>
    <t>ยาว/เส้น (ม.)</t>
  </si>
  <si>
    <t>ราคา/เส้น (บาท)</t>
  </si>
  <si>
    <t>ราคา/เมตร (บาท)</t>
  </si>
  <si>
    <t>1"×1"</t>
  </si>
  <si>
    <t>1½"×3"</t>
  </si>
  <si>
    <t>2"×4"</t>
  </si>
  <si>
    <t>4"×4"</t>
  </si>
  <si>
    <t>1"×2"</t>
  </si>
  <si>
    <t>⚠️ แก้ราคาที่นี่ → ค่าแรง ผลิต + ติดตั้ง (สูตร: ค่าเริ่มต้น + เรต×ตร.ม.) — จากไฟล์ค่าแรง นิด</t>
  </si>
  <si>
    <t>เลือกแบบ →</t>
  </si>
  <si>
    <t>พื้นที่ (ตร.ม.) →</t>
  </si>
  <si>
    <t>ค่าแรงผลิต =</t>
  </si>
  <si>
    <t>ค่าแรงติดตั้ง =</t>
  </si>
  <si>
    <t>รวมค่าแรง (ผลิต+ติดตั้ง) =</t>
  </si>
  <si>
    <t>ตารางค่าแรง (แก้ที่นี่ถ้าค่าแรงเปลี่ยน) — ค่าแรง/ชม.=87.5</t>
  </si>
  <si>
    <t>🟡 ช่องเหลือง = แก้ตรงนี้ · เทา = คิดให้อัตโนมัติ</t>
  </si>
  <si>
    <t>แบบบาน</t>
  </si>
  <si>
    <t>ผลิต: ค่าเริ่มต้น</t>
  </si>
  <si>
    <t>ผลิต: /ตร.ม.</t>
  </si>
  <si>
    <t>ติดตั้ง: ค่าเริ่มต้น</t>
  </si>
  <si>
    <t>ติดตั้ง: /ตร.ม.</t>
  </si>
  <si>
    <t>ชม.ฐานผลิต</t>
  </si>
  <si>
    <t>ชม.ฐานติดตั้ง</t>
  </si>
  <si>
    <t>ค่าแรง/ชม.</t>
  </si>
  <si>
    <t>ชม.เพิ่มผลิต/ตร.ม.</t>
  </si>
  <si>
    <t>ชม.เพิ่มติดตั้ง/ตร.ม.</t>
  </si>
  <si>
    <t>คนผลิต</t>
  </si>
  <si>
    <t>คนติดตั้ง</t>
  </si>
  <si>
    <t>แก้ตรงไหน</t>
  </si>
  <si>
    <t>ฐาน+เพิ่ม/ตร.ม. → แก้ G,H (ฐานชม.) · J,K (เพิ่มชม./ตร.ม.)</t>
  </si>
  <si>
    <t>บานกระทุ้ง (ยูโร)</t>
  </si>
  <si>
    <t>บานเฟี้ยม (sms)</t>
  </si>
  <si>
    <t>บานยก (เซมิ)</t>
  </si>
  <si>
    <t>หลังคา</t>
  </si>
  <si>
    <t>ฐาน+เพิ่ม/ตร.ม. → G,H (ฐานชม.) · J,K (เพิ่มชม./ตร.ม.) · L,M (คน)</t>
  </si>
  <si>
    <t>บานเฟี้ยมยูโร</t>
  </si>
  <si>
    <t>มุ้งเฟรมเล็ก</t>
  </si>
  <si>
    <t>หลังคาจั่ว</t>
  </si>
  <si>
    <t>บานหมุน</t>
  </si>
  <si>
    <t>ค่าแรงติดตั้ง</t>
  </si>
  <si>
    <t>ฝ้ายิปซัมฉาบเรียบ</t>
  </si>
  <si>
    <t>/ตร.ม. (รวม)</t>
  </si>
  <si>
    <t>ผนังสมาร์ทบอร์ด</t>
  </si>
  <si>
    <t>/ตร.ม.</t>
  </si>
  <si>
    <t>ผนังไอโซวอล</t>
  </si>
  <si>
    <t>งานไฟ — เดินสายไฟ</t>
  </si>
  <si>
    <t>/เมตร</t>
  </si>
  <si>
    <t>งานไฟ — ติดดาวน์ไลท์</t>
  </si>
  <si>
    <t>/ดวง</t>
  </si>
  <si>
    <t>พื้นสมาร์ทบอร์ด</t>
  </si>
  <si>
    <t>บานโซลิด</t>
  </si>
  <si>
    <t>บานระแนงเลื่อน</t>
  </si>
  <si>
    <t>ราวกันตก</t>
  </si>
  <si>
    <t>ชุด Shower</t>
  </si>
  <si>
    <t>บานเปลือย</t>
  </si>
  <si>
    <t>ประตูรั้ว</t>
  </si>
  <si>
    <t>บานเกล็ด</t>
  </si>
  <si>
    <t>ระแนงสลับ</t>
  </si>
  <si>
    <t>กล่อง 1×5 cm</t>
  </si>
  <si>
    <t>กล่อง 1"×1"</t>
  </si>
  <si>
    <t>กล่อง 1"×1.6"</t>
  </si>
  <si>
    <t>กล่อง 1"×4"</t>
  </si>
  <si>
    <t>⚠️ แก้ราคาช่องเหลืองที่นี่ — ทุกบานลิงก์อัตโนมัติ</t>
  </si>
  <si>
    <t>ราคา ฿/ตร.ม.</t>
  </si>
  <si>
    <t>ประเภท</t>
  </si>
  <si>
    <t>บานที่เข้าได้</t>
  </si>
  <si>
    <t>ไม่มีมุ้ง</t>
  </si>
  <si>
    <t>ผ้ามุ้ง (กรอกราคา/ม้วน เหลือง → /ตร.ม.คิดเอง)</t>
  </si>
  <si>
    <t>฿/ตร.ม.</t>
  </si>
  <si>
    <t>ราคา/ม้วน (36.6 ตร.ม.)</t>
  </si>
  <si>
    <t>มุ้งจีบ</t>
  </si>
  <si>
    <t>ซื้อสำเร็จ</t>
  </si>
  <si>
    <t>ALL</t>
  </si>
  <si>
    <t>ทุกบาน</t>
  </si>
  <si>
    <t>ไฟเบอร์</t>
  </si>
  <si>
    <t>มุ้งม้วน ขาว/ดำ/น้ำตาล</t>
  </si>
  <si>
    <t>ไนล่อน</t>
  </si>
  <si>
    <t>มุ้งม้วน ซาฮาร่า</t>
  </si>
  <si>
    <t>สแตนเลส</t>
  </si>
  <si>
    <t>มุ้งม้วน ลายไม้สักทอง</t>
  </si>
  <si>
    <t>กันแมว</t>
  </si>
  <si>
    <t>มุ้งม้วน ไลท์โอ๊ค</t>
  </si>
  <si>
    <t>มุ้งจีบนิรภัย ≤3ม. ขาว/ดำ</t>
  </si>
  <si>
    <t>มุ้งจีบนิรภัย ≤3ม. ซาฮาร่า</t>
  </si>
  <si>
    <t>+400</t>
  </si>
  <si>
    <t>มุ้งจีบนิรภัย ≤3ม. สักทอง</t>
  </si>
  <si>
    <t>+500</t>
  </si>
  <si>
    <t>มุ้งจีบนิรภัย &gt;3ม. ขาว/ดำ</t>
  </si>
  <si>
    <t>มุ้งจีบนิรภัย &gt;3ม. ซาฮาร่า</t>
  </si>
  <si>
    <t>มุ้งจีบนิรภัย &gt;3ม. สักทอง</t>
  </si>
  <si>
    <t>ผลิตเอง</t>
  </si>
  <si>
    <t>SMS|เปิด|กระทุ้ง</t>
  </si>
  <si>
    <t>กรอบ+ยาง+ผ้า+ค่าแรง</t>
  </si>
  <si>
    <t>มุ้งเฟรมใหญ่</t>
  </si>
  <si>
    <t>SMS|ยูโร|เปิด|กระทุ้ง</t>
  </si>
  <si>
    <t>โปรไฟล์บาน+ยาง+ผ้า+ค่าแรง</t>
  </si>
  <si>
    <t>มุ้งนิรภัย</t>
  </si>
  <si>
    <t>โปรไฟล์บาน+ยาง+ผ้านิรภัย650+ค่าแรง</t>
  </si>
  <si>
    <t>🟢 มุ้งผลิตเอง — แก้ค่ากรอบ(เหลือง)/ยาง/ผ้า · ราคาโชว์อัตโนมัติ</t>
  </si>
  <si>
    <t>รุ่นมุ้ง</t>
  </si>
  <si>
    <t>ค่ากรอบ /เส้น</t>
  </si>
  <si>
    <t>ผ้าที่ใช้ได้ (บาท/ตร.ม.)</t>
  </si>
  <si>
    <t>ยางอัด /ม.</t>
  </si>
  <si>
    <t>ค่าแรงผลิต</t>
  </si>
  <si>
    <t>เฟรมเล็ก</t>
  </si>
  <si>
    <t>เฟรมใหญ่</t>
  </si>
  <si>
    <t>ขึ้นตามเสากุญแจบาน (อัตโนมัติ)</t>
  </si>
  <si>
    <t>นิรภัย</t>
  </si>
  <si>
    <t>สแตนเลสนิรภัย 650</t>
  </si>
  <si>
    <t>📌 แก้ราคามุ้งตรงไหน — แก้เฉพาะช่องสีเหลืองเท่านั้น</t>
  </si>
  <si>
    <t>① มุ้งซื้อสำเร็จขึ้นราคา → คอลัมน์ B (ราคา/ตร.ม.) แถว 2-12</t>
  </si>
  <si>
    <t>② ค่าแรงติดตั้งมุ้งสำเร็จ → คอลัมน์ F แถว 2-12</t>
  </si>
  <si>
    <t>③ ราคาผ้า (ไฟเบอร์/ไนล่อน/สแตนเลส/กันแมว) → คอลัมน์ J (บล็อกส้ม)</t>
  </si>
  <si>
    <t>④ ค่ากรอบมุ้งผลิตเอง → B19 (เล็ก) · B21 (นิรภัย)  [เฟรมใหญ่ใช้เสากุญแจบาน ขึ้นเองตามราคาอลู]</t>
  </si>
  <si>
    <t>⑤ ยางอัด → D19</t>
  </si>
  <si>
    <t>ลำดับ</t>
  </si>
  <si>
    <t>ราคาเดิม R3.9</t>
  </si>
  <si>
    <t>เขียว 8มม.</t>
  </si>
  <si>
    <t>เขียว8</t>
  </si>
  <si>
    <t>เขียว 10มม.</t>
  </si>
  <si>
    <t>เขียว10</t>
  </si>
  <si>
    <t>ยูโรเกรย์ 10มม.</t>
  </si>
  <si>
    <t>ยูโรบรอนซ์ 6มม.</t>
  </si>
  <si>
    <t>เทมเปอร์ 10มม.</t>
  </si>
  <si>
    <t>เทมเปอร์ 12มม.</t>
  </si>
  <si>
    <t>เขียว 6มม.</t>
  </si>
  <si>
    <t>ยูโรเกรย์ 6มม.</t>
  </si>
  <si>
    <t>ยูโรเกรย์ 8มม.</t>
  </si>
  <si>
    <t>เท่าเดิม</t>
  </si>
  <si>
    <t>เทมเปอร์ 6มม.</t>
  </si>
  <si>
    <t>ใส 6มม.</t>
  </si>
  <si>
    <t>แยกใส</t>
  </si>
  <si>
    <t>ใส 8มม.</t>
  </si>
  <si>
    <t>ใส 10มม.</t>
  </si>
  <si>
    <t>เทมเปอร์ใส 6มม.</t>
  </si>
  <si>
    <t>เทมเปอร์ใส 8มม.</t>
  </si>
  <si>
    <t>เทมเปอร์ใส 10มม.</t>
  </si>
  <si>
    <t>เทมเปอร์ใส 12มม.</t>
  </si>
  <si>
    <t>เคลือบขาว 6มม.</t>
  </si>
  <si>
    <t>ยูโรบรอนซ์ 10มม.</t>
  </si>
  <si>
    <t>reflective เทา 6มม.</t>
  </si>
  <si>
    <t>reflective เขียว 6มม.</t>
  </si>
  <si>
    <t>reflective ฟ้า/เทา 6มม.</t>
  </si>
  <si>
    <t>เทมเปอร์ 15มม.</t>
  </si>
  <si>
    <t>เทมเปอร์ใสพิเศษ 6มม.</t>
  </si>
  <si>
    <t>เทมเปอร์ใสพิเศษ 8มม.</t>
  </si>
  <si>
    <t>เทมเปอร์ใสพิเศษ 10มม.</t>
  </si>
  <si>
    <t>เทมเปอร์ฝ้า 6มม.</t>
  </si>
  <si>
    <t>เทมเปอร์ฝ้า 8มม.</t>
  </si>
  <si>
    <t>เทมเปอร์ยูโรเกรย์ 4มม.</t>
  </si>
  <si>
    <t>เทมเปอร์ยูโรเกรย์ 5มม.</t>
  </si>
  <si>
    <t>เทมเปอร์ยูโรเกรย์ 6มม.</t>
  </si>
  <si>
    <t>เทมเปอร์ยูโรเกรย์ 10มม.</t>
  </si>
  <si>
    <t>เทมเปอร์ยูโรบรอนซ์ 5มม.</t>
  </si>
  <si>
    <t>เทมเปอร์ยูโรบรอนซ์ 6มม.</t>
  </si>
  <si>
    <t>เทมเปอร์ยูโรบรอนซ์ 10มม.</t>
  </si>
  <si>
    <t>เทมเปอร์ reflective เทา 6มม.</t>
  </si>
  <si>
    <t>เทมเปอร์ reflective เขียว 6มม.</t>
  </si>
  <si>
    <t>เทมเปอร์ reflective ฟ้า 6มม.</t>
  </si>
  <si>
    <t>เทมเปอร์สีชาดำ 6มม.</t>
  </si>
  <si>
    <t>เทมเปอร์สีชาดำ 10มม.</t>
  </si>
  <si>
    <t>เทมเปอร์สีฟ้า 6มม.</t>
  </si>
  <si>
    <t>อินซูเลท 6+6+6มม.</t>
  </si>
  <si>
    <t>ลามิเนตยูโรเกรย์+ใส 6+6</t>
  </si>
  <si>
    <t>ลามิเนตยูโรเกรย์+ยูโรเกรย์ 6+6</t>
  </si>
  <si>
    <t>ลามิเนตชาดำ+ใส 6+6</t>
  </si>
  <si>
    <t>ลามิเนตชาดำ+ชาดำ 6+6</t>
  </si>
  <si>
    <t>ลามิเนตคริสตัลเกรย์+ใส 6+6</t>
  </si>
  <si>
    <t>ลามิเนตคริสตัลเกรย์+คริสตัลเกรย์ 6+6</t>
  </si>
  <si>
    <t>ลามิเนตสีฟ้า+ใส 6+6</t>
  </si>
  <si>
    <t>ลามิเนตสีฟ้า+สีฟ้า 6+6</t>
  </si>
  <si>
    <t>ลามิเนตยูโรบรอนซ์+ใส 6+6</t>
  </si>
  <si>
    <t>ลามิเนตยูโรบรอนซ์+ยูโรบรอนซ์ 6+6</t>
  </si>
  <si>
    <t>ลามิเนต 4+4 ยูโรเกรย์</t>
  </si>
  <si>
    <t>ลามิเนตลอนแก้ว/เงาทอง 4+4</t>
  </si>
  <si>
    <t>กระจกดัดโค้ง 10มม.</t>
  </si>
  <si>
    <t>ใส 5มม.</t>
  </si>
  <si>
    <t>เขียว 5มม.</t>
  </si>
  <si>
    <t>ยูโรเกรย์ 5มม.</t>
  </si>
  <si>
    <t>ยูโรบรอนซ์ 5มม.</t>
  </si>
  <si>
    <t>ชาดา 3มม.</t>
  </si>
  <si>
    <t>ชาดา 5มม.</t>
  </si>
  <si>
    <t>เงา 6มม.</t>
  </si>
  <si>
    <t>ลามิเนต ใส5+5 0.76</t>
  </si>
  <si>
    <t>ลามิเนต ใส5+5 1.52</t>
  </si>
  <si>
    <t>ลามิเนต ใส6+6 1.52</t>
  </si>
  <si>
    <t>ลามิเนต เขียว4+4 0.76</t>
  </si>
  <si>
    <t>ลามิเนตฟิล์มฝ้า 4+4</t>
  </si>
  <si>
    <t>ลามิเนตฟิล์มสีทั่วไป 4+4</t>
  </si>
  <si>
    <t>ลามิเนตฟิล์มขาวนม-ดำทึบ 4+4</t>
  </si>
  <si>
    <t>key</t>
  </si>
  <si>
    <t>ร้าน</t>
  </si>
  <si>
    <t>รุ่น</t>
  </si>
  <si>
    <t>price</t>
  </si>
  <si>
    <t>edge_p</t>
  </si>
  <si>
    <t>edge_len</t>
  </si>
  <si>
    <t>carrier</t>
  </si>
  <si>
    <t>bundled</t>
  </si>
  <si>
    <t>ไม้ทิพย์|สีพื้น</t>
  </si>
  <si>
    <t>ไม้ทิพย์</t>
  </si>
  <si>
    <t>สีพื้น</t>
  </si>
  <si>
    <t>ไม้ทิพย์|ลายไม้</t>
  </si>
  <si>
    <t>ลายไม้</t>
  </si>
  <si>
    <t>fameline</t>
  </si>
  <si>
    <t>fameline|สีมาตรฐาน</t>
  </si>
  <si>
    <t>สีมาตรฐาน</t>
  </si>
  <si>
    <t>HIGO</t>
  </si>
  <si>
    <t>fameline|สีอื่น</t>
  </si>
  <si>
    <t>สีอื่น</t>
  </si>
  <si>
    <t>remood</t>
  </si>
  <si>
    <t>HIGO|C19 (ใน)</t>
  </si>
  <si>
    <t>C19 (ใน)</t>
  </si>
  <si>
    <t>HIGO|G15 (ใน)</t>
  </si>
  <si>
    <t>G15 (ใน)</t>
  </si>
  <si>
    <t>HIGO|R16 (ใน)</t>
  </si>
  <si>
    <t>R16 (ใน)</t>
  </si>
  <si>
    <t>HIGO|Y18 (ใน)</t>
  </si>
  <si>
    <t>Y18 (ใน)</t>
  </si>
  <si>
    <t>HIGO|P155 (นอก)</t>
  </si>
  <si>
    <t>P155 (นอก)</t>
  </si>
  <si>
    <t>HIGO|WH200 (นอก)</t>
  </si>
  <si>
    <t>WH200 (นอก)</t>
  </si>
  <si>
    <t>remood|Entree เรียบ</t>
  </si>
  <si>
    <t>Entree เรียบ</t>
  </si>
  <si>
    <t>remood|Entree มีลาย</t>
  </si>
  <si>
    <t>Entree มีลาย</t>
  </si>
  <si>
    <t>remood|Entree ชักร่อง</t>
  </si>
  <si>
    <t>Entree ชักร่อง</t>
  </si>
  <si>
    <t>remood|Duratech+ เรียบ13</t>
  </si>
  <si>
    <t>Duratech+ เรียบ13</t>
  </si>
  <si>
    <t>remood|Duratech+ เรียบ16</t>
  </si>
  <si>
    <t>Duratech+ เรียบ16</t>
  </si>
  <si>
    <t>remood|Duratech+ เรียบ14</t>
  </si>
  <si>
    <t>Duratech+ เรียบ14</t>
  </si>
  <si>
    <t>remood|Duratech+ ชักร่อง15</t>
  </si>
  <si>
    <t>Duratech+ ชักร่อง15</t>
  </si>
  <si>
    <t>remood|Duratech+ ชักร่อง21</t>
  </si>
  <si>
    <t>Duratech+ ชักร่อง21</t>
  </si>
  <si>
    <t>remood|LIGHT+ เรียบ12</t>
  </si>
  <si>
    <t>LIGHT+ เรียบ12</t>
  </si>
  <si>
    <t>remood|LIGHT+ ลอนเล็ก</t>
  </si>
  <si>
    <t>LIGHT+ ลอนเล็ก</t>
  </si>
  <si>
    <t>remood|LIGHT+ ชักร่อง16</t>
  </si>
  <si>
    <t>LIGHT+ ชักร่อง16</t>
  </si>
  <si>
    <t>remood|LIGHT+ ชักร่อง21</t>
  </si>
  <si>
    <t>LIGHT+ ชักร่อง21</t>
  </si>
  <si>
    <t>remood|Duralight+ เรียบ15</t>
  </si>
  <si>
    <t>Duralight+ เรียบ15</t>
  </si>
  <si>
    <t>remood|Duralight+ ชักร่อง</t>
  </si>
  <si>
    <t>Duralight+ ชักร่อง</t>
  </si>
  <si>
    <t>น้ำหนักโปรไฟล์อลูมิเนียม — เอาไปเสียบระบบ ราคาเส้น = น้ำหนัก × ราคา/กก.</t>
  </si>
  <si>
    <t>หนา/ขนาด</t>
  </si>
  <si>
    <t>ชื่อ/รายการ</t>
  </si>
  <si>
    <t>ยาว(ม.)</t>
  </si>
  <si>
    <t>กก./ม.</t>
  </si>
  <si>
    <t>กก./เส้น</t>
  </si>
  <si>
    <t>เมืองทอง — กล่องสี่เหลี่ยมด้านเท่า (ยาว 6 ม.)</t>
  </si>
  <si>
    <t>1.00 มม.</t>
  </si>
  <si>
    <t>1.20 มม.</t>
  </si>
  <si>
    <t>1.10 มม.</t>
  </si>
  <si>
    <t>1.50 มม.</t>
  </si>
  <si>
    <t>0.80 มม.</t>
  </si>
  <si>
    <t>0.90 มม.</t>
  </si>
  <si>
    <t>1.35 มม.</t>
  </si>
  <si>
    <t>1.40 มม.</t>
  </si>
  <si>
    <t>เมืองทอง — กล่องสี่เหลี่ยมด้านไม่เท่า (ยาว 6 ม.)</t>
  </si>
  <si>
    <t>1.30 มม.</t>
  </si>
  <si>
    <t>2.00 มม.</t>
  </si>
  <si>
    <t>เมืองทอง — ตัว Z</t>
  </si>
  <si>
    <t>126.3×77.7 ×1.3</t>
  </si>
  <si>
    <t>สลิม KOYO (SlimLux) — ยาว 6 ม.</t>
  </si>
  <si>
    <t>9073 กลางบาน (เสากุญแจ)</t>
  </si>
  <si>
    <t>9072 หัวบาน (ขวางบน/ล่าง)</t>
  </si>
  <si>
    <t>Velora — ยาว 6 ม.</t>
  </si>
  <si>
    <t>Fuji (Euro bi-fold) — เบอร์ดาย · ตรวจหน่วย/ความยาวเส้นอีกที</t>
  </si>
  <si>
    <t>Fuji</t>
  </si>
  <si>
    <t>เฟรมบนบานเฟี้ยม A</t>
  </si>
  <si>
    <t>ตรวจหน่วย</t>
  </si>
  <si>
    <t>เฟรมล่างบานเฟี้ยม A</t>
  </si>
  <si>
    <t>ตบปิดเฟรม (ตั้ง)</t>
  </si>
  <si>
    <t>กรอบบานเฟี้ยม (ตั้ง) A</t>
  </si>
  <si>
    <t>คิ้วกระจก 5-12มิล</t>
  </si>
  <si>
    <t>รับล็อคเสาเข้ามุมบานคู่</t>
  </si>
  <si>
    <t>บังใบ</t>
  </si>
  <si>
    <t>รับล็อคเฟรมข้างบานคู่</t>
  </si>
  <si>
    <t>รับล็อคบานคู่+บานคี่</t>
  </si>
  <si>
    <t>รางยู A</t>
  </si>
  <si>
    <t>F7949</t>
  </si>
  <si>
    <t>คิ้วกระจก 14-20มิล</t>
  </si>
  <si>
    <t>วงกบ 3 ด้าน (บานเปิด/กระทุ้ง)</t>
  </si>
  <si>
    <t>ยืนยัน /เส้น แล้ว</t>
  </si>
  <si>
    <t>SMS — บานยก/Double Hung (ยาว 6.4 ม.)</t>
  </si>
  <si>
    <t>B28009-12</t>
  </si>
  <si>
    <t>HEAD เฟรมบน</t>
  </si>
  <si>
    <t>B28010-12</t>
  </si>
  <si>
    <t>COVER HEAD ตบปิดเฟรมบน</t>
  </si>
  <si>
    <t>B28011-12</t>
  </si>
  <si>
    <t>SASH กรอบบาน</t>
  </si>
  <si>
    <t>B28012-12</t>
  </si>
  <si>
    <t>ADAPTOR INTERLOCK ค้ำอินเตอร์ล็อก</t>
  </si>
  <si>
    <t>B28013-12</t>
  </si>
  <si>
    <t>INTERLOCK เสาเกี่ยว</t>
  </si>
  <si>
    <t>B28014-12</t>
  </si>
  <si>
    <t>SILL เฟรมล่าง</t>
  </si>
  <si>
    <t>B28015-12</t>
  </si>
  <si>
    <t>JAMB ADAPTOR เสาเสริมเฟรมข้าง</t>
  </si>
  <si>
    <t>B10004-12</t>
  </si>
  <si>
    <t>NARROW FRAME เฟรมข้าง</t>
  </si>
  <si>
    <t>SMS — บานเฟี้ยม (B24) · ยาว 6.4 ม. (มาตรฐาน SMS)</t>
  </si>
  <si>
    <t>SMS(เฟี้ยม)</t>
  </si>
  <si>
    <t>B24001-18</t>
  </si>
  <si>
    <t>1.80 มม.</t>
  </si>
  <si>
    <t>Head เฟรมบนกลาง</t>
  </si>
  <si>
    <t>B24002-14</t>
  </si>
  <si>
    <t>Door Stop Head คิ้วเฟรมบน</t>
  </si>
  <si>
    <t>B24003-15</t>
  </si>
  <si>
    <t>Sill เฟรมล่าง</t>
  </si>
  <si>
    <t>B24004-14</t>
  </si>
  <si>
    <t>Door Stop Sill ตบธรณี</t>
  </si>
  <si>
    <t>B24005-15</t>
  </si>
  <si>
    <t>Jamb เฟรมข้าง</t>
  </si>
  <si>
    <t>B24006-12</t>
  </si>
  <si>
    <t>Door Stop Jamb คิ้วเฟรมข้างประตู</t>
  </si>
  <si>
    <t>B24007-15</t>
  </si>
  <si>
    <t>Sash เสาบาน</t>
  </si>
  <si>
    <t>B24008-12</t>
  </si>
  <si>
    <t>Glazing Bead คิ้วตบกระจก</t>
  </si>
  <si>
    <t>B24009-12</t>
  </si>
  <si>
    <t>Sash Stop บังใบเสาประตู</t>
  </si>
  <si>
    <t>B24013-15</t>
  </si>
  <si>
    <t>Butterfly Glazing Bead คิ้วกบ</t>
  </si>
  <si>
    <t>B24016-12</t>
  </si>
  <si>
    <t>Glazing Bead คิ้วกบ</t>
  </si>
  <si>
    <t>B24017-15</t>
  </si>
  <si>
    <t>Bifold Roller รางหู(ใหม่)</t>
  </si>
  <si>
    <t>B24018-15</t>
  </si>
  <si>
    <t>Bifold Roller รางบานเฟี้ยมภายใน</t>
  </si>
  <si>
    <t>เมืองทอง — กล่องเพิ่ม (เสา-คาน/ติดตาย/จันทัน) · ยาว 6 ม.</t>
  </si>
  <si>
    <t>กล่อง 1.6"×3"</t>
  </si>
  <si>
    <t>E-series (SMS) · ยาว 6.4 ม.</t>
  </si>
  <si>
    <t>E-series</t>
  </si>
  <si>
    <t>Fuji เพิ่ม — กก./ม. (รอความยาวเส้น Fuji เพื่อคิด /เส้น)</t>
  </si>
  <si>
    <t>F7863</t>
  </si>
  <si>
    <t>วงกบ/เฟรม บานเปิด</t>
  </si>
  <si>
    <t>เฟรม บานเปิด/PC</t>
  </si>
  <si>
    <t>เฟรมบานกระทุ้ง(เดิม)</t>
  </si>
  <si>
    <t>เฟรมบานกระทุ้ง (ใช้ตัวนี้)</t>
  </si>
  <si>
    <t>━━━ น้ำหนักคำนวณจาก Stock (ราคาขาว÷180÷ยาว) — รหัสตรงร้าน ━━━</t>
  </si>
  <si>
    <t>── SMS (33 เส้น) ──</t>
  </si>
  <si>
    <t>ราคา 1125</t>
  </si>
  <si>
    <t>ราคา 1205</t>
  </si>
  <si>
    <t>ราคา 870</t>
  </si>
  <si>
    <t>ราคา 660</t>
  </si>
  <si>
    <t>ราคา 690</t>
  </si>
  <si>
    <t>ราคา 1235</t>
  </si>
  <si>
    <t>ราคา 175</t>
  </si>
  <si>
    <t>ราคา 360</t>
  </si>
  <si>
    <t>ราคา 2070</t>
  </si>
  <si>
    <t>ราคา 310</t>
  </si>
  <si>
    <t>ราคา 240</t>
  </si>
  <si>
    <t>ราคา 825</t>
  </si>
  <si>
    <t>ราคา 145</t>
  </si>
  <si>
    <t>ราคา 885</t>
  </si>
  <si>
    <t>ราคา 1550</t>
  </si>
  <si>
    <t>ราคา 1060</t>
  </si>
  <si>
    <t>ราคา 1030</t>
  </si>
  <si>
    <t>ราคา 305</t>
  </si>
  <si>
    <t>ราคา 2105</t>
  </si>
  <si>
    <t>ราคา 320</t>
  </si>
  <si>
    <t>ราคา 1455</t>
  </si>
  <si>
    <t>ราคา 570</t>
  </si>
  <si>
    <t>ราคา 1000</t>
  </si>
  <si>
    <t>ราคา 280</t>
  </si>
  <si>
    <t>ราคา 1210</t>
  </si>
  <si>
    <t>ราคา 265</t>
  </si>
  <si>
    <t>ราคา 270</t>
  </si>
  <si>
    <t>ราคา 905</t>
  </si>
  <si>
    <t>ราคา 625</t>
  </si>
  <si>
    <t>── Fuji (74 เส้น) ──</t>
  </si>
  <si>
    <t>ราคา 2110</t>
  </si>
  <si>
    <t>ราคา 2525</t>
  </si>
  <si>
    <t>ราคา 1420</t>
  </si>
  <si>
    <t>ราคา 940</t>
  </si>
  <si>
    <t>ราคา 1130</t>
  </si>
  <si>
    <t>ราคา 880</t>
  </si>
  <si>
    <t>ราคา 650</t>
  </si>
  <si>
    <t>ราคา 1105</t>
  </si>
  <si>
    <t>ราคา 1370</t>
  </si>
  <si>
    <t>ราคา 1075</t>
  </si>
  <si>
    <t>ราคา 285</t>
  </si>
  <si>
    <t>ราคา 490</t>
  </si>
  <si>
    <t>ราคา 395</t>
  </si>
  <si>
    <t>ราคา 455</t>
  </si>
  <si>
    <t>ราคา 750</t>
  </si>
  <si>
    <t>ราคา 760</t>
  </si>
  <si>
    <t>ราคา 1960</t>
  </si>
  <si>
    <t>F7856</t>
  </si>
  <si>
    <t>อแดปเตอร์ประตูดิจิตอล</t>
  </si>
  <si>
    <t>ราคา 665</t>
  </si>
  <si>
    <t>ราคา 775</t>
  </si>
  <si>
    <t>ราคา 120</t>
  </si>
  <si>
    <t>ราคา 130</t>
  </si>
  <si>
    <t>ราคา 150</t>
  </si>
  <si>
    <t>ราคา 185</t>
  </si>
  <si>
    <t>ราคา 160</t>
  </si>
  <si>
    <t>ราคา 540</t>
  </si>
  <si>
    <t>ราคา 355</t>
  </si>
  <si>
    <t>10.0</t>
  </si>
  <si>
    <t>ราคา 1345</t>
  </si>
  <si>
    <t>ราคา 1180</t>
  </si>
  <si>
    <t>ราคา 1505</t>
  </si>
  <si>
    <t>ราคา 1350</t>
  </si>
  <si>
    <t>ราคา 735</t>
  </si>
  <si>
    <t>ราคา 555</t>
  </si>
  <si>
    <t>ราคา 1680</t>
  </si>
  <si>
    <t>ราคา 1780</t>
  </si>
  <si>
    <t>ราคา 1825</t>
  </si>
  <si>
    <t>ราคา 1320</t>
  </si>
  <si>
    <t>ราคา 1335</t>
  </si>
  <si>
    <t>ราคา 800</t>
  </si>
  <si>
    <t>ราคา 695</t>
  </si>
  <si>
    <t>ราคา 550</t>
  </si>
  <si>
    <t>ราคา 505</t>
  </si>
  <si>
    <t>ราคา 1485</t>
  </si>
  <si>
    <t>ราคา 995</t>
  </si>
  <si>
    <t>ราคา 230</t>
  </si>
  <si>
    <t>ราคา 260</t>
  </si>
  <si>
    <t>ราคา 3140</t>
  </si>
  <si>
    <t>ราคา 1730</t>
  </si>
  <si>
    <t>ราคา 1065</t>
  </si>
  <si>
    <t>ราคา 1670</t>
  </si>
  <si>
    <t>ราคา 390</t>
  </si>
  <si>
    <t>ราคา 965</t>
  </si>
  <si>
    <t>ราคา 590</t>
  </si>
  <si>
    <t>ราคา 1115</t>
  </si>
  <si>
    <t>ราคา 930</t>
  </si>
  <si>
    <t>ชื่อกระจก (R3.9 ข้อ 31.1)</t>
  </si>
  <si>
    <t>ทุน/ตร.ม.</t>
  </si>
  <si>
    <t>อบขาว/ดำ</t>
  </si>
  <si>
    <t>ลายไม้สักทอง</t>
  </si>
  <si>
    <t>เฟรมบน</t>
  </si>
  <si>
    <t>เฟรมข้าง</t>
  </si>
  <si>
    <t>เฟรมล่างกันน้ำ</t>
  </si>
  <si>
    <t>เสากุญแจ ML</t>
  </si>
  <si>
    <t>เสาเกี่ยวธรรมดา</t>
  </si>
  <si>
    <t>เสาเกี่ยวรับแรง</t>
  </si>
  <si>
    <t>ขวางบน/ล่าง</t>
  </si>
  <si>
    <t>ตบปิดเฟรม</t>
  </si>
  <si>
    <t>ลามิเนต 4+4 ฟิล์ม 0.38</t>
  </si>
  <si>
    <t>ลามิเนต 5+5 ฟิล์ม 0.38</t>
  </si>
  <si>
    <t>ลามิเนตใส 4+4 ฟิล์มสี 0.38</t>
  </si>
  <si>
    <t>ลามิเนตใส 4+4 กันเสียง 0.76</t>
  </si>
  <si>
    <t>ลามิเนต 4+4 Solar Max 0.76</t>
  </si>
  <si>
    <t>240 บาท/ตร.ฟ ×10.764</t>
  </si>
  <si>
    <t>ลามิเนตใส 4+4 STG 1.52</t>
  </si>
  <si>
    <t>352 บาท/ตร.ฟ ×10.764</t>
  </si>
  <si>
    <t>กระจกชา/ฝ้า/ลายผ้า 5-6มม.</t>
  </si>
  <si>
    <t>กระจกเงา 5มม.</t>
  </si>
  <si>
    <t>กระจกลอนแก้ว 5มม.</t>
  </si>
  <si>
    <t>เทมเปอร์ 8มม.</t>
  </si>
  <si>
    <t>คิ้วกระจก</t>
  </si>
  <si>
    <t>ลามิเนต 6+6 ฟิล์ม 0.38</t>
  </si>
  <si>
    <t>ลามิเนต 4+4 สูง&gt;2.5ม. 0.76</t>
  </si>
  <si>
    <t>ลามิเนต 5+5 สูง&gt;2.5ม. 0.76</t>
  </si>
  <si>
    <t>ลามิเนต 6+6 สูง&gt;2.5ม. 0.76</t>
  </si>
  <si>
    <t>ตบปิดเฟรมร่องใน</t>
  </si>
  <si>
    <t>ตบปิดเฟรมร่องกลาง</t>
  </si>
  <si>
    <t>กระจกดัดโค้งลามิเนตใส 5+5</t>
  </si>
  <si>
    <t>กระจกเงาทอง</t>
  </si>
  <si>
    <t>เทมเปอร์ลามิเนต 6+6 PVB 1.52</t>
  </si>
  <si>
    <t>ลามิเนตใส 5+5 กันเสียง 0.76</t>
  </si>
  <si>
    <t>ลามิเนตใส 5+5 STG 1.52</t>
  </si>
  <si>
    <t>ลามิเนต ใส6HS SGP0.89</t>
  </si>
  <si>
    <t>ลามิเนต ใส5+5 SGP0.89</t>
  </si>
  <si>
    <t>272 บาท/ตร.ฟ ×10.764</t>
  </si>
  <si>
    <t>ลามิเนตลอนแก้วเล็ก เงาทอง 5+5</t>
  </si>
  <si>
    <t>ลามิเนตลอนแก้วกลาง เงาทอง 5+5</t>
  </si>
  <si>
    <t>ลามิเนตลอนแก้วใหญ่ เงาทอง 5+5</t>
  </si>
  <si>
    <t>ลามิเนตลอนแก้วเล็ก เงาทอง 5+6</t>
  </si>
  <si>
    <t>ลามิเนตลอนแก้วกลาง เงาทอง 5+6</t>
  </si>
  <si>
    <t>ลามิเนตลอนแก้วใหญ่ เงาทอง 5+6</t>
  </si>
  <si>
    <t>เทมเปอร์ยูโรบรอนซ์ 8มม.</t>
  </si>
  <si>
    <t>เทมเปอร์ใสพ่นสีขาว 6มม.</t>
  </si>
  <si>
    <t>เทมเปอร์ใสพ่นสีขาว 8มม.</t>
  </si>
  <si>
    <t>กระจกเส้นลวดใส 6มม.</t>
  </si>
  <si>
    <t>เทมเปอร์เขียว 6มม.</t>
  </si>
  <si>
    <t>เทมเปอร์เขียว 8มม.</t>
  </si>
  <si>
    <t>เทมเปอร์เขียว 10มม.</t>
  </si>
  <si>
    <t>เทมเปอร์เขียว 12มม.</t>
  </si>
  <si>
    <t>ชาดำ 3มม.</t>
  </si>
  <si>
    <t>ชาดำ 5มม.</t>
  </si>
  <si>
    <t>ลามิเนตชาเทา+ใส 6+6</t>
  </si>
  <si>
    <t>ลามิเนตชาเทา+ชาเทา 6+6</t>
  </si>
  <si>
    <t>ลามิเนตชาทอง+ชาทอง 6+6</t>
  </si>
  <si>
    <t>เทมเปอร์ชาทอง 10มม.</t>
  </si>
  <si>
    <t>ลามิเนตลอนแก้วใส+เงาชาทอง 5+5</t>
  </si>
  <si>
    <t>คิดทุนบานเลื่อน SMS — เลือกรูปแบบ + อุปกรณ์แยกชิ้น</t>
  </si>
  <si>
    <t>กว้างรวม (ซม.) →</t>
  </si>
  <si>
    <t>เลื่อน(ล้อ)=</t>
  </si>
  <si>
    <t>สูง (ซม.) →</t>
  </si>
  <si>
    <t>มือจับบาน=</t>
  </si>
  <si>
    <t>จำนวนบาน →</t>
  </si>
  <si>
    <t>ล็อคบาน=</t>
  </si>
  <si>
    <t>รูปแบบ → (อิสระ/ลากจูง/เปิดคู่กลาง)</t>
  </si>
  <si>
    <t>อิสระ</t>
  </si>
  <si>
    <t>เสากุญแจ=</t>
  </si>
  <si>
    <t>พื้นที่ (ตร.ม.) =</t>
  </si>
  <si>
    <t>รอยต่อ=</t>
  </si>
  <si>
    <t>บวกกำไร % →</t>
  </si>
  <si>
    <t>รางล่าง →</t>
  </si>
  <si>
    <t>ภายนอก</t>
  </si>
  <si>
    <t>ราคาซิลิโคน/หลอด →</t>
  </si>
  <si>
    <t>กระจก →</t>
  </si>
  <si>
    <t>← ราคากระจก/ตร.ม. (อัตโนมัติ)</t>
  </si>
  <si>
    <t>สี →</t>
  </si>
  <si>
    <t>สีอบขาว/ดำ</t>
  </si>
  <si>
    <t>จำนวน</t>
  </si>
  <si>
    <t>ราคา/หน่วย</t>
  </si>
  <si>
    <t>ทุน(บาท)</t>
  </si>
  <si>
    <t>ตบราง(นอก)/ตบปิดรางเตี้ย20050(ใน)</t>
  </si>
  <si>
    <t>กระจก (ตร.ม.)</t>
  </si>
  <si>
    <t>ล้อ 27 (2/บาน)</t>
  </si>
  <si>
    <t>มือจับ Align (2/บาน)</t>
  </si>
  <si>
    <t>ชุดล็อค</t>
  </si>
  <si>
    <t>สักหลาด (ม.)</t>
  </si>
  <si>
    <t>น็อต</t>
  </si>
  <si>
    <t>ซิลิโคน (หลอด) ใน+นอก</t>
  </si>
  <si>
    <t>ค่าเปิดตู้อบ</t>
  </si>
  <si>
    <t>สีอบพิเศษ / ลายไม้อบพิเศษ เท่านั้น</t>
  </si>
  <si>
    <t>ทุนรวม</t>
  </si>
  <si>
    <t>🔍 แยกก้อนต้นทุน</t>
  </si>
  <si>
    <t>ทุนอลู (×ราคา/กก.)</t>
  </si>
  <si>
    <t>ราคาขาย/ตร.ม. (ทุน+กำไร%)</t>
  </si>
  <si>
    <t>ทุนกระจก</t>
  </si>
  <si>
    <t>ทุนอุปกรณ์+ซิลิโคน</t>
  </si>
  <si>
    <t>ราคาขายรวม/ชุด</t>
  </si>
  <si>
    <t>รวมวัสดุ</t>
  </si>
  <si>
    <t>— มุ้ง (ออปชั่น) — บวกเข้าทุน —</t>
  </si>
  <si>
    <t>อลูเท่านั้นที่ ×ราคา/กก. · กระจก/อุปกรณ์คงที่</t>
  </si>
  <si>
    <t>เลือกมุ้ง →</t>
  </si>
  <si>
    <t>ชนิดผ้า / สี →</t>
  </si>
  <si>
    <t>เทา</t>
  </si>
  <si>
    <t>› เสา (เส้น 6ม.)</t>
  </si>
  <si>
    <t>› ขวาง (เส้น 6ม.)</t>
  </si>
  <si>
    <t>› ยางอัด (ม.)</t>
  </si>
  <si>
    <t>› ผ้า / มุ้งสำเร็จ</t>
  </si>
  <si>
    <t>› ค่าแรงผลิตมุ้ง</t>
  </si>
  <si>
    <t>› ค่าแรงติดตั้งมุ้ง</t>
  </si>
  <si>
    <t>รวมมุ้ง →</t>
  </si>
  <si>
    <t>— ผูกค่าแรง (ราคาขายรวมค่าแรง) —</t>
  </si>
  <si>
    <t>ค่าแรงผลิต (จากชีทค่าแรง)</t>
  </si>
  <si>
    <t>ค่าแรงติดตั้ง (จากชีทค่าแรง)</t>
  </si>
  <si>
    <t>ราคาขาย ผลิตอย่างเดียว</t>
  </si>
  <si>
    <t>ราคาขาย ผลิต+ติดตั้ง</t>
  </si>
  <si>
    <t>— ชุด auto (ออปชั่น) — บวกเข้าทุน × กำไ%</t>
  </si>
  <si>
    <t>ใส่ auto? →</t>
  </si>
  <si>
    <t>ไม่มี</t>
  </si>
  <si>
    <t>Evecca base</t>
  </si>
  <si>
    <t>ชุด auto →</t>
  </si>
  <si>
    <t>สายพาน/ม</t>
  </si>
  <si>
    <t>ออป Smart lock (Evecca) →</t>
  </si>
  <si>
    <t>ส่ง Evecca</t>
  </si>
  <si>
    <t>ออป Touch (ช่างแซก) →</t>
  </si>
  <si>
    <t>Smart lock</t>
  </si>
  <si>
    <t>ออป Infrared (ช่างแซก) →</t>
  </si>
  <si>
    <t>ช่างแซก base</t>
  </si>
  <si>
    <t>เซฟตี้ตาแมว</t>
  </si>
  <si>
    <t>ทุนชุด auto</t>
  </si>
  <si>
    <t>ราง/ม</t>
  </si>
  <si>
    <t>Touch</t>
  </si>
  <si>
    <t>Infrared</t>
  </si>
  <si>
    <t>กำไรค่าวัสดุ %</t>
  </si>
  <si>
    <t>กำไรค่าผลิต %</t>
  </si>
  <si>
    <t>กำไรค่าติดตั้ง %</t>
  </si>
  <si>
    <t>คิดทุนบานเลื่อนยูโร — เลือกรูปแบบ + อุปกรณ์แยกชิ้น</t>
  </si>
  <si>
    <t>กรอบบาน (รอบ)</t>
  </si>
  <si>
    <t>เฟรมบน+ล่างนอก (F7869 ตัดรวม)</t>
  </si>
  <si>
    <t>เดือย</t>
  </si>
  <si>
    <t>ตบปิดน๊อต F7988</t>
  </si>
  <si>
    <t>ตบปิดราง F7993</t>
  </si>
  <si>
    <t>ตบราง F7994</t>
  </si>
  <si>
    <t>ตบปิดร่องบน</t>
  </si>
  <si>
    <t>ชนกลาง(เปิดคู่กลาง)</t>
  </si>
  <si>
    <t>มุมเลื่อน (8/บาน)</t>
  </si>
  <si>
    <t>สปริงก็อต (4/บาน)</t>
  </si>
  <si>
    <t>— ชุด auto (ออปชั่น) — บวกเข้าทุน × กำไร%</t>
  </si>
  <si>
    <t>รวมราคามุ้ง (บวกเข้าทุนแล้ว)</t>
  </si>
  <si>
    <t>คิดทุนบานเลื่อน SlimLux — เลือกรูปแบบ + จำนวนบาน</t>
  </si>
  <si>
    <t>รูปแบบ →</t>
  </si>
  <si>
    <t>มือจับ →</t>
  </si>
  <si>
    <t>มือจับล็อค</t>
  </si>
  <si>
    <t>ขวางบน/ล่าง (WM-K04)</t>
  </si>
  <si>
    <t>เสาบาน (WM-K01)</t>
  </si>
  <si>
    <t>ตบเรียบ (WM-K02)</t>
  </si>
  <si>
    <t>ตบเกี่ยว (WM-K03)</t>
  </si>
  <si>
    <t>รางแขวน (WM-K15)</t>
  </si>
  <si>
    <t>ฝาล่างเล็ก (WM-K20)</t>
  </si>
  <si>
    <t>บังใบ 4หุน</t>
  </si>
  <si>
    <t>ฉากปิดราง</t>
  </si>
  <si>
    <t>กล่องเฟรม/คาน</t>
  </si>
  <si>
    <t>ตัวต่อ+สักหลาด (ชุด)</t>
  </si>
  <si>
    <t>ข้อต่อบาน</t>
  </si>
  <si>
    <t>ล้อล่าง (ตัว)</t>
  </si>
  <si>
    <t>soft close (ชุด)</t>
  </si>
  <si>
    <t>สลิง (ชุด)</t>
  </si>
  <si>
    <t>มือจับ</t>
  </si>
  <si>
    <t>มือจับล็อค=200/ชุด · X-J=860/บาน · ลูกค้าเตรียมเอง=0</t>
  </si>
  <si>
    <t>ซิลิโคน (หลอด)</t>
  </si>
  <si>
    <t>ราคาขาย/ตร.ม. (markup%)</t>
  </si>
  <si>
    <t>อิสระ: 2/3/4/5 บาน · ลากจูง: 3/4/5 บาน · เปิดคู่กลาง: 4/6 บาน</t>
  </si>
  <si>
    <t>อิสระ-2</t>
  </si>
  <si>
    <t>อิสระ-3</t>
  </si>
  <si>
    <t>อิสระ-4</t>
  </si>
  <si>
    <t>อิสระ-5</t>
  </si>
  <si>
    <t>ลากจูง-3</t>
  </si>
  <si>
    <t>ลากจูง-4</t>
  </si>
  <si>
    <t>ลากจูง-5</t>
  </si>
  <si>
    <t>เปิดคู่กลาง-4</t>
  </si>
  <si>
    <t>เปิดคู่กลาง-6</t>
  </si>
  <si>
    <t>ชุด SlimLux</t>
  </si>
  <si>
    <t>ออป SlimLux (บังคับเลือก1) →</t>
  </si>
  <si>
    <t>สแกนหน้า</t>
  </si>
  <si>
    <t>คิดทุน บานเลื่อนรางบน (Hafele · เลื่อนซ้อน) — ข้อ14</t>
  </si>
  <si>
    <t>กว้างช่อง (ซม.) →</t>
  </si>
  <si>
    <t>กว้าง/บาน=</t>
  </si>
  <si>
    <t>สูงช่อง (ซม.) →</t>
  </si>
  <si>
    <t>พื้นที่ ตร.ม.=</t>
  </si>
  <si>
    <t>ราง/บาน (เส้น6ม.)=</t>
  </si>
  <si>
    <t>สีอลู →</t>
  </si>
  <si>
    <t>ราคากระจก/ตร.ม.=</t>
  </si>
  <si>
    <t>สีพิเศษ?=</t>
  </si>
  <si>
    <t>เสากุญแจ/เส้น(สี)=</t>
  </si>
  <si>
    <t>ปัจจัยสีกล่อง=</t>
  </si>
  <si>
    <t>รายการวัสดุ</t>
  </si>
  <si>
    <t>ทุน (บาท)</t>
  </si>
  <si>
    <t>ล้อ Hafele (1 กล่อง/บาน)</t>
  </si>
  <si>
    <t>เสารับ 1"×4" (1 ต้น · ยาว=สูง)</t>
  </si>
  <si>
    <t>คานรับราง 1.6"×4" (1 เส้น · ยาว=ราง)</t>
  </si>
  <si>
    <t>กรอบบาน เสากุญแจ 20051 (รอบ4ด้าน×บาน)</t>
  </si>
  <si>
    <t>ชนกลางรับบาน (1 ท่อน · ยาว=สูง)</t>
  </si>
  <si>
    <t>ฉาก 4" ปิดราง (2 ท่อน · ยาว=ราง)</t>
  </si>
  <si>
    <t>ชุดล็อค (1/บาน)</t>
  </si>
  <si>
    <t>ค่าเปิดตู้อบ (สีพิเศษ)</t>
  </si>
  <si>
    <t>— ค่าแรง (ผลิต 6ชม×1 · ติดตั้ง 2คน×4ชม · เพิ่ม/ตร.ม. อ้าง SMS) —</t>
  </si>
  <si>
    <t>คิดทุนบานเปิด (Fuji, ขาวดำ) — นับเส้นเต็ม</t>
  </si>
  <si>
    <t>ธรณี (มี/ไม่มี) →</t>
  </si>
  <si>
    <t>มี</t>
  </si>
  <si>
    <t>วงกบ 3 ด้าน F7859</t>
  </si>
  <si>
    <t>ธรณี F7938B</t>
  </si>
  <si>
    <t>ตบธรณี F7960</t>
  </si>
  <si>
    <t>เสริมใต้บาน F7863</t>
  </si>
  <si>
    <t>กรอบประตู 7864</t>
  </si>
  <si>
    <t>คิ้ว F7935</t>
  </si>
  <si>
    <t>เปิดกลาง F7945c</t>
  </si>
  <si>
    <t>บานพับ hyda</t>
  </si>
  <si>
    <t>มือจับ+ล็อค ใบหลัก</t>
  </si>
  <si>
    <t>ชุดกลอน ใบลอง</t>
  </si>
  <si>
    <t>น็อตเฟรม</t>
  </si>
  <si>
    <t>ยาง (ม.)</t>
  </si>
  <si>
    <t>คิดทุนบานหมุน (Fuji) — เหมือนบานเปิด แต่จุดหมุนแทนบานพับ</t>
  </si>
  <si>
    <t>จุดหมุน (2 ตัว/บาน)</t>
  </si>
  <si>
    <t>คิดทุนบานกระทุ้ง (Fuji, ขาวดำ) — นับเส้นเต็ม</t>
  </si>
  <si>
    <t>ธรณี F7939B</t>
  </si>
  <si>
    <t>กรอบ 7943B</t>
  </si>
  <si>
    <t>วิทโก้ (2/บาน)</t>
  </si>
  <si>
    <t>CDQ</t>
  </si>
  <si>
    <t>รับล็อคลูกเบี้ยว</t>
  </si>
  <si>
    <t>ลูกเบี้ยว</t>
  </si>
  <si>
    <t>แกนล็อค</t>
  </si>
  <si>
    <t>แป้นรับล็อค</t>
  </si>
  <si>
    <t>สปริก็อต</t>
  </si>
  <si>
    <t>คลิปเข้ามุม</t>
  </si>
  <si>
    <t>น็อตประกอบบาน</t>
  </si>
  <si>
    <t>ยางอัดกระจก (ม.)</t>
  </si>
  <si>
    <t>ยาง foam (ม.)</t>
  </si>
  <si>
    <t>วาวล์ระบายน้ำ</t>
  </si>
  <si>
    <t>จำนวนมอเตอร์ (=จำนวนบาน) →</t>
  </si>
  <si>
    <t>ถอดทุนบานเฟี้ยม (sms, ขาวดำ) — นับเส้นเต็ม</t>
  </si>
  <si>
    <t>2บาน: 2-0 พับข้างเดียว</t>
  </si>
  <si>
    <t>2บาน: 1-1 เปิดกลาง</t>
  </si>
  <si>
    <t>จำนวนบาน (auto) →</t>
  </si>
  <si>
    <t>2บาน: 0-2 พับข้างเดียว</t>
  </si>
  <si>
    <t>รูปแบบพับ →</t>
  </si>
  <si>
    <t>3บาน: 3-0 พับข้างเดียว</t>
  </si>
  <si>
    <t>เฟรมล่าง →</t>
  </si>
  <si>
    <t>3บาน: 2-1 พับสลับ</t>
  </si>
  <si>
    <t>3บาน: 1-2 พับสลับ</t>
  </si>
  <si>
    <t>3บาน: 0-3 พับข้างเดียว</t>
  </si>
  <si>
    <t>4บาน: 4-0 พับข้างเดียว</t>
  </si>
  <si>
    <t>4บาน: 3-1 พับสลับ</t>
  </si>
  <si>
    <t>4บาน: 2-2 เปิดกลาง</t>
  </si>
  <si>
    <t>B24001 เฟรมบน</t>
  </si>
  <si>
    <t>4บาน: 1-3 พับสลับ</t>
  </si>
  <si>
    <t>— มุ้ง (ออปชั่น · ซื้อสำเร็จ) — บวกเข้าทุนแล้ว</t>
  </si>
  <si>
    <t>B24002 คิ้วเฟรมบน</t>
  </si>
  <si>
    <t>4บาน: 0-4 พับข้างเดียว</t>
  </si>
  <si>
    <t>5บาน: 5-0 พับข้างเดียว</t>
  </si>
  <si>
    <t>รวมราคามุ้ง (บวกเข้าทุน)</t>
  </si>
  <si>
    <t>B24004 ตบธรณี</t>
  </si>
  <si>
    <t>5บาน: 4-1 พับสลับ</t>
  </si>
  <si>
    <t>B24005 เฟรมข้าง</t>
  </si>
  <si>
    <t>5บาน: 3-2 พับสลับ</t>
  </si>
  <si>
    <t>B24006 คิ้วเฟรมข้าง</t>
  </si>
  <si>
    <t>5บาน: 2-3 พับสลับ</t>
  </si>
  <si>
    <t>B24007 เสาบาน</t>
  </si>
  <si>
    <t>5บาน: 1-4 พับสลับ</t>
  </si>
  <si>
    <t>B24008 คิ้วตบกระจก</t>
  </si>
  <si>
    <t>5บาน: 0-5 พับข้างเดียว</t>
  </si>
  <si>
    <t>B24009 ต่อกลาง</t>
  </si>
  <si>
    <t>6บาน: 6-0 พับข้างเดียว</t>
  </si>
  <si>
    <t>6บาน: 5-1 พับสลับ</t>
  </si>
  <si>
    <t>6บาน: 4-2 พับสลับ</t>
  </si>
  <si>
    <t>อุปกรณ์</t>
  </si>
  <si>
    <t>auto-lookup จาก B5</t>
  </si>
  <si>
    <t>6บาน: 3-3 เปิดกลาง</t>
  </si>
  <si>
    <t>6บาน: 2-4 พับสลับ</t>
  </si>
  <si>
    <t>6บาน: 1-5 พับสลับ</t>
  </si>
  <si>
    <t>6บาน: 0-6 พับข้างเดียว</t>
  </si>
  <si>
    <t>7บาน: 7-0 พับข้างเดียว</t>
  </si>
  <si>
    <t>7บาน: 6-1 พับสลับ</t>
  </si>
  <si>
    <t>7บาน: 5-2 พับสลับ</t>
  </si>
  <si>
    <t>ต่อกลาง B24009 ขาวดำ 325 · ราคาขาย/ตร.ม. = ทุน×(1+markup%) · อุปกรณ์ดูตารางล่าง</t>
  </si>
  <si>
    <t>7บาน: 4-3 พับสลับ</t>
  </si>
  <si>
    <t>7บาน: 3-4 พับสลับ</t>
  </si>
  <si>
    <t>7บาน: 2-5 พับสลับ</t>
  </si>
  <si>
    <t>pattern</t>
  </si>
  <si>
    <t>อุปกรณ์ (บาท)</t>
  </si>
  <si>
    <t>7บาน: 1-6 พับสลับ</t>
  </si>
  <si>
    <t>0-2 / 2-0</t>
  </si>
  <si>
    <t>7บาน: 0-7 พับข้างเดียว</t>
  </si>
  <si>
    <t>0-3 / 3-0 พับข้างเดียว</t>
  </si>
  <si>
    <t>8บาน: 8-0 พับข้างเดียว</t>
  </si>
  <si>
    <t>1-2 / 2-1 พับสลับ</t>
  </si>
  <si>
    <t>8บาน: 7-1 พับสลับ</t>
  </si>
  <si>
    <t>4-0 / 0-4 พับข้างเดียว</t>
  </si>
  <si>
    <t>8บาน: 6-2 พับสลับ</t>
  </si>
  <si>
    <t>1-3 / 3-1 พับสลับ</t>
  </si>
  <si>
    <t>8บาน: 5-3 พับสลับ</t>
  </si>
  <si>
    <t>2-2 เปิดกลาง</t>
  </si>
  <si>
    <t>8บาน: 4-4 เปิดกลาง</t>
  </si>
  <si>
    <t>5-0 / 0-5 พับข้างเดียว</t>
  </si>
  <si>
    <t>8บาน: 3-5 พับสลับ</t>
  </si>
  <si>
    <t>พับสลับ ทุก pattern</t>
  </si>
  <si>
    <t>8บาน: 2-6 พับสลับ</t>
  </si>
  <si>
    <t>6-0 / 0-6 พับข้างเดียว</t>
  </si>
  <si>
    <t>8บาน: 1-7 พับสลับ</t>
  </si>
  <si>
    <t>พับสลับ + 3-3 เปิดกลาง</t>
  </si>
  <si>
    <t>8บาน: 0-8 พับข้างเดียว</t>
  </si>
  <si>
    <t>ทุก pattern</t>
  </si>
  <si>
    <t>9บาน: 9-0 พับข้างเดียว</t>
  </si>
  <si>
    <t>4-4 เปิดกลาง</t>
  </si>
  <si>
    <t>9บาน: 8-1 พับสลับ</t>
  </si>
  <si>
    <t>พับข้างเดียว / สลับ</t>
  </si>
  <si>
    <t>9บาน: 7-2 พับสลับ</t>
  </si>
  <si>
    <t>9บาน: 6-3 พับสลับ</t>
  </si>
  <si>
    <t>9บาน: 5-4 พับสลับ</t>
  </si>
  <si>
    <t>5-5 เปิดกลาง</t>
  </si>
  <si>
    <t>9บาน: 4-5 พับสลับ</t>
  </si>
  <si>
    <t>9บาน: 3-6 พับสลับ</t>
  </si>
  <si>
    <t>9บาน: 2-7 พับสลับ</t>
  </si>
  <si>
    <t>6-6 เปิดกลาง</t>
  </si>
  <si>
    <t>9บาน: 1-8 พับสลับ</t>
  </si>
  <si>
    <t>9-12 บาน (ประมาณ ±5% — อัพเดตเมื่อได้ catalog)</t>
  </si>
  <si>
    <t>9บาน: 0-9 พับข้างเดียว</t>
  </si>
  <si>
    <t>รูปแบบพับ</t>
  </si>
  <si>
    <t>10บาน: 10-0 พับข้างเดียว</t>
  </si>
  <si>
    <t>ทุก pattern (9-0 ถึง 0-9)</t>
  </si>
  <si>
    <t>10บาน: 9-1 พับสลับ</t>
  </si>
  <si>
    <t>พับข้างเดียว/สลับ (10-0 ถึง 0-10)</t>
  </si>
  <si>
    <t>10บาน: 8-2 พับสลับ</t>
  </si>
  <si>
    <t>10บาน: 7-3 พับสลับ</t>
  </si>
  <si>
    <t>ทุก pattern (11-0 ถึง 0-11)</t>
  </si>
  <si>
    <t>10บาน: 6-4 พับสลับ</t>
  </si>
  <si>
    <t>พับข้างเดียว/สลับ (12-0 ถึง 0-12)</t>
  </si>
  <si>
    <t>10บาน: 5-5 เปิดกลาง</t>
  </si>
  <si>
    <t>10บาน: 4-6 พับสลับ</t>
  </si>
  <si>
    <t>10บาน: 3-7 พับสลับ</t>
  </si>
  <si>
    <t>10บาน: 2-8 พับสลับ</t>
  </si>
  <si>
    <t>× จำนวนบาน (คิดต่อใบเฟี้ยม)</t>
  </si>
  <si>
    <t>10บาน: 1-9 พับสลับ</t>
  </si>
  <si>
    <t>10บาน: 0-10 พับข้างเดียว</t>
  </si>
  <si>
    <t>11บาน: 11-0 พับข้างเดียว</t>
  </si>
  <si>
    <t>11บาน: 10-1 พับสลับ</t>
  </si>
  <si>
    <t>11บาน: 9-2 พับสลับ</t>
  </si>
  <si>
    <t>11บาน: 8-3 พับสลับ</t>
  </si>
  <si>
    <t>11บาน: 7-4 พับสลับ</t>
  </si>
  <si>
    <t>11บาน: 6-5 พับสลับ</t>
  </si>
  <si>
    <t>11บาน: 5-6 พับสลับ</t>
  </si>
  <si>
    <t>11บาน: 4-7 พับสลับ</t>
  </si>
  <si>
    <t>11บาน: 3-8 พับสลับ</t>
  </si>
  <si>
    <t>11บาน: 2-9 พับสลับ</t>
  </si>
  <si>
    <t>11บาน: 1-10 พับสลับ</t>
  </si>
  <si>
    <t>11บาน: 0-11 พับข้างเดียว</t>
  </si>
  <si>
    <t>12บาน: 12-0 พับข้างเดียว</t>
  </si>
  <si>
    <t>12บาน: 11-1 พับสลับ</t>
  </si>
  <si>
    <t>12บาน: 10-2 พับสลับ</t>
  </si>
  <si>
    <t>12บาน: 9-3 พับสลับ</t>
  </si>
  <si>
    <t>12บาน: 8-4 พับสลับ</t>
  </si>
  <si>
    <t>12บาน: 7-5 พับสลับ</t>
  </si>
  <si>
    <t>12บาน: 6-6 เปิดกลาง</t>
  </si>
  <si>
    <t>12บาน: 5-7 พับสลับ</t>
  </si>
  <si>
    <t>12บาน: 4-8 พับสลับ</t>
  </si>
  <si>
    <t>12บาน: 3-9 พับสลับ</t>
  </si>
  <si>
    <t>12บาน: 2-10 พับสลับ</t>
  </si>
  <si>
    <t>12บาน: 1-11 พับสลับ</t>
  </si>
  <si>
    <t>12บาน: 0-12 พับข้างเดียว</t>
  </si>
  <si>
    <t>ใส่ auto? (เฟี้ยมยก) →</t>
  </si>
  <si>
    <t>คิดทุนบานติดตาย (กระจกล้วน)</t>
  </si>
  <si>
    <t>กล่อง/เส้น</t>
  </si>
  <si>
    <t>9014/เส้น</t>
  </si>
  <si>
    <t>จำนวนช่อง →</t>
  </si>
  <si>
    <t>ชนิดกระจก →</t>
  </si>
  <si>
    <t>ราคากระจก (auto/แก้ได้) →</t>
  </si>
  <si>
    <t>กล่อง 1.6"x3" (วิ่งรอบ)</t>
  </si>
  <si>
    <t>9014 ตัวตบหน้ากระจก (วิ่งรอบ)</t>
  </si>
  <si>
    <t>ฉาก อลู 1"x1" (4 มุม/ช่อง)</t>
  </si>
  <si>
    <t>เหมา 5 บาท/มุม × 4 มุม × ช่อง (ฉากเข้ามุมใช้จริง ~10ซม./มุม)</t>
  </si>
  <si>
    <t>เทปหนุนกระจก (ม.)</t>
  </si>
  <si>
    <t>ค่าแรงผลิต (175/ตร.ม.)</t>
  </si>
  <si>
    <t>ค่าแรงติดตั้ง (175/ตร.ม.)</t>
  </si>
  <si>
    <t>ขายผลิตอย่างเดียว</t>
  </si>
  <si>
    <t>ขายผลิต+ติดตั้ง</t>
  </si>
  <si>
    <t>คิดทุนบาน Velora — อลูดิบ+อบสีแยก</t>
  </si>
  <si>
    <t>กว้างช่องปูน (ซม.) →</t>
  </si>
  <si>
    <t>N_วงกบ</t>
  </si>
  <si>
    <t>เทมเปอร์เขียว/ใส 6มม.</t>
  </si>
  <si>
    <t>สูงช่องปูน (ซม.) →</t>
  </si>
  <si>
    <t>N_บาน</t>
  </si>
  <si>
    <t>เทมเปอร์ชาดำ 6มม.</t>
  </si>
  <si>
    <t>น้ำหนัก(กก.)</t>
  </si>
  <si>
    <t>เทมเปอร์ฟ้า 6มม.</t>
  </si>
  <si>
    <t>อบขาว/ดำ/เทา</t>
  </si>
  <si>
    <t>ค่าอบสี</t>
  </si>
  <si>
    <t>มือจับคู่ →</t>
  </si>
  <si>
    <t>ธรณี →</t>
  </si>
  <si>
    <t>ราคากระจก (บาท/ตร.ม.) =</t>
  </si>
  <si>
    <t>เทมเปอร์ Reflective เทา 6มม.</t>
  </si>
  <si>
    <t>เทมเปอร์ Reflective เขียว 6มม.</t>
  </si>
  <si>
    <t>เทมเปอร์ Reflective ฟ้า 6มม.</t>
  </si>
  <si>
    <t>ROUNDUP((W+2H)/600) เส้น</t>
  </si>
  <si>
    <t>บาน (วิ่งรอบ 4 ด้าน)</t>
  </si>
  <si>
    <t>1ใบ=ROUNDUP(2(W+H)/600) · 2ใบ+1เสากลาง</t>
  </si>
  <si>
    <t>ขาว/ดำ/เทา: ≤20กก.=3,000 / &gt;20กก.=×110 | พิเศษ=×130 | ลายไม้=×140</t>
  </si>
  <si>
    <t>บานพับ (4 ตัว/บาน)</t>
  </si>
  <si>
    <t>4 ตัว/บาน × 110 บาท</t>
  </si>
  <si>
    <t>เดี่ยว=450 | คู่=900</t>
  </si>
  <si>
    <t>ธรณี (ไม่คิดเงิน)</t>
  </si>
  <si>
    <t>มีหรือไม่มีราคาเท่ากัน</t>
  </si>
  <si>
    <t>น้ำหนักรวม (กก.) =</t>
  </si>
  <si>
    <t>คิดทุนบานเลื่อน E-series (aluinch) — นับเส้นเต็ม 6.4ม. | ไม่มีมือจับ</t>
  </si>
  <si>
    <t>ราคา/กก.=</t>
  </si>
  <si>
    <t>สีคิดทุน→</t>
  </si>
  <si>
    <t>ล็อคก้นหอย (ตัว) →</t>
  </si>
  <si>
    <t>← กรอกจำนวนเอง (default 2)</t>
  </si>
  <si>
    <t>บวกกำไร % → (1 = 100%)</t>
  </si>
  <si>
    <t>เฟรมบน E-01</t>
  </si>
  <si>
    <t>1 เส้น × กว้าง</t>
  </si>
  <si>
    <t>เฟรมล่างกันน้ำ E-03</t>
  </si>
  <si>
    <t>เฟรมข้าง E-02C</t>
  </si>
  <si>
    <t>2 เส้น × สูง</t>
  </si>
  <si>
    <t>ถาดลองน้ำ E-03B</t>
  </si>
  <si>
    <t>ใต้เฟรมล่าง = เท่าเฟรมล่าง</t>
  </si>
  <si>
    <t>เสากุญแจสลิม E-04e</t>
  </si>
  <si>
    <t>เสากุญแจ × สูง (ไม่ใส่มือจับ)</t>
  </si>
  <si>
    <t>เสาเกี่ยวสลิม E-05e</t>
  </si>
  <si>
    <t>2 ต้น/รอยต่อ × สูง</t>
  </si>
  <si>
    <t>ขวางบน/ล่าง E-07e</t>
  </si>
  <si>
    <t>2 × บาน × กว้างบาน</t>
  </si>
  <si>
    <t>ตบปิดเฟรมบน E-01A</t>
  </si>
  <si>
    <t>อิสระ3บาน → 0 · อื่นๆ: กว้าง&gt;300?2:1</t>
  </si>
  <si>
    <t>ตบธรณีเฟรมล่าง E-03C</t>
  </si>
  <si>
    <t>เท่าตบปิดเฟรมบน</t>
  </si>
  <si>
    <t>กว้าง+ซ้อนเกย × สูง</t>
  </si>
  <si>
    <t>ล้อ ehr-80 (2/บานเลื่อน)</t>
  </si>
  <si>
    <t>ล็อคก้นหอย</t>
  </si>
  <si>
    <t>สูตรเดียวกับ SMS</t>
  </si>
  <si>
    <t>สูตรเดียวกับ SMS (ราคา/ตัวรอเคาะ)</t>
  </si>
  <si>
    <t>สีพิเศษเท่านั้น</t>
  </si>
  <si>
    <t>คิดทุน PC Door — บานเปิด (Fuji)  |  นับเส้นเต็ม</t>
  </si>
  <si>
    <t>แบ่ง 2</t>
  </si>
  <si>
    <t>ซอฟโค้ด →</t>
  </si>
  <si>
    <t>ใส่</t>
  </si>
  <si>
    <t>← ใส่ = 1,170 บาท/ชุด | ไม่ใส่ = ตัดออก</t>
  </si>
  <si>
    <t>ซิลิโคน/หลอด (บาท) →</t>
  </si>
  <si>
    <t>จำนวนบาน =</t>
  </si>
  <si>
    <t>ราคา/หน่วย (บาท)</t>
  </si>
  <si>
    <t>บานพับ hyda (ตัว)</t>
  </si>
  <si>
    <t>4/บานที่มีบานพับ</t>
  </si>
  <si>
    <t>ล้อ+ซอฟโค้ด (ชุด)  ⚠</t>
  </si>
  <si>
    <t>1/บานที่เลื่อน  ← เติม B10</t>
  </si>
  <si>
    <t>มือจับ Align SMS (บาน)</t>
  </si>
  <si>
    <t>2×99=198/บาน</t>
  </si>
  <si>
    <t>กลอนบานลอง (ชุด)</t>
  </si>
  <si>
    <t>ทั้งสอง config มี 1 บานลอง</t>
  </si>
  <si>
    <t>น็อตเฟรม (ตัว)</t>
  </si>
  <si>
    <t>11 บาท/ม.</t>
  </si>
  <si>
    <t>ซิลิโคน ใน+นอก (หลอด)</t>
  </si>
  <si>
    <t>▶  สรุปทุนและราคาขาย</t>
  </si>
  <si>
    <t>ทุนรวม (บาท)</t>
  </si>
  <si>
    <t>ทุน/ตร.ม. (บาท)</t>
  </si>
  <si>
    <t>ราคาขาย/ตร.ม. (Markup)</t>
  </si>
  <si>
    <t>ราคาขายรวม/ชุด (บาท)</t>
  </si>
  <si>
    <t>▶  เทียบ R3.9 v11</t>
  </si>
  <si>
    <t>ข้อ R3.9</t>
  </si>
  <si>
    <t>เรต (บาท/ตร.ม.)</t>
  </si>
  <si>
    <t>ราคาขาย R3.9/ชุด</t>
  </si>
  <si>
    <t>— มุ้ง (ออปชั่น · ซื้อสำเร็จ) — บวกเข้าทุน —</t>
  </si>
  <si>
    <t>คิดทุนบานยก (sms, ขาวดำ) — เดี่ยว/ถ่วง</t>
  </si>
  <si>
    <t>แบบ (เดี่ยว/ถ่วง) →</t>
  </si>
  <si>
    <t>เดี่ยว</t>
  </si>
  <si>
    <t>กล่องร่องมีสกรู</t>
  </si>
  <si>
    <t>อแดปเตอร์บน</t>
  </si>
  <si>
    <t>เฟรมล่าง</t>
  </si>
  <si>
    <t>อแดปเตอร์รูสกรู</t>
  </si>
  <si>
    <t>กล่องอุปกรณ์</t>
  </si>
  <si>
    <t>ล๊อคกลาง</t>
  </si>
  <si>
    <t>คอยสปริง</t>
  </si>
  <si>
    <t>ฝาปิดฝุ่น</t>
  </si>
  <si>
    <t>ตลับตะขอเกี่ยว</t>
  </si>
  <si>
    <t>กิ๊ปล็อค</t>
  </si>
  <si>
    <t>กล่องใส่สปริง</t>
  </si>
  <si>
    <t>ถอดทุนบานเฟี้ยมยูโร (Fuji bi-fold) — นับเส้นเต็ม Σ÷6400</t>
  </si>
  <si>
    <t>LUT รูปแบบ (ซ่อนได้)</t>
  </si>
  <si>
    <t>ชนกลาง=</t>
  </si>
  <si>
    <t>บานพับ=</t>
  </si>
  <si>
    <t>สีidx=</t>
  </si>
  <si>
    <t>กว้างบาน(มม)=</t>
  </si>
  <si>
    <t>ปกติ</t>
  </si>
  <si>
    <t>W(มม)=</t>
  </si>
  <si>
    <t>H(มม)=</t>
  </si>
  <si>
    <t>← ราคากระจก/ตร.ม.</t>
  </si>
  <si>
    <t>วัสดุอลู (F79xx)</t>
  </si>
  <si>
    <t>Σยาว(มม)</t>
  </si>
  <si>
    <t>ราคา/เส้น</t>
  </si>
  <si>
    <t>F7968 เฟรมบน</t>
  </si>
  <si>
    <t>F7969 เฟรมล่าง</t>
  </si>
  <si>
    <t>F7970 เฟรมข้าง</t>
  </si>
  <si>
    <t>F7971 คิ้วตบเฟรมข้าง</t>
  </si>
  <si>
    <t>F7973 ตบปิดเฟรม (=เฟรมบน)</t>
  </si>
  <si>
    <t>F7972 กรอบบาน (4ด้าน)</t>
  </si>
  <si>
    <t>F7974 ชนกลางบานคู่</t>
  </si>
  <si>
    <t>F7962 รับล็อค</t>
  </si>
  <si>
    <t>F7935 คิ้วกระจก (4ด้าน)</t>
  </si>
  <si>
    <t>— ฮาร์ดแวร์ (HD, ราคา guide) —</t>
  </si>
  <si>
    <t>HD-640 บานพับล้อบน</t>
  </si>
  <si>
    <t>HD-641 บานพับเฟี้ยม</t>
  </si>
  <si>
    <t>HD-642 บานพับมือจับ</t>
  </si>
  <si>
    <t>HD-643 บานพับไกด์ล่าง</t>
  </si>
  <si>
    <t>HD-474 มือจับกลอน</t>
  </si>
  <si>
    <t>HD-312 ตลับกลอนล็อค</t>
  </si>
  <si>
    <t>HD-1180 ก้านสไลด์</t>
  </si>
  <si>
    <t>HD-213 ฉากเข้ามุม</t>
  </si>
  <si>
    <t>HD-200 ฉากประคองมุม</t>
  </si>
  <si>
    <t>— ยาง/สักหลาด (สูตร guide × ราคาต้นทุน) —</t>
  </si>
  <si>
    <t>ยางลูกโป่ง 6mm</t>
  </si>
  <si>
    <t>สักหลาด 5mm</t>
  </si>
  <si>
    <t>ยางอัด</t>
  </si>
  <si>
    <t>ยางรอง</t>
  </si>
  <si>
    <t>รางยู (=SMS) + กรีดพื้น 200/ม.</t>
  </si>
  <si>
    <t>ราคาขาย/ตร.ม. (markup)</t>
  </si>
  <si>
    <t>คิดทุนบานตายดัดโค้ง (ช่องปูนโค้ง บานแบน) — 1 โค้ง/ชีท</t>
  </si>
  <si>
    <t>กว้าง (ซม.) →</t>
  </si>
  <si>
    <t>ราคากระจก/ตร.ม. (auto) →</t>
  </si>
  <si>
    <t>จำนวนโค้ง →</t>
  </si>
  <si>
    <t>ค่าดัดโค้ง (อลูทั้งชุด รวมกล่อง)</t>
  </si>
  <si>
    <t>กล่องเปิด(1267)+ตบปิดเปิด(582) ยาว=กว้าง</t>
  </si>
  <si>
    <t>ปัดขึ้นหลักร้อย</t>
  </si>
  <si>
    <t>ค่าแรงผลิต (263/ตร.ม.)</t>
  </si>
  <si>
    <t>ค่าแรงติดตั้ง (263/ตร.ม.)</t>
  </si>
  <si>
    <t>คิดทุนบานเปิดดัดโค้ง (สั่งร้านอื่น + กระจก + ซิลิโคน + ค่าแรง)</t>
  </si>
  <si>
    <t>น้ำหนักอลู(กก.)=</t>
  </si>
  <si>
    <t>LUT ราคาบาน (ซ่อนได้) key|ขาว-ดำ|เทา|ลายไม้</t>
  </si>
  <si>
    <t>1|2.4</t>
  </si>
  <si>
    <t>สูงรวมโค้ง (ซม.) →</t>
  </si>
  <si>
    <t>key=</t>
  </si>
  <si>
    <t>1|2.6</t>
  </si>
  <si>
    <t>1|2.7</t>
  </si>
  <si>
    <t>ความสูงโค้ง (ซม.) →</t>
  </si>
  <si>
    <t>1|2.8</t>
  </si>
  <si>
    <t>2|2.4</t>
  </si>
  <si>
    <t>2|2.6</t>
  </si>
  <si>
    <t>2|2.7</t>
  </si>
  <si>
    <t>2|2.8</t>
  </si>
  <si>
    <t>ราคาซิลิโคน/หลอด (PU) →</t>
  </si>
  <si>
    <t>ราคาบาน กรอกเอง (ว่าง=ใช้ตาราง) →</t>
  </si>
  <si>
    <t>กฎโค้ง:</t>
  </si>
  <si>
    <t>ราคาบาน (สั่งร้านอื่น รวมอุปกรณ์)</t>
  </si>
  <si>
    <t>กระจก (เต็ม กว้าง×สูง)</t>
  </si>
  <si>
    <t>ตัดโค้งทิ้ง คิดเต็ม</t>
  </si>
  <si>
    <t>ซิลิโคน (PU) ใน+นอก</t>
  </si>
  <si>
    <t>90/หลอด</t>
  </si>
  <si>
    <t>ค่าแรงผลิต (90/ตร.ม.)</t>
  </si>
  <si>
    <t>ค่าแรงติดตั้ง (=บานเปิดยูโร)</t>
  </si>
  <si>
    <t>ราคาขาย/ชุด (ทุนรวม×กำไร — อ้างอิงเฉยๆ ใช้แถว 25-26)</t>
  </si>
  <si>
    <t>คิดทุนบานระแนง 38.4 (บังตา/ผนัง) — เลือกรุ่น → ทุน → เทียบ R3.9</t>
  </si>
  <si>
    <t>LUT (ซ่อนได้)</t>
  </si>
  <si>
    <t>ตัวหาร 600</t>
  </si>
  <si>
    <t>กล่องระแนง →</t>
  </si>
  <si>
    <t>พื้นที่ (ตร.ม.)</t>
  </si>
  <si>
    <t>เส้นโครง</t>
  </si>
  <si>
    <t>กล่อง 1×5 cm|1 cm|5</t>
  </si>
  <si>
    <t>1 cm</t>
  </si>
  <si>
    <t>5 cm</t>
  </si>
  <si>
    <t>ด้านโชว์ →</t>
  </si>
  <si>
    <t>1.6"</t>
  </si>
  <si>
    <t>โชว์ (ซม.)</t>
  </si>
  <si>
    <t>ราคาโครง/เส้น</t>
  </si>
  <si>
    <t>กล่อง 1×5 cm|1 cm|3</t>
  </si>
  <si>
    <t>1"</t>
  </si>
  <si>
    <t>ช่องห่าง (ซม.) →</t>
  </si>
  <si>
    <t>pitch (ซม.)</t>
  </si>
  <si>
    <t>สีพิเศษ (บาท)</t>
  </si>
  <si>
    <t>กล่อง 1×5 cm|1 cm|2</t>
  </si>
  <si>
    <t>1.5"</t>
  </si>
  <si>
    <t>โครง →</t>
  </si>
  <si>
    <t>ไม่รวม</t>
  </si>
  <si>
    <t>ยาว/ใบ (ซม.)</t>
  </si>
  <si>
    <t>ขาย N</t>
  </si>
  <si>
    <t>กล่อง 1×5 cm|5 cm|5</t>
  </si>
  <si>
    <t>ช่วงกระจาย (ซม.)</t>
  </si>
  <si>
    <t>ขาย F</t>
  </si>
  <si>
    <t>กล่อง 1×5 cm|5 cm|3</t>
  </si>
  <si>
    <t>4"</t>
  </si>
  <si>
    <t>แนวเกล็ด →</t>
  </si>
  <si>
    <t>นอน</t>
  </si>
  <si>
    <t>จำนวนใบ</t>
  </si>
  <si>
    <t>addสี</t>
  </si>
  <si>
    <t>กล่อง 1×5 cm|5 cm|2</t>
  </si>
  <si>
    <t>เส้นใบ</t>
  </si>
  <si>
    <t>ขาย/ตร.ม.</t>
  </si>
  <si>
    <t>กล่อง 1"×1.6"|1"|5</t>
  </si>
  <si>
    <t>ปัจจัยสี</t>
  </si>
  <si>
    <t>กล่อง 1"×1.6"|1"|3</t>
  </si>
  <si>
    <t>ค่าแรงผลิต (บาท/ตร.ม.) →</t>
  </si>
  <si>
    <t>ราคากล่อง/เส้น</t>
  </si>
  <si>
    <t>low กว้าง</t>
  </si>
  <si>
    <t>กล่อง 1"×1.6"|1"|2</t>
  </si>
  <si>
    <t>ต่อระแนง →</t>
  </si>
  <si>
    <t>ไม่ต่อ</t>
  </si>
  <si>
    <t>snap ช่องห่าง</t>
  </si>
  <si>
    <t>up กว้าง</t>
  </si>
  <si>
    <t>กล่อง 1"×1.6"|1.6"|5</t>
  </si>
  <si>
    <t>ค่าแรงติดตั้ง (บาท/ตร.ม.) →</t>
  </si>
  <si>
    <t>snap กว้าง</t>
  </si>
  <si>
    <t>กล่อง 1"×1.6"|1.6"|3</t>
  </si>
  <si>
    <t>sellRow</t>
  </si>
  <si>
    <t>low สูง</t>
  </si>
  <si>
    <t>ลายไม้สต๊อก</t>
  </si>
  <si>
    <t>กล่อง 1"×1.6"|1.6"|2</t>
  </si>
  <si>
    <t>ระยะห่างจริง(ลงตัว)</t>
  </si>
  <si>
    <t>up สูง</t>
  </si>
  <si>
    <t>กล่อง 1"×1"|1"|5</t>
  </si>
  <si>
    <t>snap สูง</t>
  </si>
  <si>
    <t>กล่อง 1"×1"|1"|3</t>
  </si>
  <si>
    <t>กว้างใช้</t>
  </si>
  <si>
    <t>กล่อง 1"×1"|1"|2</t>
  </si>
  <si>
    <t>โครงดาม 1"x1.6"</t>
  </si>
  <si>
    <t>สูงใช้</t>
  </si>
  <si>
    <t>สีพิเศษ (ค่าเปิดตู้อบ)</t>
  </si>
  <si>
    <t>L0 ฐาน</t>
  </si>
  <si>
    <t>ค่าแรง (ผลิต+ติดตั้ง)</t>
  </si>
  <si>
    <t>R เศษ</t>
  </si>
  <si>
    <t>เส้นไม่ต่อ</t>
  </si>
  <si>
    <t>เส้นต่อ</t>
  </si>
  <si>
    <t>ค่าใบไม่ต่อ</t>
  </si>
  <si>
    <t>ค่าใบต่อ</t>
  </si>
  <si>
    <t>กล่อง 1"×4"|1"|5</t>
  </si>
  <si>
    <t>กล่อง 1"×4"|1"|3</t>
  </si>
  <si>
    <t>กล่อง 1"×4"|1"|2</t>
  </si>
  <si>
    <t>หมายเหตุ: ใบ+โครงเป็นกล่องทั้งหมด · ช่องห่างกรอกเอง · ขาย R3.9 เทียบเรตช่องห่างใกล้สุด 5/3/2 ซม. · rnSL + 38.1/38.2/38.3 ทำทีหลัง</t>
  </si>
  <si>
    <t>กล่อง 1"×4"|4"|5</t>
  </si>
  <si>
    <t>ค่าใบ ไม่ต่อ =</t>
  </si>
  <si>
    <t>กล่อง 1"×4"|4"|3</t>
  </si>
  <si>
    <t>ค่าใบ ต่อ =</t>
  </si>
  <si>
    <t>กล่อง 1"×4"|4"|2</t>
  </si>
  <si>
    <t>ต่อ ถูกลง =</t>
  </si>
  <si>
    <t>กล่อง 1"×4"|4"|0</t>
  </si>
  <si>
    <t>กล่อง 1.6"×1.6"|1.6"|5</t>
  </si>
  <si>
    <t>กล่อง 1.6"×1.6"|1.6"|3</t>
  </si>
  <si>
    <t>กล่อง 1.6"×1.6"|1.6"|2</t>
  </si>
  <si>
    <t>กล่อง 1.6"×4"|1.6"|5</t>
  </si>
  <si>
    <t>กล่อง 1.6"×4"|1.6"|3</t>
  </si>
  <si>
    <t>กล่อง 1.6"×4"|1.6"|2</t>
  </si>
  <si>
    <t>กล่อง 1.6"×4"|4"|5</t>
  </si>
  <si>
    <t>กล่อง 1.6"×4"|4"|3</t>
  </si>
  <si>
    <t>กล่อง 1.6"×4"|4"|2</t>
  </si>
  <si>
    <t>คิดทุนระแนงวางสลับ 2 โปรไฟล์ — ปรับระยะห่างเต็มบานพอดี</t>
  </si>
  <si>
    <t>LUT</t>
  </si>
  <si>
    <t>idx</t>
  </si>
  <si>
    <t>กล่อง A →</t>
  </si>
  <si>
    <t>พื้นที่ ตร.ม.</t>
  </si>
  <si>
    <t>โชว์ A →</t>
  </si>
  <si>
    <t>โชว์A ซม.</t>
  </si>
  <si>
    <t>A กี่ท่อน/ชุด →</t>
  </si>
  <si>
    <t>โชว์B ซม.</t>
  </si>
  <si>
    <t>กล่อง B →</t>
  </si>
  <si>
    <t>L0</t>
  </si>
  <si>
    <t>โชว์ B →</t>
  </si>
  <si>
    <t>ราคา A/เส้น</t>
  </si>
  <si>
    <t>R</t>
  </si>
  <si>
    <t>B กี่ท่อน/ชุด →</t>
  </si>
  <si>
    <t>ราคา B/เส้น</t>
  </si>
  <si>
    <t>เส้นA ไม่ต่อ</t>
  </si>
  <si>
    <t>ระยะห่างเป้า (ซม.) →</t>
  </si>
  <si>
    <t>ท่อนรวม</t>
  </si>
  <si>
    <t>เส้นA ต่อ</t>
  </si>
  <si>
    <t>กว้างบาน (ซม.) →</t>
  </si>
  <si>
    <t>ท่อน A</t>
  </si>
  <si>
    <t>เส้นB ไม่ต่อ</t>
  </si>
  <si>
    <t>สูงบาน (ซม.) →</t>
  </si>
  <si>
    <t>ท่อน B</t>
  </si>
  <si>
    <t>เส้นB ต่อ</t>
  </si>
  <si>
    <t>หน้ารวม(ซม.)</t>
  </si>
  <si>
    <t>ค่าต่อ</t>
  </si>
  <si>
    <t>ระยะห่างจริง</t>
  </si>
  <si>
    <t>เส้น A</t>
  </si>
  <si>
    <t>เส้น B</t>
  </si>
  <si>
    <t>สีพิเศษ</t>
  </si>
  <si>
    <t>▶ ระยะห่างจริง (ลงตัว) ซม.</t>
  </si>
  <si>
    <t>ราคาโครง</t>
  </si>
  <si>
    <t>ค่าต่อระแนง (80/ท่อน)</t>
  </si>
  <si>
    <t>โครงดาม 1"×1.6"</t>
  </si>
  <si>
    <t>ทุนวัสดุ (ไม่รวมค่าแรง)</t>
  </si>
  <si>
    <t>ขายผลิตอย่างเดียว (วัสดุ 100% · ผลิต 50%)</t>
  </si>
  <si>
    <t>ขายผลิต+ติดตั้ง (ติดตั้ง 100%)</t>
  </si>
  <si>
    <t>กำไร% (ฐานวัสดุ+ค่าแรงผลิต)</t>
  </si>
  <si>
    <t>ชีทนี้ฝังตัวคูณวัสดุในสูตร</t>
  </si>
  <si>
    <t>คิดทุนประตูรั้วบานเลื่อน (ข้อ 37) — บานระแนง + โครง/ราง/ล้อ/มอเตอร์</t>
  </si>
  <si>
    <t>กล่องใบระแนง →</t>
  </si>
  <si>
    <t>ชนิดใบประตู →</t>
  </si>
  <si>
    <t>ระแนง</t>
  </si>
  <si>
    <t>โชว์ ซม.</t>
  </si>
  <si>
    <t>pitch</t>
  </si>
  <si>
    <t>ยาว/ใบ</t>
  </si>
  <si>
    <t>ช่วง</t>
  </si>
  <si>
    <t>ความยาวราง (ม.) →</t>
  </si>
  <si>
    <t>ล้อ 3" (จำนวน) →</t>
  </si>
  <si>
    <t>ราคากล่องใบ</t>
  </si>
  <si>
    <t>รีโมท (จำนวน) →</t>
  </si>
  <si>
    <t>มอเตอร์ →</t>
  </si>
  <si>
    <t>เส้นโครง 2x4</t>
  </si>
  <si>
    <t>รางโค้ง (ซอยบาน≤75ซม.) →</t>
  </si>
  <si>
    <t>ราคาโครง 2x4</t>
  </si>
  <si>
    <t>กรีดพื้น →</t>
  </si>
  <si>
    <t>ราคาเสา 4x4</t>
  </si>
  <si>
    <t>เดินไฟ →</t>
  </si>
  <si>
    <t>ชุดราง</t>
  </si>
  <si>
    <t>ค่าแรง (บาท) →</t>
  </si>
  <si>
    <t>เรตกรีดพื้น</t>
  </si>
  <si>
    <t>บาน(โค้ง)</t>
  </si>
  <si>
    <t>snapGap</t>
  </si>
  <si>
    <t>keyR</t>
  </si>
  <si>
    <t>▶ ระยะห่างจริง ปกติ (ซม.)</t>
  </si>
  <si>
    <t>▶ ระยะห่างจริง สลับ (ซม.)</t>
  </si>
  <si>
    <t>โครงกรอบบาน 2"×4" (ตรง=รอบบาน / โค้ง=ทุกบาน)</t>
  </si>
  <si>
    <t>เสารับไกด์ 4"×4" (1 ต้น)</t>
  </si>
  <si>
    <t>ระแนงขาย/ตร.ม.</t>
  </si>
  <si>
    <t>เหล็กยัดเสา 4"×4"</t>
  </si>
  <si>
    <t>ล้อ 3" (ตรง=ล้อวิ่ง299 / โค้ง=สปริง290×(บาน+1))</t>
  </si>
  <si>
    <t>ล้อไกด์ประคองหลัง (4 ชิ้น)</t>
  </si>
  <si>
    <t>ราง (ชุด 6 ม.)</t>
  </si>
  <si>
    <t>มอเตอร์</t>
  </si>
  <si>
    <t>รีโมท</t>
  </si>
  <si>
    <t>กรีดพื้น (บาท/ม.×ราง)</t>
  </si>
  <si>
    <t>เดินไฟ (เหมา)</t>
  </si>
  <si>
    <t>ค่าแรงผลิต (560/ตร.ม.)</t>
  </si>
  <si>
    <t>ค่าแรงติดตั้ง (1120/ตร.ม.)</t>
  </si>
  <si>
    <t>ทุนรวมประตู</t>
  </si>
  <si>
    <t>ชนิดใบประตู → (ระแนง/ระแนงสลับ)</t>
  </si>
  <si>
    <t>* ใบ=ระแนงสลับ → ดึงทุนใบจากชีท คิดทุน ระแนงสลับ</t>
  </si>
  <si>
    <t>ค่าระแนง+สี (38.4 N × พื้นที่)</t>
  </si>
  <si>
    <t>โครงประตู (เหมา)</t>
  </si>
  <si>
    <t>ค่าราง R3.9 (1,500/2,500/ม. × ราง)</t>
  </si>
  <si>
    <t>ค่ามอเตอร์ (ขาย)</t>
  </si>
  <si>
    <t>เดินไฟ (ขาย)</t>
  </si>
  <si>
    <t>คิดทุนบานเกล็ด 38.1 (เกล็ดโยก ลูกฟูก/กระจก) — กรอกช่องเหลือง</t>
  </si>
  <si>
    <t>ความสูง</t>
  </si>
  <si>
    <t>N</t>
  </si>
  <si>
    <t>ก้านโยก</t>
  </si>
  <si>
    <t>Wp กว้าง/ช่อง</t>
  </si>
  <si>
    <t>S ด้านสแต็ค</t>
  </si>
  <si>
    <t>L ยาวใบ</t>
  </si>
  <si>
    <t>limit ด้านจำกัด</t>
  </si>
  <si>
    <t>ใบเกล็ด →</t>
  </si>
  <si>
    <t>colMult</t>
  </si>
  <si>
    <t>ชนิดกระจก (ถ้าใบ=กระจก) →</t>
  </si>
  <si>
    <t>legGray</t>
  </si>
  <si>
    <t>matchRow</t>
  </si>
  <si>
    <t>N เกล็ดโยก</t>
  </si>
  <si>
    <t>━ คำนวณตามความสูง (ตาราง GUT) ━</t>
  </si>
  <si>
    <t>Hrow ความสูงแถว</t>
  </si>
  <si>
    <t>จำนวนเกล็ด/ช่อง =</t>
  </si>
  <si>
    <t>G เศษ</t>
  </si>
  <si>
    <t>ขาเกล็ดยาว (มม.) =</t>
  </si>
  <si>
    <t>tie เกล็ดติดตาย</t>
  </si>
  <si>
    <t>ก้านโยก =</t>
  </si>
  <si>
    <t>perBlades/ช่อง</t>
  </si>
  <si>
    <t>จำนวนขาเกล็ด (ชุด) =</t>
  </si>
  <si>
    <t>totalBlades</t>
  </si>
  <si>
    <t>legRate</t>
  </si>
  <si>
    <t>frameLen</t>
  </si>
  <si>
    <t>frameLines</t>
  </si>
  <si>
    <t>glassPrice</t>
  </si>
  <si>
    <t>motorCost</t>
  </si>
  <si>
    <t>เฟรม 1"×4" (รอบ+เสาแบ่ง)</t>
  </si>
  <si>
    <t>ขาเกล็ดโยก</t>
  </si>
  <si>
    <t>ใบเกล็ด</t>
  </si>
  <si>
    <t>ยู4หุน เกล็ดติดตาย</t>
  </si>
  <si>
    <t>ทุนวัสดุ</t>
  </si>
  <si>
    <t>ค่าแรงผลิต (196/ตร.ม.)</t>
  </si>
  <si>
    <t>ค่าแรงติดตั้ง (196/ตร.ม.)</t>
  </si>
  <si>
    <t>หมายเหตุ: ขาย=markup กำไร% · R3.9 38.1 (ยึดเกล็ด max500/พื้นที่×1500) สูตรสีรอเฟิร์น</t>
  </si>
  <si>
    <t>ทุน/ตร.ม. (รวมค่าแรง)</t>
  </si>
  <si>
    <t>คิดทุนบานระแนงหมุน 38.4 (ใบพลิกได้ + มอเตอร์)</t>
  </si>
  <si>
    <t>ช่องห่าง (บังคับ 0.2 ซม.) →</t>
  </si>
  <si>
    <t>ชุดมอเตอร์ →</t>
  </si>
  <si>
    <t>เอา</t>
  </si>
  <si>
    <t>เพลาหมุน กล่อง 4"×4" (ยาว=กว้าง)</t>
  </si>
  <si>
    <t>อุปกรณ์หมุน(200/ม.)+จุดหมุน(160/ใบ บน-ล่าง)</t>
  </si>
  <si>
    <t>คิดทุนหลังคา (รวม) — เลือกประเภทแล้วกรอกขนาด</t>
  </si>
  <si>
    <t>ตั้งค่า</t>
  </si>
  <si>
    <t>ทรงหลังคา →</t>
  </si>
  <si>
    <t>หลังคาเพิง</t>
  </si>
  <si>
    <t>⬇ เลือกโครง (อลู/เหล็ก)</t>
  </si>
  <si>
    <t>อลู</t>
  </si>
  <si>
    <t>ชนิดหลังคา →</t>
  </si>
  <si>
    <t>จันทัน ฿/เส้น (auto)</t>
  </si>
  <si>
    <t>แป →</t>
  </si>
  <si>
    <t>แปเดี่ยว</t>
  </si>
  <si>
    <t>แปเดี่ยว ฿/เส้น (auto)</t>
  </si>
  <si>
    <t>ปลายหลังคา →</t>
  </si>
  <si>
    <t>ยื่นปลาย</t>
  </si>
  <si>
    <t>แปคู่ ฿/เส้น (auto)</t>
  </si>
  <si>
    <t>มีส่วนเลื่อน →</t>
  </si>
  <si>
    <t>← เสริมได้ทั้งเพิงและจั่ว</t>
  </si>
  <si>
    <t>ขนาด</t>
  </si>
  <si>
    <t>⬇ เลือกสีอลู</t>
  </si>
  <si>
    <t>ค่าอบ/กก. (auto)</t>
  </si>
  <si>
    <t>จันทัน/ครอบ 1.6×4</t>
  </si>
  <si>
    <t>แปเดี่ยว 1.6×1.6 ⚠ประเมิน</t>
  </si>
  <si>
    <t>แปคู่/รัดรอบ 1×1½</t>
  </si>
  <si>
    <t>ฉาก 6หุน</t>
  </si>
  <si>
    <t>แซด 4นิ้ว</t>
  </si>
  <si>
    <t>คาน 4×4</t>
  </si>
  <si>
    <t>ผลลัพธ์</t>
  </si>
  <si>
    <t>ทุนวัสดุรวม (บาท)</t>
  </si>
  <si>
    <t>ทุนรวม วัสดุ+ค่าแรง (บาท)</t>
  </si>
  <si>
    <t>ส่วนติดตาย</t>
  </si>
  <si>
    <t>ค่าแรง</t>
  </si>
  <si>
    <t>70 / 120</t>
  </si>
  <si>
    <t>ฝังในสูตร D20 · ปกติ ×1.7 (70%) · กระจกลามิเนต 4+4, 5+5 ใช้ ×2.2 (120%)</t>
  </si>
  <si>
    <t>ถอดทุน — ฝ้ายิปซัมฉาบเรียบทาสีขาว (เวเทอร์บล็อค 9 มม.)   |   เทียบ R3.9 ข้อ 35</t>
  </si>
  <si>
    <t xml:space="preserve">  ① กรอกข้อมูลงาน  (กรอกแค่ช่องเหลือง)</t>
  </si>
  <si>
    <t>ความกว้าง</t>
  </si>
  <si>
    <t>ม.</t>
  </si>
  <si>
    <t>← กรอก</t>
  </si>
  <si>
    <t>ความยาว</t>
  </si>
  <si>
    <t>พื้นที่ฝ้า (อัตโนมัติ)</t>
  </si>
  <si>
    <t>กว้าง × ยาว</t>
  </si>
  <si>
    <t>เส้นรอบฝ้า (อัตโนมัติ)</t>
  </si>
  <si>
    <t>2×(กว้าง+ยาว) · สำหรับฉากโอบ</t>
  </si>
  <si>
    <t>ใส่ฉนวนกันร้อน rockwool 3"?</t>
  </si>
  <si>
    <t>ไม่ใส่</t>
  </si>
  <si>
    <t>เลือก ใส่/ไม่ใส่ · ถ้าใส่คิดเต็มพื้นที่ + R3.9 +600/ตร.ม.</t>
  </si>
  <si>
    <t xml:space="preserve">  ② รายการวัสดุ + ค่าแรง  (ราคา/หน่วย=ของจริงที่พี่ส่ง — จำนวน+ทุนคำนวณเอง)</t>
  </si>
  <si>
    <t>ทุน</t>
  </si>
  <si>
    <t>แผ่นยิปซัมเวเทอร์บล็อค 9 มม. (1.2×2.4)</t>
  </si>
  <si>
    <t>เผื่อเศษ 10% · 2.88 ตร.ม./แผ่น</t>
  </si>
  <si>
    <t>โครงซีไลน์ (ฟิวริ่ง) @0.40 ม.</t>
  </si>
  <si>
    <t>เส้นยาว 4 ม. · 2.5 ม./ตร.ม.</t>
  </si>
  <si>
    <t>โครงเคร่าหลัก (โครงอาบ) @1.00 ม.</t>
  </si>
  <si>
    <t>เส้นยาว 4 ม. · 1.0 ม./ตร.ม.</t>
  </si>
  <si>
    <t>ขาแขวน (ตัดจากซีไลน์)</t>
  </si>
  <si>
    <t>1 จุด/ตร.ม. × ดรอป 0.3 ม. (มาตรฐาน)</t>
  </si>
  <si>
    <t>สกรูยึดแผ่น (เกลียวปล่อย)</t>
  </si>
  <si>
    <t>15 ตัว/ตร.ม.</t>
  </si>
  <si>
    <t>สกรูยึดโครง (เมทัล)</t>
  </si>
  <si>
    <t>5 ตัว/ตร.ม.</t>
  </si>
  <si>
    <t>ปูนฉาบรอยต่อ (50 กก./ถุง)</t>
  </si>
  <si>
    <t>ใช้จริง 0.5 กก./ตร.ม. (ฉาบรอยต่อ)</t>
  </si>
  <si>
    <t>เทปผ้า/ตาข่ายปิดรอยต่อ</t>
  </si>
  <si>
    <t>1 ม้วนคลุม ~60 ตร.ม.</t>
  </si>
  <si>
    <t>ฉากโอบ อลู 4 หุน (เส้น 6 ม.)</t>
  </si>
  <si>
    <t>ตามเส้นรอบ · เส้นยาว 6 ม.</t>
  </si>
  <si>
    <t>ฉนวน rockwool 3" (60×120 ซม.) [ถ้าใส่]</t>
  </si>
  <si>
    <t>0.72 ตร.ม./แผ่น · คิดเต็มพื้นที่</t>
  </si>
  <si>
    <t>ค่าแรง (ติดโครง+แผ่น+ฉาบ+ทาสี)</t>
  </si>
  <si>
    <t>รวมค่าทาสีแล้ว</t>
  </si>
  <si>
    <t>ทุนรวมทั้งงาน</t>
  </si>
  <si>
    <t xml:space="preserve">  ③ ราคาขาย (กำไร 100% = ทุน×2)   ·   R3.9 ข้อ 35 = อ้างอิง</t>
  </si>
  <si>
    <t>ทุนเฉลี่ย / ตร.ม.</t>
  </si>
  <si>
    <t>ทุนรวม ÷ พื้นที่</t>
  </si>
  <si>
    <t>ราคาขาย (กำไร 100% = ทุน×2)</t>
  </si>
  <si>
    <t>ทุนรวม × 2</t>
  </si>
  <si>
    <t>กำไร (บาท)</t>
  </si>
  <si>
    <t>เท่าทุนรวม (กำไร 100%)</t>
  </si>
  <si>
    <t>· ราคาขาย R3.9 (อ้างอิง)</t>
  </si>
  <si>
    <t>ข้อ 35 — ไว้เทียบเฉยๆ</t>
  </si>
  <si>
    <t>· กำไร% ถ้าขายตาม R3.9</t>
  </si>
  <si>
    <t>อ้างอิง</t>
  </si>
  <si>
    <t>ราคา/หน่วย = ของจริง (มิ.ย.69) · จำนวนคำนวณจากพื้นที่ปัดขึ้น · สมมติมาตรฐาน: ขาแขวน 1จุด/ตร.ม.×0.3ม. · ปูน 0.5กก./ตร.ม. · สกรู 15&amp;5 ตัว/ตร.ม. (ปรับได้)</t>
  </si>
  <si>
    <t>ถอดทุน — งานไฟ (ดาวน์ไลท์ + ปลั๊ก + สวิตช์ + เดินสายไฟ)   |   ตั้ง % กำไรเอง</t>
  </si>
  <si>
    <t>← กรอกจำนวน</t>
  </si>
  <si>
    <t>ปลั๊ก</t>
  </si>
  <si>
    <t>สวิตช์</t>
  </si>
  <si>
    <t>เดินสายไฟ</t>
  </si>
  <si>
    <t>← ความยาวสายไฟรวม</t>
  </si>
  <si>
    <t>% กำไรที่ต้องการ</t>
  </si>
  <si>
    <t>%</t>
  </si>
  <si>
    <t xml:space="preserve">  ② รายการวัสดุ + ค่าแรง  (ราคา/หน่วย ช่องเหลือง — จำนวน+ทุนคำนวณเอง)</t>
  </si>
  <si>
    <t>ตามจำนวนดาวน์ไลท์</t>
  </si>
  <si>
    <t>เต้ารับ + หน้ากาก (ปลั๊ก)</t>
  </si>
  <si>
    <t>ตามจำนวนปลั๊ก</t>
  </si>
  <si>
    <t>สวิตช์ + หน้ากาก</t>
  </si>
  <si>
    <t>ตามจำนวนสวิตช์</t>
  </si>
  <si>
    <t>กล่องไฟ (ลอย/ฝัง)</t>
  </si>
  <si>
    <t>ปลั๊ก + สวิตช์</t>
  </si>
  <si>
    <t>2,500/ม้วน 100 ม. = 25/ม.</t>
  </si>
  <si>
    <t>ท่อ PVC + ข้อต่อ</t>
  </si>
  <si>
    <t>20/เส้น 3 ม. = 6.67/ม.</t>
  </si>
  <si>
    <t>เทป + อุปกรณ์เบ็ดเตล็ด</t>
  </si>
  <si>
    <t>เหมาต่องาน</t>
  </si>
  <si>
    <t>ค่าแรงเดินสายไฟ</t>
  </si>
  <si>
    <t>ฐานหลัก/เมตร (รวมปลั๊ก+สวิตช์)</t>
  </si>
  <si>
    <t>ค่าแรงติดตั้งดาวน์ไลท์ (เพิ่ม)</t>
  </si>
  <si>
    <t>เงื่อนไขเพิ่ม +90/ดวง</t>
  </si>
  <si>
    <t xml:space="preserve">  ③ ราคาขาย</t>
  </si>
  <si>
    <t>ค่าแรงรวม</t>
  </si>
  <si>
    <t>เดินสาย + ดาวน์ไลท์</t>
  </si>
  <si>
    <t>ราคาขาย (ทุน × กำไร)</t>
  </si>
  <si>
    <t>ทุนรวม × (1 + %กำไร)</t>
  </si>
  <si>
    <t>ค่าแรง: เดินสายไฟ 90/ม. (ฐาน รวมปลั๊ก+สวิตช์) + ดาวน์ไลท์ +90/ดวง (เพิ่ม) · สายไฟ+ท่อตามเมตร · งานไฟไม่มี R3.9 ตั้ง %กำไรเอง</t>
  </si>
  <si>
    <t>ถอดทุน — ผนังเบาสมาร์ทบอร์ด 12 มม. (2 หน้า ฉาบเรียบ)   |   เทียบ R3.9 ข้อ 40.1</t>
  </si>
  <si>
    <t>ความกว้างผนัง</t>
  </si>
  <si>
    <t>ความสูงผนัง</t>
  </si>
  <si>
    <t>พื้นที่ผนัง (อัตโนมัติ)</t>
  </si>
  <si>
    <t>กว้าง × สูง (1 หน้า)</t>
  </si>
  <si>
    <t>ใส่ฉนวนกันร้อน/เสียง 3"?</t>
  </si>
  <si>
    <t>R3.9 ข้อ 40.1 รวมฉนวน 3" เป็นมาตรฐาน</t>
  </si>
  <si>
    <t xml:space="preserve">  ② รายการวัสดุ + ค่าแรง  (ราคา/หน่วย=ของจริง — จำนวน+ทุนคำนวณเอง)</t>
  </si>
  <si>
    <t>แผ่นสมาร์ทบอร์ด 12 มม. (กรุ 2 หน้า)</t>
  </si>
  <si>
    <t>2 หน้า×เผื่อเศษ10% · 2.88 ตร.ม./แผ่น</t>
  </si>
  <si>
    <t>โครงเหล็กกรอบ 4 ด้าน (1½×3")</t>
  </si>
  <si>
    <t>รอบผนัง 2×(ก+ส) · เส้นยาว 6 ม.</t>
  </si>
  <si>
    <t>ซีไลน์ 3" เสาตั้ง (ดิ่ง) @0.60</t>
  </si>
  <si>
    <t>เสาตั้งใน · เส้นยาว 3 ม.</t>
  </si>
  <si>
    <t>ซีไลน์ 3" ถักนอน (ราบ) @0.40</t>
  </si>
  <si>
    <t>คานราบถัก · เส้นยาว 3 ม.</t>
  </si>
  <si>
    <t>ฉนวน 3" (60×120 ซม.) [ถ้าใส่]</t>
  </si>
  <si>
    <t>0.72 ตร.ม./แผ่น · เต็มพื้นที่</t>
  </si>
  <si>
    <t>สกรูยึดแผ่น (2 หน้า)</t>
  </si>
  <si>
    <t>30 ตัว/ตร.ม. (2 หน้า)</t>
  </si>
  <si>
    <t>10 ตัว/ตร.ม. (กริดถี่ขึ้น)</t>
  </si>
  <si>
    <t>ปูนฉาบรอยต่อ (2 หน้า, 50 กก./ถุง)</t>
  </si>
  <si>
    <t>1.0 กก./ตร.ม. (2 หน้า)</t>
  </si>
  <si>
    <t>เทปผ้า/ตาข่าย (2 หน้า)</t>
  </si>
  <si>
    <t>1 ม้วน ~30 ตร.ม. (2 หน้า)</t>
  </si>
  <si>
    <t>ผลิตโครง+ประกอบ ฿/ตร.ม.</t>
  </si>
  <si>
    <t>ติดตั้งหน้างาน ฿/ตร.ม.</t>
  </si>
  <si>
    <t xml:space="preserve">  ③ ราคาขาย (กำไร 100% = ทุน×2)   ·   R3.9 ข้อ 40.1 = อ้างอิง</t>
  </si>
  <si>
    <t>ค่าแรงรวม (ผลิต+ติดตั้ง)</t>
  </si>
  <si>
    <t>700+400 = 1,100/ตร.ม.</t>
  </si>
  <si>
    <t>ข้อ 40.1 — ไว้เทียบเฉยๆ</t>
  </si>
  <si>
    <t>โครง: เหล็กกรอบ 1½×3" รอบ 4 ด้าน + ซีไลน์ 3" ถักใน เสาตั้ง@0.60 + ถักนอน@0.40 · ค่าแรงผลิต700+ติดตั้ง400 · สกรูโครงเพิ่มเป็น 10/ตร.ม. (กริดถี่)</t>
  </si>
  <si>
    <t>ถอดทุน — ผนังไอโซวอล 100 มม. (สีขาว)   |   เทียบ R3.9 ข้อ 39</t>
  </si>
  <si>
    <t xml:space="preserve">  ① กรอกข้อมูลงาน + ราคาแผ่นตามความสูง  (ช่องเหลือง)</t>
  </si>
  <si>
    <t>← กรอก (เลือกแผ่นอัตโนมัติ)</t>
  </si>
  <si>
    <t>กว้าง × สูง</t>
  </si>
  <si>
    <t>เส้นรอบ (อัตโนมัติ)</t>
  </si>
  <si>
    <t>2×(ก+ส) · สำหรับกล่อง+ฉาก</t>
  </si>
  <si>
    <t>ราคาแผ่น ≤2.4 ม. (1.2×2.4)</t>
  </si>
  <si>
    <t>บาท/แผ่น</t>
  </si>
  <si>
    <t>ใช้เมื่อสูง ≤ 2.4 ม.</t>
  </si>
  <si>
    <t>ราคาแผ่น &gt;2.4 ม. (1.2×3.0)</t>
  </si>
  <si>
    <t>ใช้เมื่อสูง &gt; 2.4 ม.</t>
  </si>
  <si>
    <t>แผ่นไอโซวอล 100 มม. (เสาตั้ง 1.2 ม.)</t>
  </si>
  <si>
    <t>≤2.4→1.2×2.4 · &gt;2.4→1.2×3.0 (เลือกอัตโนมัติ)</t>
  </si>
  <si>
    <t>กล่อง 1.6"×4" โครงวิ่งรอบ</t>
  </si>
  <si>
    <t>1 เส้นรอบ · เส้นยาว 6 ม.</t>
  </si>
  <si>
    <t>ฉาก 4 หุน นอก+ใน (2 เส้นรอบ)</t>
  </si>
  <si>
    <t>2×เส้นรอบ · เส้นยาว 6 ม.</t>
  </si>
  <si>
    <t>สกรู/รีเวท + อุปกรณ์ยึด (เหมา)</t>
  </si>
  <si>
    <t>ขอบ 2 หน้า + รอยต่อแผ่น · 1 หลอด/10 ม.</t>
  </si>
  <si>
    <t>ผลิต/ประกอบ ฿/ตร.ม.</t>
  </si>
  <si>
    <t xml:space="preserve">  ③ ราคาขาย (กำไร 100% = ทุน×2)   ·   R3.9 ข้อ 39 = อ้างอิง</t>
  </si>
  <si>
    <t>700+440 = 1,140/ตร.ม.</t>
  </si>
  <si>
    <t>ข้อ 39 — ไว้เทียบเฉยๆ</t>
  </si>
  <si>
    <t>แผ่นเลือกอัตโนมัติตามความสูง (≤2.4→2,016 · &gt;2.4→2,520) นับแบบเสาตั้ง 1.2 ม. · กล่อง+ฉากตามเส้นรอบ · สกรูเหมา 50 · ซิลิโคนคำนวณจากแนวจริง</t>
  </si>
  <si>
    <t>ถอดทุน — ฝ้าไม้เทียม/ฝ้าอลู (4 ร้าน)   |   ขาย = ทุน×2</t>
  </si>
  <si>
    <t>ค่าดึงจาก LUT:</t>
  </si>
  <si>
    <t xml:space="preserve">  ① เลือก ร้าน → รุ่น → สี + ขนาด  (ช่องเหลือง)</t>
  </si>
  <si>
    <t>width</t>
  </si>
  <si>
    <t>len</t>
  </si>
  <si>
    <t>รุ่น/แบบ</t>
  </si>
  <si>
    <t>สี</t>
  </si>
  <si>
    <t>ขาว</t>
  </si>
  <si>
    <t>unit</t>
  </si>
  <si>
    <t>พื้นที่ (อัตโนมัติ)</t>
  </si>
  <si>
    <t>สำหรับฉากขอบ</t>
  </si>
  <si>
    <t xml:space="preserve">  ② รายการ (จำนวน+ทุนคำนวณเอง)</t>
  </si>
  <si>
    <t>เส้นฝ้า (ตามรุ่น)</t>
  </si>
  <si>
    <t>ต่อชนปลาย · fameline รวมทุกอย่าง/ตร.ม.</t>
  </si>
  <si>
    <t>ขาจับฝ้า (เฉพาะไม้ทิพย์)</t>
  </si>
  <si>
    <t>1 เส้น/ตร.ม. (6 ม.)</t>
  </si>
  <si>
    <t>ฉากเก็บขอบรอบ</t>
  </si>
  <si>
    <t>fameline=รวมแล้ว</t>
  </si>
  <si>
    <t>โครงซีไลน์ (มาตรฐาน @1.2)</t>
  </si>
  <si>
    <t>carrier@1.2 + ขาแขวน@1.2×1.2</t>
  </si>
  <si>
    <t>ผลิต+ติดตั้ง</t>
  </si>
  <si>
    <t>เลือก: ร้าน→รุ่น→สี เปลี่ยน cascade · เส้นฝ้าต่อชนปลาย · ซีไลน์มาตรฐาน @1.2 · ขาย=ทุน×2</t>
  </si>
  <si>
    <t>📊 หน้าตารางรวมทุกบาน — ทุน · ขาย · กำไร (ลิงก์สดจากทุกชีท)</t>
  </si>
  <si>
    <t>▶ บานเลื่อน</t>
  </si>
  <si>
    <t>▶ บานเปิด / อื่นๆ</t>
  </si>
  <si>
    <t>บานเปิด</t>
  </si>
  <si>
    <t>▶ บานเฟี้ยม</t>
  </si>
  <si>
    <t>เฟี้ยม sms</t>
  </si>
  <si>
    <t>▶ ติดตาย / ดัดโค้ง</t>
  </si>
  <si>
    <t>▶ ระแนง / รั้ว</t>
  </si>
  <si>
    <t>หลังคา (รวม)</t>
  </si>
  <si>
    <t>สรุปค่าแรงทุกบาน (บาท/บาน ตามขนาด default ในแต่ละชีท) — ลิงก์สด</t>
  </si>
  <si>
    <t>รวมค่าแรง</t>
  </si>
  <si>
    <t>ระแนง 38.4</t>
  </si>
  <si>
    <t>รวมทั้งหมด</t>
  </si>
  <si>
    <t>สรุปถอดทุน — ทุกงาน  (ราคาขาย = ทุน×2 กำไร 100%)</t>
  </si>
  <si>
    <t>ราคาขาย (กำไร100%)</t>
  </si>
  <si>
    <t>กำไร</t>
  </si>
  <si>
    <t>R3.9 (อ้างอิง)</t>
  </si>
  <si>
    <t>ข้อ 36</t>
  </si>
  <si>
    <t>หมายเหตุ: ตัวเลขลิงก์สดจากแต่ละชีท · แก้ขนาด/ราคาในชีทงาน ตัวเลขสรุปอัปเดตตาม · คลิกชื่องานเพื่อไปชีท</t>
  </si>
  <si>
    <t>เสากุญแจ</t>
  </si>
  <si>
    <t>#</t>
  </si>
  <si>
    <t>ดำ</t>
  </si>
  <si>
    <t>ไม้โอ๊ค</t>
  </si>
  <si>
    <t>ไม้แดง</t>
  </si>
  <si>
    <t>ไม้จามจุรี</t>
  </si>
  <si>
    <t>ไม้พะยุงทอง</t>
  </si>
  <si>
    <t>ไม้เมเปิ้ล</t>
  </si>
  <si>
    <t>ซิลเวอร์</t>
  </si>
  <si>
    <t>Traffic White</t>
  </si>
  <si>
    <t>Solid sand grey</t>
  </si>
  <si>
    <t>Beige</t>
  </si>
  <si>
    <t>Solid Light Oak</t>
  </si>
  <si>
    <t>Dff grey</t>
  </si>
  <si>
    <t>Solid beech</t>
  </si>
  <si>
    <t>Dark grey</t>
  </si>
  <si>
    <t>Solid golden teak</t>
  </si>
  <si>
    <t>Matt black</t>
  </si>
  <si>
    <t>Solid thai teak</t>
  </si>
  <si>
    <t>Thai teak</t>
  </si>
  <si>
    <t>Golden teak</t>
  </si>
  <si>
    <t>Beech</t>
  </si>
  <si>
    <t>Light Oak</t>
  </si>
  <si>
    <t>Sand grey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</si>
  <si>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</si>
  <si>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</si>
  <si>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</si>
  <si>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</si>
  <si>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</si>
  <si>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</si>
  <si>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</si>
  <si>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</si>
  <si>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</si>
  <si>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</si>
  <si>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</si>
  <si>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</si>
  <si>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</si>
  <si>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</si>
  <si>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</si>
  <si>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</si>
  <si>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</si>
  <si>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</si>
  <si>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</si>
  <si>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</si>
  <si>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</si>
  <si>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</si>
  <si>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</si>
  <si>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</si>
  <si>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</si>
  <si>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</si>
  <si>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</si>
  <si>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</si>
  <si>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</si>
  <si>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</si>
  <si>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Y1801</t>
  </si>
  <si>
    <t>Y1802</t>
  </si>
  <si>
    <t>Y1803</t>
  </si>
  <si>
    <t>Y1804</t>
  </si>
  <si>
    <t>Y1805</t>
  </si>
  <si>
    <t>Y1806</t>
  </si>
  <si>
    <t>Y1807</t>
  </si>
  <si>
    <t>Y1808</t>
  </si>
  <si>
    <t>Y1809</t>
  </si>
  <si>
    <t>Y1810</t>
  </si>
  <si>
    <t>P155-1</t>
  </si>
  <si>
    <t>P155-2</t>
  </si>
  <si>
    <t>P155-3</t>
  </si>
  <si>
    <t>P155-4</t>
  </si>
  <si>
    <t>P155-5</t>
  </si>
  <si>
    <t>P155-6</t>
  </si>
  <si>
    <t>WH200-1</t>
  </si>
  <si>
    <t>WH200-2</t>
  </si>
  <si>
    <t>WH200-3</t>
  </si>
  <si>
    <t>WH200-4</t>
  </si>
  <si>
    <t>WH200-5</t>
  </si>
  <si>
    <t>WH200-6</t>
  </si>
  <si>
    <t>thai makka</t>
  </si>
  <si>
    <t>burmese teak</t>
  </si>
  <si>
    <t>brazilian rosewood</t>
  </si>
  <si>
    <t>american white oak</t>
  </si>
  <si>
    <t>✅ เช็กขนาดกระจกผลิตได้</t>
  </si>
  <si>
    <t>minกว้าง</t>
  </si>
  <si>
    <t>minยาว</t>
  </si>
  <si>
    <t>maxกว้าง</t>
  </si>
  <si>
    <t>maxยาว</t>
  </si>
  <si>
    <t>ลามิเนต</t>
  </si>
  <si>
    <t>กระจกใส 5มม.</t>
  </si>
  <si>
    <t>กระจกใส 4มม.</t>
  </si>
  <si>
    <t>อื่นๆ (ไม่จำกัด)</t>
  </si>
  <si>
    <t>ด้านสั้น (มม.) =</t>
  </si>
  <si>
    <t>ด้านยาว (มม.) =</t>
  </si>
  <si>
    <t>ขีดจำกัด =</t>
  </si>
  <si>
    <t>ผลลัพธ์ →</t>
  </si>
  <si>
    <t>หมายเหตุ: ลามิเนต 250×620 – 2,800×6,000 มม. | ใส5มม. สูงสุด 108"×144" (2743×3658) | ใส4มม. 105"×144" (2667×3658)</t>
  </si>
  <si>
    <t>คิดทุนหลังคา (ขนาดอิสระ — กรอกกว้าง×ยื่น คำนวณเอง)</t>
  </si>
  <si>
    <t>ยื่น (ซม.) →</t>
  </si>
  <si>
    <t>ปลายหลังคา/รางน้ำ</t>
  </si>
  <si>
    <t>จันทัน 1.6×4 (วิ่งรอบ+ซอย)</t>
  </si>
  <si>
    <t>แป (เดี่ยว 1.6×1.6 / คู่ 1×1½)</t>
  </si>
  <si>
    <t>แผ่นหลังคา</t>
  </si>
  <si>
    <t>ฝาครอบ</t>
  </si>
  <si>
    <t>ทุนวัสดุรวม</t>
  </si>
  <si>
    <t>ทุนรวม (วัสดุ+ค่าแรง)</t>
  </si>
  <si>
    <t>กล่องครอบเพลท 1.6×4 (1/3 ยื่น × จันทัน)</t>
  </si>
  <si>
    <t>กล่องรัดรอบ 1×1½ (รอบทุกด้าน)</t>
  </si>
  <si>
    <t>ค่าอบสี (อลู · ทุกตัว)</t>
  </si>
  <si>
    <t>คิดทุนหลังคาจั่ว (ขนาดอิสระ — กว้าง×ลึก×สูง คำนวณเฉียง 2 ด้าน + คาน T)</t>
  </si>
  <si>
    <t>กว้าง W (ซม.) →</t>
  </si>
  <si>
    <t>ลึก D (ซม.) →</t>
  </si>
  <si>
    <t>สูงยอดจั่ว H (ซม.) →</t>
  </si>
  <si>
    <t>ปลายหลังคา/รางน้ำ (2 ชายคา)</t>
  </si>
  <si>
    <t>จันทัน 1.6"×4" (เฉียง×2 ด้าน)</t>
  </si>
  <si>
    <t>แป (×2 ด้าน)</t>
  </si>
  <si>
    <t>ฉาก 6 หุน (2 ชายคา)</t>
  </si>
  <si>
    <t>แซด 4" (2 ชายคา)</t>
  </si>
  <si>
    <t>คาน 4"×4" T (W+H · เว้นจันทัน)</t>
  </si>
  <si>
    <t>แผ่นหลังคา (2 ด้าน)</t>
  </si>
  <si>
    <t>ฝาครอบ (2 ด้าน)</t>
  </si>
  <si>
    <t>เฉียง/ด้าน (ซม.)</t>
  </si>
  <si>
    <t>รูปแบบเลื่อน →</t>
  </si>
  <si>
    <t>ติดตาย: กว้าง×ยื่น (ซม.) →</t>
  </si>
  <si>
    <t>เลื่อน: กว้าง×ยื่น (ซม.) →</t>
  </si>
  <si>
    <t>ค่าอบสี (อลู)</t>
  </si>
  <si>
    <t>📐 คิดทุน พื้นสมาร์ทบอร์ด 20มม. (โครงเหล็กกล่อง 2×4 · พื้นเบา 1 ชั้น)</t>
  </si>
  <si>
    <t>① กรอกขนาดพื้น</t>
  </si>
  <si>
    <t>กว้างพื้น (ม.)</t>
  </si>
  <si>
    <t>ยาวพื้น (ม.)</t>
  </si>
  <si>
    <t>กว้าง×ยาว</t>
  </si>
  <si>
    <t>ระยะตง (ซม.)</t>
  </si>
  <si>
    <t>มาตรฐาน SCG ≤30 (พื้น20มม.) ปรับได้</t>
  </si>
  <si>
    <t>② BOM + ทุน</t>
  </si>
  <si>
    <t>แผ่นสมาร์ทบอร์ด 20มม.</t>
  </si>
  <si>
    <t>1 ชั้น · เผื่อเศษ10% · 2.88 ตร.ม./แผ่น (120×240) · ราคาตลาด JR ปรับ</t>
  </si>
  <si>
    <t>ตง เหล็กกล่อง 2×4</t>
  </si>
  <si>
    <t>ตงซอย@ระยะตง · รวมยาว÷6ม. · ลิงก์ราคาเหล็ก</t>
  </si>
  <si>
    <t>คานรอบ เหล็กกล่อง 2×4</t>
  </si>
  <si>
    <t>รอบพื้น 2×(ก+ย)÷6</t>
  </si>
  <si>
    <t>15 ตัว/ตร.ม. (1 หน้า)</t>
  </si>
  <si>
    <t>ผลิตเท่าผนัง 700/ตร.ม.</t>
  </si>
  <si>
    <t>ติดตั้ง 450/ตร.ม. (JR เคาะ)</t>
  </si>
  <si>
    <t>ทุนวัสดุ+ค่าแรงรวม</t>
  </si>
  <si>
    <t>③ ราคาขาย (วัสดุ×2 · ผลิต×1.5 · ติดตั้ง×2)</t>
  </si>
  <si>
    <t>ทุนเฉลี่ย/ตร.ม.</t>
  </si>
  <si>
    <t>ราคาขาย (วัสดุ×2 · ผลิต×1.5 · ติดตั้ง×2)</t>
  </si>
  <si>
    <t>ราคาขาย/ตร.ม.</t>
  </si>
  <si>
    <t>หมายเหตุ: R3.9 ไม่มีสเปคพื้น · วัสดุกำไร 100% · ผลิต 50% · ติดตั้ง 100%</t>
  </si>
  <si>
    <t>⚠️ ราคาอุปกรณ์ (ทุน บาท/ชิ้น) — ดึงจาก Stock.xlsx + มือจับ Cmech · แก้ที่นี่ที่เดียว</t>
  </si>
  <si>
    <t>① อุปกรณ์ทั่วไป / สแตนเลส (Stock)</t>
  </si>
  <si>
    <t>สี/รูปแบบ</t>
  </si>
  <si>
    <t>ราคา/ทุน (บาท)</t>
  </si>
  <si>
    <t>บานพับ Shower VVP_SW303</t>
  </si>
  <si>
    <t>บานพับ Shower VVP_SW3049 (90 ํ)</t>
  </si>
  <si>
    <t>บานพับ Shower VVP_SW3041 (135 ํ)</t>
  </si>
  <si>
    <t>บานพับ Shower VVP_SW304 (180 ํ)</t>
  </si>
  <si>
    <t>ตัวหนีบกระจก shower VVP_GC506</t>
  </si>
  <si>
    <t>ตัวยึดร้อยผ่านแป๊ปสแตนเลสกลม VVP_SB900</t>
  </si>
  <si>
    <t>ตัวยึดกระจกห้องน้ำกันแกว่งกลม VVP_SB902</t>
  </si>
  <si>
    <t>ตัวยึดร้อยผ่านแป๊ปสแตนเลสกลม VVP_SBF906</t>
  </si>
  <si>
    <t>ข้องอปรับได้</t>
  </si>
  <si>
    <t>ตัวยึดร้อยผ่านแป๊ปสแตนเลสเหลี่ยม VVP_SBQ800</t>
  </si>
  <si>
    <t>ตัวยึดกระจกห้องน้ำกันแกว่งเหลี่ยม VVP_SBQ802</t>
  </si>
  <si>
    <t>ตัวยึดร้อยผ่านแป๊ปสแตนเลสเหลี่ยม VVP_SBQ806</t>
  </si>
  <si>
    <t>ตัวหนีบกระจกล่าง VVP_ FT10</t>
  </si>
  <si>
    <t>5.5X17X3.5 cm.</t>
  </si>
  <si>
    <t>ตัวหนีบกระจกบน VVP_ FT20</t>
  </si>
  <si>
    <t>ตัวหนีบกระจกบน VVP_ FT30</t>
  </si>
  <si>
    <t>กุญแจล็อคประตูกับพื้น VVP_ FT50</t>
  </si>
  <si>
    <t>7.2X17.3X8.2 cm.</t>
  </si>
  <si>
    <t>กุญแจล็อคประตูกับพื้น VVP_ FL50</t>
  </si>
  <si>
    <t>กุญแจล็อคล็อคกลางบาน VVP_ FL52</t>
  </si>
  <si>
    <t>7.5X17X6 cm.</t>
  </si>
  <si>
    <t>โช้คประตูบานสวิง Diamond</t>
  </si>
  <si>
    <t>800mm</t>
  </si>
  <si>
    <t>1000mm</t>
  </si>
  <si>
    <t>1200mm</t>
  </si>
  <si>
    <t>โช้คประตูตั้งค้าง VVP_DC98</t>
  </si>
  <si>
    <t>27X8.5X8.5 cm.</t>
  </si>
  <si>
    <t>โช้คประตูไม่ตั้งค้าง VVP_DC98</t>
  </si>
  <si>
    <t>โช้คประตูตั้งค้าง VVP_DC100</t>
  </si>
  <si>
    <t>31X10X9.5 cm.</t>
  </si>
  <si>
    <t>โช้คประตูไม่ตั้งค้าง VVP_DC100</t>
  </si>
  <si>
    <t>กันชนประตูแม่เหล็กแท่ง SOLO</t>
  </si>
  <si>
    <t>กันชนประตูโดมติดพื้น solex</t>
  </si>
  <si>
    <t>กันชนประตูแม่เหล็กติดพื้น</t>
  </si>
  <si>
    <t>ยางกันชนเหลี่ยม</t>
  </si>
  <si>
    <t>อบขาว</t>
  </si>
  <si>
    <t>ยางกันชนกลมเล็ก</t>
  </si>
  <si>
    <t>ล็อคกลางบานเลื่อน ( ล็อคก้นหอย )_ L</t>
  </si>
  <si>
    <t>ล็อคกลางบานเลื่อน ( ล็อคก้นหอย )_ R</t>
  </si>
  <si>
    <t>พลาสติกปิดหัวน็อต</t>
  </si>
  <si>
    <t>ยางอุด 3 หุน</t>
  </si>
  <si>
    <t>พลาสติกฝาครอบน็อต หกเหลี่ยม</t>
  </si>
  <si>
    <t>ตลับกุญแจ CDQ20</t>
  </si>
  <si>
    <t>ตลับกุญแจ Colt</t>
  </si>
  <si>
    <t>35x85</t>
  </si>
  <si>
    <t>ตลับกุญแจ Hyda HD851</t>
  </si>
  <si>
    <t>ไส้กุญแจ Colt</t>
  </si>
  <si>
    <t>35x35</t>
  </si>
  <si>
    <t>40x40</t>
  </si>
  <si>
    <t>บานพับบานเปิด PBM</t>
  </si>
  <si>
    <t>แป้นรับล็อคบานเลื่อน HD1104</t>
  </si>
  <si>
    <t>เงิน</t>
  </si>
  <si>
    <t>แป้นรับล็อคบานเลื่อน HD1105</t>
  </si>
  <si>
    <t>แป้นรับล็อคบานเลื่อน  HD1125</t>
  </si>
  <si>
    <t>ก้าน Connection Rod HD-1176A</t>
  </si>
  <si>
    <t>ก้าน Connection Rod HD-1176B</t>
  </si>
  <si>
    <t>มุมสแตนเลส</t>
  </si>
  <si>
    <t>มุมอลูมิเนียมสปิก๊อต Hyda 214</t>
  </si>
  <si>
    <t>Hyda 214</t>
  </si>
  <si>
    <t>ฝาปิดรูน้ำเข้า ฝาปิดรูน้ำออก</t>
  </si>
  <si>
    <t>ปุ่มเสริมก้านมิเนียมบานเปิด 6.5 มม.</t>
  </si>
  <si>
    <t>ตัวรับบาน KIN LONG</t>
  </si>
  <si>
    <t>บานพับบานเปิดยูโร HD-631</t>
  </si>
  <si>
    <t>50x50</t>
  </si>
  <si>
    <t>ล้อสปริงกันแกว่ง มีน็อต</t>
  </si>
  <si>
    <t>โช้คฝังพื้น  FC34</t>
  </si>
  <si>
    <t>20NM</t>
  </si>
  <si>
    <t>25NM</t>
  </si>
  <si>
    <t>กันลมสแตนเลส</t>
  </si>
  <si>
    <t>12KC</t>
  </si>
  <si>
    <t>ไส้กุญแจ CH</t>
  </si>
  <si>
    <t>35x45</t>
  </si>
  <si>
    <t>45x35</t>
  </si>
  <si>
    <t>ใส</t>
  </si>
  <si>
    <t>HAFELE อุปกรณ์บานเลื่อน รับน้ำหนัก 100 กก.</t>
  </si>
  <si>
    <t>ตลับกุญแจ HD 840 L30</t>
  </si>
  <si>
    <t>ตลับกุญแจ มัลติพ้อย HD 851 L30</t>
  </si>
  <si>
    <t>② มือจับ (Stock)</t>
  </si>
  <si>
    <t>มือจับประตูบานเลื่อนแขวน ทรงโค้ง HOYA</t>
  </si>
  <si>
    <t>PS-102</t>
  </si>
  <si>
    <t>มือจับฝังบานเลื่อน  Hyda  416</t>
  </si>
  <si>
    <t>Dummy</t>
  </si>
  <si>
    <t>Lock</t>
  </si>
  <si>
    <t>มือจับฝังบานเลื่อน  CMECH</t>
  </si>
  <si>
    <t>Fixed Recessed Handle</t>
  </si>
  <si>
    <t>Multi-Point Lock Recessed Handle</t>
  </si>
  <si>
    <t>Multi-Point Lock Recessed  Interior with Key</t>
  </si>
  <si>
    <t>มือจับบานเลื่อน  CMECH</t>
  </si>
  <si>
    <t>Metro Handle_ Dummy</t>
  </si>
  <si>
    <t>Metro Handle_ Lock</t>
  </si>
  <si>
    <t>Metro Handle_  Key</t>
  </si>
  <si>
    <t>มือจับฝังบานเลื่อน Align</t>
  </si>
  <si>
    <t>Key</t>
  </si>
  <si>
    <t>มือจับเจาะกระจกประตูบานเลื่อน</t>
  </si>
  <si>
    <t>แบบกลม</t>
  </si>
  <si>
    <t>มือจับสแตนเลส VVP_HD110</t>
  </si>
  <si>
    <t>มือจับสแตนเลส VVP_HD189</t>
  </si>
  <si>
    <t>แบบเหลี่ยม</t>
  </si>
  <si>
    <t>มือจับสแตนเลส VVP_HD190</t>
  </si>
  <si>
    <t>มือจับบานกระทุ้งหลบมุ้ง</t>
  </si>
  <si>
    <t>CMECH_ ( L )</t>
  </si>
  <si>
    <t>CMECH_ ( R )</t>
  </si>
  <si>
    <t>มือจับบานเปิด KINGBO</t>
  </si>
  <si>
    <t>มือจับหลบมุ้ง KINGBO</t>
  </si>
  <si>
    <t>FH3016 _( L )</t>
  </si>
  <si>
    <t>FH3016 _ ( R )</t>
  </si>
  <si>
    <t>③ ยาง / สักหลาด (Stock)</t>
  </si>
  <si>
    <t>ยาง 044</t>
  </si>
  <si>
    <t>40.0</t>
  </si>
  <si>
    <t>ยาง 045</t>
  </si>
  <si>
    <t>ยางรองกระจก  EPK-737</t>
  </si>
  <si>
    <t>ยาง epdm sponge EFK77-4.7</t>
  </si>
  <si>
    <t>ยาง epdm sponge แบน EFK9-4</t>
  </si>
  <si>
    <t>สักหลาดจีน 5*3</t>
  </si>
  <si>
    <t>สักหลาดจีน 5*4</t>
  </si>
  <si>
    <t>สักหลาดจีน 3.5*4.8</t>
  </si>
  <si>
    <t>สักหลาดแถบกาว Hyda</t>
  </si>
  <si>
    <t>สักหลาด แถบกาว HYDA</t>
  </si>
  <si>
    <t>④ น็อต / สกรู (Stock)</t>
  </si>
  <si>
    <t>LB หัวเอฟ สีรุ้ง ปลายสว่าน</t>
  </si>
  <si>
    <t>#8*3/4"(19mm)</t>
  </si>
  <si>
    <t>⑤ มือจับ Cmech (ทุน/ตัว · พิเศษ=ชุบ +40%)</t>
  </si>
  <si>
    <t>มือจับฝัง ประตู (E010026+E010025)</t>
  </si>
  <si>
    <t>ธรรมดา</t>
  </si>
  <si>
    <t>ขาย/ชุด 1,050</t>
  </si>
  <si>
    <t>มือจับฝัง ประตู</t>
  </si>
  <si>
    <t>พิเศษ (ชุบ)</t>
  </si>
  <si>
    <t>ขาย 1,470</t>
  </si>
  <si>
    <t>มือจับฝัง หน้าต่าง (E010026)</t>
  </si>
  <si>
    <t>ขาย 350</t>
  </si>
  <si>
    <t>มือจับฝัง หน้าต่าง</t>
  </si>
  <si>
    <t>พิเศษ</t>
  </si>
  <si>
    <t>ขาย 490</t>
  </si>
  <si>
    <t>มือจับหลบมุ้ง (กระทุ้ง) A010456/457</t>
  </si>
  <si>
    <t>+Fork Drive แยก</t>
  </si>
  <si>
    <t>ขาย 600</t>
  </si>
  <si>
    <t>มือจับหลบมุ้ง</t>
  </si>
  <si>
    <t>ขาย 840</t>
  </si>
  <si>
    <t>มือจับเมโทร ประตู (ล็อค+กุญแจ)</t>
  </si>
  <si>
    <t>ขาย 1,000</t>
  </si>
  <si>
    <t>มือจับเมโทร ประตู</t>
  </si>
  <si>
    <t>ขาย 1,400</t>
  </si>
  <si>
    <t>มือจับเมโทร หน้าต่าง (ล็อค)</t>
  </si>
  <si>
    <t>มือจับเมโทร หน้าต่าง</t>
  </si>
  <si>
    <t>▶ อุปกรณ์ Shower (รวมจากชีทคิดทุน)</t>
  </si>
  <si>
    <t>ราวสแตนเลสกลม Shower</t>
  </si>
  <si>
    <t>/เส้น 6ม.</t>
  </si>
  <si>
    <t>ตัวจับกระจกคู่ราว Shower</t>
  </si>
  <si>
    <t>/ตัว</t>
  </si>
  <si>
    <t>ยางปิดหน้าบาน Shower</t>
  </si>
  <si>
    <t>/เส้น</t>
  </si>
  <si>
    <t>รางสแตนเลสเลื่อน Shower</t>
  </si>
  <si>
    <t>ยู5หุนอลู Shower</t>
  </si>
  <si>
    <t>📄 คิดทุน บานตู้ Futuretech — กรอกช่องเหลือง · ทุน/เทียบ R3.9 ออกเอง  (กระจก 5มม. เท่านั้น · บาน ≤ 2.8 ตร.ม.)</t>
  </si>
  <si>
    <t>① กรอกข้อมูลบาน</t>
  </si>
  <si>
    <t>② ราคาวัสดุ (แก้ตรงนี้)</t>
  </si>
  <si>
    <t>กว้างรวมทุกบาน (ซม.)</t>
  </si>
  <si>
    <t>เฟรม อบขาว/ดำ /เส้น6ม</t>
  </si>
  <si>
    <t>สูง (ซม.)</t>
  </si>
  <si>
    <t>เฟรม สีชุบ /เส้น</t>
  </si>
  <si>
    <t>จำนวนบาน</t>
  </si>
  <si>
    <t>เสามือจับ อบขาว/ดำ /เส้น</t>
  </si>
  <si>
    <t>พื้นที่/บาน (=กว้าง÷จำนวน×สูง)</t>
  </si>
  <si>
    <t>เสามือจับ สีชุบ /เส้น</t>
  </si>
  <si>
    <t>บานพับ /บาน (4ชิ้น)</t>
  </si>
  <si>
    <t>แบบ</t>
  </si>
  <si>
    <t>ฉากประกอบมุม /ชิ้น</t>
  </si>
  <si>
    <t>ความยาวรางยู/บาน (=2×กว้าง, ม.)</t>
  </si>
  <si>
    <t>ชุดล้อ (4ล้อ) /ชุด</t>
  </si>
  <si>
    <t>บวกกำไร %</t>
  </si>
  <si>
    <t>รางยู /เส้น6ม</t>
  </si>
  <si>
    <t>เช็คขนาด</t>
  </si>
  <si>
    <t>ค่ากรีดราง /ม.</t>
  </si>
  <si>
    <t>กระจก 5มม. (เลือกชนิด)</t>
  </si>
  <si>
    <t>กระจก 5มม /ตร.ม.</t>
  </si>
  <si>
    <t>③ BOM (รวมทุกบาน — คูณจำนวนบานแล้ว · ต้องเลือก "แบบ" ก่อน)</t>
  </si>
  <si>
    <t>สกรู /ตัว</t>
  </si>
  <si>
    <t>ทุน/บาน</t>
  </si>
  <si>
    <t>เฟรม (บน+ล่าง+ข้าง)</t>
  </si>
  <si>
    <t>เส้น6ม</t>
  </si>
  <si>
    <t>ผลิต (ชม./บาน)</t>
  </si>
  <si>
    <t>เสามือจับ (ข้าง)</t>
  </si>
  <si>
    <t>ติดตั้ง (ชม./บาน)</t>
  </si>
  <si>
    <t>บานพับ</t>
  </si>
  <si>
    <t>ฉากประกอบมุม</t>
  </si>
  <si>
    <t>ชิ้น</t>
  </si>
  <si>
    <t>สกรู (8/บาน)</t>
  </si>
  <si>
    <t>ชุดล้อ (4ล้อ)</t>
  </si>
  <si>
    <t>ชุด</t>
  </si>
  <si>
    <t>ค่ากรีดราง</t>
  </si>
  <si>
    <t>กระจก 5มม.</t>
  </si>
  <si>
    <t>ทุนวัสดุรวม (ทุกบาน)</t>
  </si>
  <si>
    <t>ค่าแรง (ทุกบาน) = พื้นที่รวม × เรต/ตร.ม. (จากตารางค่าแรง)</t>
  </si>
  <si>
    <t>ทุนรวม (ทุกบาน)</t>
  </si>
  <si>
    <t>R3.9 ขาย/ตร.ม. (กรอกเทียบ)</t>
  </si>
  <si>
    <t>— แยกค่าแรง (ผลิต ×2 · ติดตั้ง ×3) —</t>
  </si>
  <si>
    <t>ค่าแรงผลิต (ทุกบาน)</t>
  </si>
  <si>
    <t>ค่าแรงติดตั้ง (ทุกบาน)</t>
  </si>
  <si>
    <t>ราคาขาย/บาน ผลิตอย่างเดียว</t>
  </si>
  <si>
    <t>ราคาขาย/บาน ผลิต+ติดตั้ง</t>
  </si>
  <si>
    <t>📄 คิดทุน ชุด Shower — กรอกช่องเหลือง · กรอกขนาดบานตาย/บานเปิด-เลื่อน แยกได้ · คิดต่อ 1 ชุด</t>
  </si>
  <si>
    <t>① กรอกขนาด + เลือกออปชั่น</t>
  </si>
  <si>
    <t>② ราคาวัสดุ/อุปกรณ์ (แก้ตรงนี้)</t>
  </si>
  <si>
    <t>ช่องปูน กว้าง (ซม.) [ราวกลม/ราง]</t>
  </si>
  <si>
    <t>ยูจับกระจก /ตัว</t>
  </si>
  <si>
    <t>บานตาย: กว้าง (ซม.)</t>
  </si>
  <si>
    <t>ราวสแตนเลสกลม /เส้น6ม</t>
  </si>
  <si>
    <t>บานตาย: สูง (ซม.)</t>
  </si>
  <si>
    <t>ตัวจับกระจกคู่ราว /ตัว</t>
  </si>
  <si>
    <t>บานเปิด/เลื่อน: กว้าง (ซม.)</t>
  </si>
  <si>
    <t>บานพับสแตนเลส /ตัว</t>
  </si>
  <si>
    <t>บานเปิด/เลื่อน: สูง (ซม.)</t>
  </si>
  <si>
    <t>ยางปิดหน้าบาน /เส้น</t>
  </si>
  <si>
    <t>พื้นที่กระจก (ตร.ม.)</t>
  </si>
  <si>
    <t>รางสแตนเลสเลื่อน /เส้น6ม</t>
  </si>
  <si>
    <t>มือจับสแตนเลส /ตัว</t>
  </si>
  <si>
    <t>บานตาย</t>
  </si>
  <si>
    <t>ยู5หุนอลู อบขาว/ดำ /เส้น</t>
  </si>
  <si>
    <t>ราวกลมด้านบน (ตาย/เปิด)</t>
  </si>
  <si>
    <t>ยู5หุนอลู เทา /เส้น</t>
  </si>
  <si>
    <t>กระจก</t>
  </si>
  <si>
    <t>กระจก /ตร.ม. (auto)</t>
  </si>
  <si>
    <t>สี ยู5หุน (ถ้าอลู)</t>
  </si>
  <si>
    <t>ผลิต ชม. (สั่งสำเร็จ=0)</t>
  </si>
  <si>
    <t>ติดตั้ง ชม. (auto ตาย5/เปิด-เลื่อน6)</t>
  </si>
  <si>
    <t>③ BOM (ต่อ 1 ชุด)</t>
  </si>
  <si>
    <t>📌 ดำ/ทอง ใช้ราคาสแตนเลส (กันขาดทุน — ดำจริงถูกกว่า)</t>
  </si>
  <si>
    <t>กระจกเทมเปอร์ (ตาย+เปิด)</t>
  </si>
  <si>
    <t>ยูจับกระจก</t>
  </si>
  <si>
    <t>ราวสแตนเลสกลม</t>
  </si>
  <si>
    <t>ตัวจับกระจกคู่ราว</t>
  </si>
  <si>
    <t>บานพับสแตนเลส</t>
  </si>
  <si>
    <t>ยางปิดหน้าบาน</t>
  </si>
  <si>
    <t>รางสแตนเลสเลื่อน</t>
  </si>
  <si>
    <t>มือจับสแตนเลส</t>
  </si>
  <si>
    <t>ยู5หุนอลู (รอบแต่ละแผ่น)</t>
  </si>
  <si>
    <t>ค่าแรงติดตั้ง =(ผลิต+ติดตั้ง)×เรต</t>
  </si>
  <si>
    <t>ทุนรวม/ชุด</t>
  </si>
  <si>
    <t>ราคาขาย/ชุด (วัสดุ×2 · ผลิต×2 · ติดตั้ง×3)</t>
  </si>
  <si>
    <t>📄 คิดทุน ราวกันตก (ยูเหล็กครอบอลู) — เลือกออปชั่น หมุดจับ/ตั้งเสา · กรอกช่องเหลือง</t>
  </si>
  <si>
    <t>ยาวราว (ซม.)</t>
  </si>
  <si>
    <t>ยูเหล็ก 6หุน×1½ /เส้น6ม</t>
  </si>
  <si>
    <t>เพลท /เส้น6ม</t>
  </si>
  <si>
    <t>จำนวนช่อง (ตั้งเสา)</t>
  </si>
  <si>
    <t>อลูครอบ 2"×6" /เส้น6ม</t>
  </si>
  <si>
    <t>ยูเหล็กครอบอลู</t>
  </si>
  <si>
    <t>ตัวหนีบกระจกสแตนเลส /ตัว</t>
  </si>
  <si>
    <t>กระจก (เทมเปอร์/ลามิเนต ≥10มม)</t>
  </si>
  <si>
    <t>เงิน/ปกติ</t>
  </si>
  <si>
    <t>กล่องอลู 1"×1.6" /เส้น6ม</t>
  </si>
  <si>
    <t>เลือกสีที่ F7 · ปกติ598 / ดำ-เทาซาฮาร่า652</t>
  </si>
  <si>
    <t>เหล็ก 1"×1½" ยัดเสา /เส้น6ม</t>
  </si>
  <si>
    <t>ยู5หุน /เส้น6ม</t>
  </si>
  <si>
    <t>PU /หลอด</t>
  </si>
  <si>
    <t>ผลิต ชม.</t>
  </si>
  <si>
    <t>ติดตั้ง ชม.</t>
  </si>
  <si>
    <t>ติดตั้ง คน</t>
  </si>
  <si>
    <t>③ BOM</t>
  </si>
  <si>
    <t>จำนวนเสา (ต้น) =</t>
  </si>
  <si>
    <t>ยูเหล็กฐาน (ยาว)</t>
  </si>
  <si>
    <t>ระยะห่างจริง/ช่อง (ซม.) =</t>
  </si>
  <si>
    <t>เพลท 2 ฝั่ง</t>
  </si>
  <si>
    <t>(ระยะห่างต้องไม่เกิน 100 ซม.)</t>
  </si>
  <si>
    <t>อลูครอบ 2"×6"</t>
  </si>
  <si>
    <t>PU ยิงร่อง (2ฝั่ง)</t>
  </si>
  <si>
    <t>ตัวหนีบกระจก (หมุดจับ)</t>
  </si>
  <si>
    <t>เสา กล่องอลู1×1.6 (ตั้งเสา)</t>
  </si>
  <si>
    <t>เสา เหล็ก1×1½ ยัดใน (ตั้งเสา)</t>
  </si>
  <si>
    <t>ยู5หุน จับกระจก (ตั้งเสา)</t>
  </si>
  <si>
    <t>มือจับบน กล่อง1×1.6 (ตั้งเสา)</t>
  </si>
  <si>
    <t>ค่าแรง =(ผลิต×1+ติดตั้ง×คน)×เรต</t>
  </si>
  <si>
    <t>ทุน/เมตร</t>
  </si>
  <si>
    <t>ราคาขาย (ผลิต×2 · ติดตั้ง×3)</t>
  </si>
  <si>
    <t>— แยกค่าแรง: ผลิต ×2 · ติดตั้ง ×3 —</t>
  </si>
  <si>
    <t>คิดทุนบานโซลิด (Fuji) — บานเปิด + ลูกฟูก2ทาง 2 ฝั่ง + เส้นคาดตาราง 2 ฝั่ง (ไม่มีกระจก)</t>
  </si>
  <si>
    <t>เส้นคาดตาราง แนวตั้ง 2 ฝั่ง (ตัดไม่ต่อ)</t>
  </si>
  <si>
    <t>เส้นตาราง/บาน (เส้นแนวตั้ง) =</t>
  </si>
  <si>
    <t>ระยะห่างจริง ระหว่างเส้น (ซม.) =</t>
  </si>
  <si>
    <t>(เส้นกว้าง 1.8 · ช่องว่าง 2 · เว้นข้าง ซ้าย-ขวา 10 · ยาวเต็มความสูง)</t>
  </si>
  <si>
    <t>ตาราง 1 เส้น6ม. ตัดได้ (ท่อน) =</t>
  </si>
  <si>
    <t>คิดทุนบานระแนงเลื่อน (SMS + ลูกฟูก2ทางแทนกระจก + ล้อ + ดามกล่อง1×1)</t>
  </si>
  <si>
    <t>ลูกฟูก2ทาง (แทนกระจก, 1ชั้น)</t>
  </si>
  <si>
    <t>ล้อลูกฟูก (=จำนวนลูกฟูก)</t>
  </si>
  <si>
    <t>ดาม กล่อง1×1 (นอก+ใน กลาง)</t>
  </si>
  <si>
    <t>ค่าส่งเหมา/ชุด (แก้ตรงนี้) →</t>
  </si>
  <si>
    <t>① YKK Exhido (ประตูทางเข้าบ้าน) — ราคา มิ.ย.69 · Estimate · รวม door closer · รับที่โกดัง · lead 60 วัน · สีมาตรฐาน</t>
  </si>
  <si>
    <t>กว้าง (มม.)</t>
  </si>
  <si>
    <t>สูง (มม.)</t>
  </si>
  <si>
    <t>ราคาใบราคา</t>
  </si>
  <si>
    <t>+ค่าส่ง</t>
  </si>
  <si>
    <t>ขายแนะนำ (ทุน×2)</t>
  </si>
  <si>
    <t>Single เล็ก</t>
  </si>
  <si>
    <t>Single ใหญ่</t>
  </si>
  <si>
    <t>Master &amp; Slave</t>
  </si>
  <si>
    <t>Double</t>
  </si>
  <si>
    <t>② เรตอ้างอิงต่อ ตร.ม. (จากโน้ตหัวหน้า R4.0 — ทุนยังไม่รวมขนส่ง)</t>
  </si>
  <si>
    <t>ขนาดต่ำสุด (ม.)</t>
  </si>
  <si>
    <t>ขนาดสูงสุด (ม.)</t>
  </si>
  <si>
    <t>YKK Ventilation</t>
  </si>
  <si>
    <t>0.70 × 1.90</t>
  </si>
  <si>
    <t>0.90 × 2.20</t>
  </si>
  <si>
    <t>บานสำเร็จ ระบายอากาศ</t>
  </si>
  <si>
    <t>Tostem Airflow A01</t>
  </si>
  <si>
    <t>0.90 × 2.22</t>
  </si>
  <si>
    <t>นโยบาย: ราคาขาย = ทุน×2 · Exhido ราคา estimate — ยืนยันกับ YKK ก่อนปิดงานจริง</t>
  </si>
  <si>
    <t>ถอดทุน บานเฟี้ยมยก (เฟี้ยมยูโรหมุน 90°) — หน่วย ซม. · นับเส้นเต็ม Σ÷640 · N คงที่ 2 บาน</t>
  </si>
  <si>
    <t>กว้างช่อง W (ซม.) →</t>
  </si>
  <si>
    <t>สูงช่อง H (ซม.) →</t>
  </si>
  <si>
    <t>จำนวนบาน N →</t>
  </si>
  <si>
    <t>Σยาว(ซม)</t>
  </si>
  <si>
    <t>F7968 เฟรมข้าง (เดิมเฟรมบน)</t>
  </si>
  <si>
    <t>F7970 เฟรมบน (เดิมเฟรมข้าง)</t>
  </si>
  <si>
    <t>F7971 คิ้วเฟรมบน</t>
  </si>
  <si>
    <t>F7973 ตบปิดเฟรม (ตั้ง2+นอน1)</t>
  </si>
  <si>
    <t>F7972 กรอบบาน (ตั้ง4+นอน4)</t>
  </si>
  <si>
    <t>F7935 คิ้วกระจก (ตั้ง4+นอน4)</t>
  </si>
  <si>
    <t>— ฮาร์ดแวร์ (HD · euro 2 บาน) —</t>
  </si>
  <si>
    <t>1</t>
  </si>
  <si>
    <t>HD-641 บานพับเฟี้ยม (≤270ซม.→7)</t>
  </si>
  <si>
    <t>— ยาง (สูตร guide × ราคาต้นทุน, ม.) —</t>
  </si>
  <si>
    <t>ยางอัด (ม.)</t>
  </si>
  <si>
    <t>ยางรอง (ม.)</t>
  </si>
  <si>
    <t>ยางลูกโป่ง 6mm (ม.)</t>
  </si>
  <si>
    <t>— กระจก (พื้นจริง 2 แผ่น) —</t>
  </si>
  <si>
    <t>ราคาขาย/ตร.ม. (ทุน×2)</t>
  </si>
  <si>
    <t>ค่าแรงผลิต (บานเฟี้ยมยก 7ชม.)</t>
  </si>
  <si>
    <t>ค่าแรงติดตั้ง (บานเฟี้ยมยก 6ชม.)</t>
  </si>
  <si>
    <t>ราคาขาย ผลิต+ติดตั้ง (วัสดุ×2 · ผลิต×2 · ติดตั้ง×3)</t>
  </si>
  <si>
    <t>ทุนอลู</t>
  </si>
  <si>
    <t>ทุนอุปกรณ์+ยาง</t>
  </si>
  <si>
    <t>— ราคาขาย แยกส่วน —</t>
  </si>
  <si>
    <t>ราคาขาย ผลิตอย่างเดียว (ไม่รวมติดตั้ง)</t>
  </si>
  <si>
    <t>🚪 คิดทุน บานเปลือย (frameless) — เลื่อน / สวิง · กระจกเทมเปอร์ 10มม.</t>
  </si>
  <si>
    <t>① กรอกขนาด</t>
  </si>
  <si>
    <t>② ราคา (แก้ตรง)</t>
  </si>
  <si>
    <t>กว้าง/บาน (ซม.)</t>
  </si>
  <si>
    <t>กระจกเทมเปอร์ 10มม. /ตร.ม.</t>
  </si>
  <si>
    <t>สูง/บาน (ซม.)</t>
  </si>
  <si>
    <t>ชุดล้อ+ราง /ชุด (เลื่อน)</t>
  </si>
  <si>
    <t>โช้ค+จุดหมุน /ชุด (สวิง)</t>
  </si>
  <si>
    <t>พื้นที่รวม (ตร.ม.)</t>
  </si>
  <si>
    <t>บานเลื่อน</t>
  </si>
  <si>
    <t>มือจับ /ตัว</t>
  </si>
  <si>
    <t>ล็อค /ชุด</t>
  </si>
  <si>
    <t>ค่าแรงติดตั้ง/บาน (=บานเปิด auto)</t>
  </si>
  <si>
    <t>③ BOM + ทุน (×จำนวนบาน)</t>
  </si>
  <si>
    <t>กระจกเทมเปอร์ 10มม.</t>
  </si>
  <si>
    <t>ชุดล้อ+ราง (เลื่อน)</t>
  </si>
  <si>
    <t>โช้ค+จุดหมุน (สวิง)</t>
  </si>
  <si>
    <t>ล็อค</t>
  </si>
  <si>
    <t>ราคาขาย (วัสดุ×2 · ติดตั้ง×3)</t>
  </si>
  <si>
    <t>R3.9 เทียบ: สวิง/เลื่อน = ติดตาย(min7,000)+8,000/บาน · บังคับเทมเปอร์10มม.</t>
  </si>
  <si>
    <t>หมายเหตุ: ชีทนี้ไม่มีค่าแรงผลิต (บานสำเร็จ) มีแต่ค่าแรงติดตั้ง → คูณ ×3</t>
  </si>
  <si>
    <t>JR ALUMINIUM &amp; GLASS   —   ใบตัดบาน SlimLux (บานเลื่อนรางบน)   ·   หน่วย: ซม.</t>
  </si>
  <si>
    <t>① กรอกข้อมูลช่อง (ช่องเหลือง)</t>
  </si>
  <si>
    <t>กว้างช่องปูน (ช่อง)</t>
  </si>
  <si>
    <t>สูงช่องปูน</t>
  </si>
  <si>
    <t>คาน (เลือกกล่อง)</t>
  </si>
  <si>
    <t>1×4</t>
  </si>
  <si>
    <t>รูปแบบช่องปูน</t>
  </si>
  <si>
    <t>ยัดในช่อง</t>
  </si>
  <si>
    <t>รูปแบบบาน</t>
  </si>
  <si>
    <t>② ค่าที่คำนวณอัตโนมัติ (ห้ามแก้)</t>
  </si>
  <si>
    <t>ขนาดคานที่หัก (ซม.)</t>
  </si>
  <si>
    <t>จำนวนเสารับ (ฝั่ง)</t>
  </si>
  <si>
    <t>เสารับบาน (เลือกกล่อง)</t>
  </si>
  <si>
    <t>1×4+1×4</t>
  </si>
  <si>
    <t>← เลือกเอง (แทนออโต้เดิม)</t>
  </si>
  <si>
    <t>โปรไฟล์</t>
  </si>
  <si>
    <t>รูป</t>
  </si>
  <si>
    <t>ยาวตัด (ซม.)</t>
  </si>
  <si>
    <t>คาน</t>
  </si>
  <si>
    <t>กล่องคาน</t>
  </si>
  <si>
    <t>ยัด=ช่อง / แปะนอก=ช่อง×2</t>
  </si>
  <si>
    <t>รางบน (รางแขวน)</t>
  </si>
  <si>
    <t>XSW40008</t>
  </si>
  <si>
    <t>จำนวน=บานเลื่อน</t>
  </si>
  <si>
    <t>เสารับบาน</t>
  </si>
  <si>
    <t>จำนวน=กล่อง×ฝั่ง · แยกขนาด ดู ⑦</t>
  </si>
  <si>
    <t>บังใบ 4 หุน</t>
  </si>
  <si>
    <t>เสารับ−3.6</t>
  </si>
  <si>
    <t>ขวางบน-ล่าง</t>
  </si>
  <si>
    <t>OPK-A201</t>
  </si>
  <si>
    <t>บานละ 2</t>
  </si>
  <si>
    <t>OPK-A202</t>
  </si>
  <si>
    <t>บานละ 2 ท่อน</t>
  </si>
  <si>
    <t>ตบเรียบหน้าเสากุญแจ (บานเลื่อน)</t>
  </si>
  <si>
    <t>OPK-A203</t>
  </si>
  <si>
    <t>แปะนอก−1</t>
  </si>
  <si>
    <t>ตบเรียบหน้าเสากุญแจ (บานตาย)</t>
  </si>
  <si>
    <t>ถ้ามีบานตาย</t>
  </si>
  <si>
    <t>ตบเกี่ยวใส่สักหลาด</t>
  </si>
  <si>
    <t>OPK-A204</t>
  </si>
  <si>
    <t>บานเลื่อน+1</t>
  </si>
  <si>
    <t>มือจับ X-J</t>
  </si>
  <si>
    <t>เท่าเสากุญแจ</t>
  </si>
  <si>
    <t>ฉากปิดราง 2"</t>
  </si>
  <si>
    <t>เท่าช่องปูน</t>
  </si>
  <si>
    <t>ตบปิดใต้รางริม</t>
  </si>
  <si>
    <t>เท่ารางบน</t>
  </si>
  <si>
    <t>ตบปิดใต้รางกลาง</t>
  </si>
  <si>
    <t>ราง−1</t>
  </si>
  <si>
    <t>⑥ อุปกรณ์ (กล่อง+ล้อ ต่อบาน · จำนวนลิงก์อัตโนมัติ)</t>
  </si>
  <si>
    <t>กล่องสั้น (บานกลาง) ด้าน →</t>
  </si>
  <si>
    <t>ซ้าย</t>
  </si>
  <si>
    <t>เลือกทั้งชุด ซ้ายหมด/ขวาหมด</t>
  </si>
  <si>
    <t>รหัส SKU</t>
  </si>
  <si>
    <t>กล่องยาว (หัว+ท้ายบาน)</t>
  </si>
  <si>
    <t>JR00573</t>
  </si>
  <si>
    <t>บานแรก + บานสุดท้าย</t>
  </si>
  <si>
    <t>กล่องสั้น ซ้าย (บานกลาง)</t>
  </si>
  <si>
    <t>JR00575</t>
  </si>
  <si>
    <t>ใช้เมื่อเลือกด้าน=ซ้าย</t>
  </si>
  <si>
    <t>กล่องสั้น ขวา (บานกลาง)</t>
  </si>
  <si>
    <t>JR00574</t>
  </si>
  <si>
    <t>ใช้เมื่อเลือกด้าน=ขวา</t>
  </si>
  <si>
    <t>ล้อล่าง</t>
  </si>
  <si>
    <t>JR00572</t>
  </si>
  <si>
    <t>บานเลื่อนละ 2 ตัวเสมอ</t>
  </si>
  <si>
    <t>③ กระดานคำนวณความยาว (แตกทีละขั้น) — อ่านซ้าย→ขวา · ช่องเหลือง=แก้ได้ · ช่องฟ้า=ค่าคำนวณสด</t>
  </si>
  <si>
    <t>ฐาน (จาก)</t>
  </si>
  <si>
    <t>ค่า</t>
  </si>
  <si>
    <t>− ขนาดคาน</t>
  </si>
  <si>
    <t>− ตัวลบ</t>
  </si>
  <si>
    <t>+ ปรับ</t>
  </si>
  <si>
    <t>÷ จำนวนบาน</t>
  </si>
  <si>
    <t>× ตัวคูณ</t>
  </si>
  <si>
    <t>หมายเหตุ / เงื่อนไข</t>
  </si>
  <si>
    <t>ความกว้างช่อง</t>
  </si>
  <si>
    <t>ยัด=ฐาน / แปะนอก=ฐาน×ตัวคูณ · 1 เส้น</t>
  </si>
  <si>
    <t>ยัด=ฐาน−ตัวลบ / แปะนอก=ฐาน×ตัวคูณ · จำนวน=บานเลื่อน</t>
  </si>
  <si>
    <t>ความสูงช่อง</t>
  </si>
  <si>
    <t>จำนวน=ฝั่ง(แปะนอก1/ยัด2) · กล่องเลือกที่ C16</t>
  </si>
  <si>
    <t>ความยาวเสารับ</t>
  </si>
  <si>
    <t>ใช้ 2 อัน</t>
  </si>
  <si>
    <t>ขวางบน-ล่าง (ยัดในช่อง)</t>
  </si>
  <si>
    <t>แบบยัดในช่อง: (ฐาน−ตัวลบ)÷บาน + บาน×ตัวคูณ</t>
  </si>
  <si>
    <t>ขวางบน-ล่าง (แปะนอก)</t>
  </si>
  <si>
    <t>แบบแปะนอก: (ฐาน+ปรับ−ตัวลบ)÷บาน + บาน×ตัวคูณ</t>
  </si>
  <si>
    <t>ตบเรียบ (บานเลื่อน)</t>
  </si>
  <si>
    <t>ตบเรียบ (บานตาย)</t>
  </si>
  <si>
    <t>ไม่ลบตัวลบ</t>
  </si>
  <si>
    <t>ตบเกี่ยวสักหลาด</t>
  </si>
  <si>
    <t>จำนวน=บานเลื่อน+1</t>
  </si>
  <si>
    <t>1 ชุด 2 อัน (คู่กลาง 4)</t>
  </si>
  <si>
    <t>เท่าความกว้างช่องปูน</t>
  </si>
  <si>
    <t>1 ชุด 2 อัน</t>
  </si>
  <si>
    <t>จำนวน = ราง − 1</t>
  </si>
  <si>
    <t>④ ตัวเลข 'จำนวน' ที่แก้ได้ — จำนวนชิ้นต่อบาน/ต่องาน</t>
  </si>
  <si>
    <t>ความหมาย (จำนวนของโปรไฟล์อะไร)</t>
  </si>
  <si>
    <t>คาน — จำนวนเส้น</t>
  </si>
  <si>
    <t>บังใบ 4 หุน — จำนวนอัน</t>
  </si>
  <si>
    <t>ขวางบน-ล่าง — จำนวนต่อบาน (บน+ล่าง)</t>
  </si>
  <si>
    <t>เสากุญแจ — จำนวนท่อนต่อบาน</t>
  </si>
  <si>
    <t>ตบเรียบหน้าเสากุญแจ — จำนวน (แบบ 'ยัดในช่อง')</t>
  </si>
  <si>
    <t>ตบเรียบหน้าเสากุญแจ — จำนวน (แบบ 'แปะนอก')</t>
  </si>
  <si>
    <t>ตบเรียบ (บานตาย) — จำนวน</t>
  </si>
  <si>
    <t>ตบเกี่ยวสักหลาด — บวกเพิ่มเสมอ</t>
  </si>
  <si>
    <t>ตบเกี่ยวสักหลาด — บวกเพิ่มถ้า 'แปะนอก'</t>
  </si>
  <si>
    <t>มือจับ X-J — จำนวนปกติ (1 ชุด)</t>
  </si>
  <si>
    <t>มือจับ X-J — จำนวนเมื่อ 'เปิดคู่กลาง'</t>
  </si>
  <si>
    <t>ฉากปิดราง 2" — จำนวนอัน</t>
  </si>
  <si>
    <t>ตบปิดใต้รางริม — จำนวนอัน</t>
  </si>
  <si>
    <t>ตบปิดใต้รางกลาง — เอา 'ราง' ลบด้วย</t>
  </si>
  <si>
    <t>⑤ ตารางคาน (ดรอปดาว) — แก้ขนาดที่หักของแต่ละกล่อง</t>
  </si>
  <si>
    <t>ลบความสูง (ซม.)</t>
  </si>
  <si>
    <t>1×2</t>
  </si>
  <si>
    <t>2×2</t>
  </si>
  <si>
    <t>2×4</t>
  </si>
  <si>
    <t>1×4+1×1.6</t>
  </si>
  <si>
    <t>2×4+4×4</t>
  </si>
  <si>
    <t>4×4</t>
  </si>
  <si>
    <t>⑦ เสารับบาน — แตกกล่องหักสต็อค (เว้นรหัส · กรอกตอนเข้าเว็บ)</t>
  </si>
  <si>
    <t>จำนวนท่อน</t>
  </si>
  <si>
    <t>กล่อง 1×1.6</t>
  </si>
  <si>
    <t>ท่อน</t>
  </si>
  <si>
    <t>ยาวเท่ากันทุกท่อน</t>
  </si>
  <si>
    <t>กล่อง 1×4</t>
  </si>
  <si>
    <t>กล่อง 1×3</t>
  </si>
  <si>
    <t>JR ALUMINIUM &amp; GLASS   —   ใบตัดบาน บานเปิด Velora   ·   หน่วย: ซม.</t>
  </si>
  <si>
    <t>รูปแบบ</t>
  </si>
  <si>
    <t>วงกบบน</t>
  </si>
  <si>
    <t>ตัด 45° 2 ฝั่ง</t>
  </si>
  <si>
    <t>วงกบข้าง</t>
  </si>
  <si>
    <t>ตัด 45° 1 ฝั่ง · 2 ข้าง</t>
  </si>
  <si>
    <t>กรอบบาน แนวนอน</t>
  </si>
  <si>
    <t>เข้ามุม 45° · บน+ล่าง</t>
  </si>
  <si>
    <t>กรอบบาน แนวตั้ง</t>
  </si>
  <si>
    <t>เข้ามุม 45° · 2 ข้าง</t>
  </si>
  <si>
    <t>ลูกฟูก 2 ทาง แนวตั้ง</t>
  </si>
  <si>
    <t>เท่าวงกบข้าง · เฉพาะยัดในช่อง</t>
  </si>
  <si>
    <t>ลูกฟูก 2 ทาง แนวนอน</t>
  </si>
  <si>
    <t>เท่าวงกบบน · เฉพาะยัดในช่อง</t>
  </si>
  <si>
    <t>③ กระดานคำนวณความยาว — แก้ 'ช่องเหลือง' ①② ในกระดานได้เลย · ฟ้า=ค่าสด · เขียว=ผล   (① = แบบยัดในช่อง · ② = แบบครอบวงกบ)</t>
  </si>
  <si>
    <t>① ยัดในช่อง (แก้ได้)</t>
  </si>
  <si>
    <t>② ครอบวงกบ (แก้ได้)</t>
  </si>
  <si>
    <t>ยาวตัด</t>
  </si>
  <si>
    <t>สูตร (ที่มา)</t>
  </si>
  <si>
    <t>กว้าง + ① (ยัด) / + ② (ครอบ)</t>
  </si>
  <si>
    <t>สูง + ① (ยัด) / + ② (ครอบ)</t>
  </si>
  <si>
    <t>กว้าง − ① (ยัด) / − ② (ครอบ)</t>
  </si>
  <si>
    <t>สูง − ① (ยัด) / − ② (ครอบ)</t>
  </si>
  <si>
    <t>เท่าวงกบข้าง</t>
  </si>
  <si>
    <t>เท่าวงกบข้าง (เฉพาะยัดในช่อง)</t>
  </si>
  <si>
    <t>เท่าวงกบบน</t>
  </si>
  <si>
    <t>เท่าวงกบบน (เฉพาะยัดในช่อง)</t>
  </si>
  <si>
    <t>④ ตัวเลข 'จำนวน' ที่แก้ได้ (ลูกฟูก = เฉพาะยัดในช่อง)</t>
  </si>
  <si>
    <t>วงกบบน — จำนวน</t>
  </si>
  <si>
    <t>วงกบข้าง — จำนวน</t>
  </si>
  <si>
    <t>กรอบบาน แนวนอน — จำนวน</t>
  </si>
  <si>
    <t>กรอบบาน แนวตั้ง — จำนวน</t>
  </si>
  <si>
    <t>ลูกฟูก แนวตั้ง — จำนวน (เมื่อยัดในช่อง)</t>
  </si>
  <si>
    <t>ลูกฟูก แนวนอน — จำนวน (เมื่อยัดในช่อง)</t>
  </si>
  <si>
    <t>⑥ อุปกรณ์ (จำนวน/ชุด) — บานเปิด Velora 1 บาน</t>
  </si>
  <si>
    <t>มือจับ (ล็อค)</t>
  </si>
  <si>
    <t>← ผูกกับ "กำไรค่าวัสดุ %" ท้ายชีท (แก้ตัวเลขที่นั่น)</t>
  </si>
  <si>
    <t>▶ บันทึกราคาขึ้น</t>
  </si>
  <si>
    <t>▶ ราคางานเสริม</t>
  </si>
  <si>
    <t>▶ ราคาเหล็ก</t>
  </si>
  <si>
    <t>▶ ชีทอุปกรณ์</t>
  </si>
  <si>
    <t>⚠ ต้องเช็คราคาทุก 3 เดือน</t>
  </si>
  <si>
    <t>* ราคาสูงผิดปกติ — เช็คกับร้านทุก 3 เดือน · อัปเดตล่าสุด ส.ค.2569 · ครั้งหน้า พ.ย.2569</t>
  </si>
  <si>
    <t>*</t>
  </si>
  <si>
    <t>เช็คราคาทุก 3 เดือน</t>
  </si>
  <si>
    <t>ราคาสีอบ / เทาซาฮาร่า / ลายไม้ — ราคา/เส้น</t>
  </si>
  <si>
    <t>มอเตอร์ / ชุดออโต้</t>
  </si>
  <si>
    <t>เหล็กกล่อง / ยูเหล็ก</t>
  </si>
  <si>
    <t>งานเสริม ฝ้า/ผนัง/ไฟ</t>
  </si>
  <si>
    <t>ค่าแรงผลิต + ติดตั้ง ทุกแบบ ★</t>
  </si>
  <si>
    <t>ราคาอุปกรณ์กลาง (บานพับ/ล้อ/มือจับ)</t>
  </si>
  <si>
    <t>🚪 คิดทุน — ประตู / หน้าต่าง / บาน</t>
  </si>
  <si>
    <t>▶ หลังคา 🔒</t>
  </si>
  <si>
    <t>▶ หลังคาจั่ว 🔒</t>
  </si>
  <si>
    <t>▶ หลังคาเลื่อน 🔒</t>
  </si>
  <si>
    <t>🧱 คิดทุน — ฝ้า / ผนัง / พื้น / งานไฟ</t>
  </si>
  <si>
    <t>📐 เทียบราคา / ตรวจสอบ</t>
  </si>
  <si>
    <t>🧰 ชีทช่วยคำนวณ — 🔒 = ชีทถูกซ่อนอยู่ ต้องเลิกซ่อนก่อนถึงกดเข้าได้</t>
  </si>
  <si>
    <t>▶ SlimLux_ตัด 🔒</t>
  </si>
  <si>
    <t>▶ Velora_ตัด 🔒</t>
  </si>
  <si>
    <t>💡 ทุกชีทคิดทุนมีบล็อก ⚙ ตั้งค่ากำไร ท้ายชีท — แก้ % กำไร วัสดุ/ผลิต/ติดตั้ง ได้ที่นั่น</t>
  </si>
  <si>
    <t>ลูกฟูก2ทาง 2 ฝั่ง (เมืองทอง, ตัดไม่ต่อ)</t>
  </si>
  <si>
    <t>SlimLux (อย่างเดียว)</t>
  </si>
  <si>
    <t>ยูโร · บานเปิด · บานหมุน · กระทุ้ง · เฟี้ยม · เฟี้ยมยูโร · เฟี้ยมยก · PC Door · บานยก · บานโซลิด</t>
  </si>
  <si>
    <t>SMS · E-series · บานเลื่อนรางบน · บานระแนงเลื่อน</t>
  </si>
  <si>
    <t>ระแนง · ระแนงหมุน · ประตูรั้ว · บานเกล็ด · ติดตาย · บานเลื่อนรางบน · หลังคาทุกชีท · ลูกฟูก (บานโซลิด/บานระแนงเลื่อน)</t>
  </si>
  <si>
    <t>Velora (อย่างเดียว)</t>
  </si>
  <si>
    <t>⬛ ช่องเทา = ไม่มีสีนั้นขาย (ถ้าจะใช้ ให้เลือก "สีอบพิเศษ" ในดรอปดาวน์หน้าคิดทุน ระบบคิดค่าอบให้เอง)</t>
  </si>
  <si>
    <t>━ เพิ่มเติม — โปรไฟล์ไม่มีรหัส ━</t>
  </si>
  <si>
    <t>เฟรมบน (บานยก)</t>
  </si>
  <si>
    <t>เฟรมล่าง (บานยก)</t>
  </si>
  <si>
    <t>กรอบบาน (บานยก)</t>
  </si>
  <si>
    <t>เสาเกี่ยว (บานยก)</t>
  </si>
  <si>
    <t>รางข้าง (บานยก)</t>
  </si>
  <si>
    <t>วงกบ 3 ด้าน (Velora)</t>
  </si>
  <si>
    <t>บาน 4 ด้าน (Velora)</t>
  </si>
  <si>
    <t>เฟรมล่างกันน้ำ E-03 ภายใน</t>
  </si>
  <si>
    <t>เฟรมล่างกันน้ำ E-03 ภายนอก</t>
  </si>
  <si>
    <t>กล่อง 4 หุน</t>
  </si>
  <si>
    <t>บังใบ 4หุน (ใช้ใน SlimLux)</t>
  </si>
  <si>
    <t>ฉาก 2 นิ้ว</t>
  </si>
  <si>
    <t>ฉากปิดราง (ใช้ใน SlimLux)</t>
  </si>
  <si>
    <t>บาท/งาน · เฉพาะสีอบพิเศษ/ลายไม้อบพิเศษ (คงที่ ไม่ขึ้นตาม กก.) · แก้ที่เดียว ทุกชีทขยับ</t>
  </si>
  <si>
    <t>▶ อุปกรณ์ SlimLux (ย้ายจากชีทคิดทุน)</t>
  </si>
  <si>
    <t>ตัวต่อ+สักหลาด SlimLux</t>
  </si>
  <si>
    <t>/ชุด</t>
  </si>
  <si>
    <t>ข้อต่อบาน SlimLux</t>
  </si>
  <si>
    <t>ล้อล่าง SlimLux</t>
  </si>
  <si>
    <t>soft close SlimLux</t>
  </si>
  <si>
    <t>สลิง SlimLux</t>
  </si>
  <si>
    <t>มือจับล็อค SlimLux</t>
  </si>
  <si>
    <t>มือจับ X-J SlimLux</t>
  </si>
  <si>
    <t>▶ อุปกรณ์ E-series (ย้ายจากชีทคิดทุน)</t>
  </si>
  <si>
    <t>ล้อ ehr-80 E-series</t>
  </si>
  <si>
    <t>ล็อคก้นหอย E-series</t>
  </si>
  <si>
    <t>สักหลาด E-series</t>
  </si>
  <si>
    <t>น็อต E-series</t>
  </si>
  <si>
    <t>▶ อุปกรณ์ บานยก (ย้ายจากชีทคิดทุน)</t>
  </si>
  <si>
    <t>กล่องอุปกรณ์บานยก - ถ่วง</t>
  </si>
  <si>
    <t>กล่องอุปกรณ์บานยก - ปกติ</t>
  </si>
  <si>
    <t>มือจับ บานยก</t>
  </si>
  <si>
    <t>ล๊อคกลาง บานยก</t>
  </si>
  <si>
    <t>คอยสปริง บานยก</t>
  </si>
  <si>
    <t>ฝาปิดฝุ่น บานยก</t>
  </si>
  <si>
    <t>ตลับตะขอเกี่ยว บานยก</t>
  </si>
  <si>
    <t>กิ๊ปล็อค บานยก</t>
  </si>
  <si>
    <t>กล่องใส่สปริง บานยก</t>
  </si>
  <si>
    <t>▶ อุปกรณ์ Velora (ย้ายจากชีทคิดทุน)</t>
  </si>
  <si>
    <t>บานพับ Velora</t>
  </si>
  <si>
    <t>มือจับ Velora - มี</t>
  </si>
  <si>
    <t>มือจับ Velora - ไม่มี</t>
  </si>
  <si>
    <t>วันที่อัปเดตล่าสุด →</t>
  </si>
  <si>
    <t>พิมพ์วันที่ทุกครั้งที่แก้ราคา/กก. → ชีทบันทึกราคาขึ้นดึงไปแสดงเอง</t>
  </si>
  <si>
    <t>📌 เก็บประวัติ: เลือกแถว "ปัจจุบัน" ทั้งแถว → Ctrl+C → คลิกแถวว่างข้างล่าง → คลิกขวา → วางค่า (123) → เสร็จ  ·  แล้วไปแก้ราคา+วันที่ที่ชีท "อัปเดตราคาอลู"</t>
  </si>
  <si>
    <t>ครอบวงกบ 1.6"x4" (เมืองทอง)</t>
  </si>
  <si>
    <t>ครอบวงกบ →</t>
  </si>
  <si>
    <t>บังใบ 4 หุน (คู่กับครอบวงกบ)</t>
  </si>
  <si>
    <t>บาท/ม. × ระยะเลื่อน · บวกอัตโนมัติเมื่อเลือก 1500 กก.</t>
  </si>
  <si>
    <t>บวกอัตโนมัติเมื่อเลือก 1500 กก. (บังคับ ไม่ใช่ออปชั่นแล้ว)</t>
  </si>
  <si>
    <t>รวมฟันเฟือง+เซนเซอร์อัตโนมัติ (ระบบบวกให้แล้ว)</t>
  </si>
  <si>
    <t>━ เมืองทอง — ราคาฐานที่ใช้คำนวณจริง (หลังคา/ระแนง/ประตูรั้ว) · แก้ที่นี่ที่เดียว ━</t>
  </si>
  <si>
    <t>ใช้จริง — หลังคา/ระแนง/ประตูรั้ว</t>
  </si>
  <si>
    <t>━ เมืองทอง (อ้างอิงราคา Stock — ไม่ได้ใช้คำนวณ ยกเว้นรหัส 831) ━</t>
  </si>
  <si>
    <t>กล่อง 1"×1½"|1"|5</t>
  </si>
  <si>
    <t>กล่อง 1"×1½"|1"|3</t>
  </si>
  <si>
    <t>กล่อง 1"×1½"|1"|2</t>
  </si>
  <si>
    <t>กล่อง 1"×1½"|1.5"|5</t>
  </si>
  <si>
    <t>กล่อง 1"×1½"|1.5"|3</t>
  </si>
  <si>
    <t>กล่อง 1"×1½"|1.5"|2</t>
  </si>
  <si>
    <t>ใช้ที่ไหน</t>
  </si>
  <si>
    <t>หลังคาทุกชนิด (เสริมโครง) · ทุน* ทุกชีท — ใช้ตลอด</t>
  </si>
  <si>
    <t>⚠ ยังไม่ได้เสียบใช้งาน (เก็บไว้เผื่ออนาคต)</t>
  </si>
  <si>
    <t>สมาร์ทบอร์ดพื้น (ตง/คาน) ใช้ตลอด · จันทันหลังคา เฉพาะเลือกโครง "เหล็กชุบซิงค์"</t>
  </si>
  <si>
    <t>แปหลังคา เฉพาะเลือกโครง "เหล็กชุบซิงค์" (ที่ คิดทุน หลังคา (รวม) ช่อง F3)</t>
  </si>
  <si>
    <t>ค่าแรง/ชม. (แก้ช่องเดียว) →</t>
  </si>
  <si>
    <t>▶ ระแนง / รั้ว / ราวกันตก / Shower</t>
  </si>
  <si>
    <t>▶ งานเสริม (ฝ้า/ผนัง/ไฟ) — บาท</t>
  </si>
  <si>
    <t>ค่าแรงผลิต/หลัก</t>
  </si>
  <si>
    <t>▶ มุ้ง (ย้ายมาจากชีทราคามุ้ง — แก้ที่นี่ที่เดียว)</t>
  </si>
  <si>
    <t>ค่าแรงมุ้ง (ผลิต+ติดตั้ง) ย้ายไปชีท "ค่าแรง" บล็อก ▶ มุ้ง แล้ว — แก้ที่นั่นที่เดียว</t>
  </si>
  <si>
    <t>ชม. ต่อ 1 หน่วย (ดูคอลัมน์ D) → แก้ G (ผลิต) · H (ติดตั้ง) · L,M (คน)</t>
  </si>
  <si>
    <t>⚠️ แก้ราคาที่นี่ → ราคากระจก (ทุน/ตร.ม.) — แก้ที่นี่ที่เดียว ทุกชีทบาน+หลังคาดึงไปใช้</t>
  </si>
  <si>
    <t>▬ ประวัติการอัปเดตราคา (มิ.ย. 69) — ดูอย่างเดียว ไม่ได้ใช้คำนวณ ▬</t>
  </si>
  <si>
    <t>ชื่อกระจก</t>
  </si>
  <si>
    <t>ราคามาจากไหน</t>
  </si>
  <si>
    <t>ราคาใหม่</t>
  </si>
  <si>
    <t>ต่าง</t>
  </si>
  <si>
    <t>ร้านส่งราคาใหม่</t>
  </si>
  <si>
    <t>75 บาท/ตร.ฟ.</t>
  </si>
  <si>
    <t>53 บาท/ตร.ฟ.</t>
  </si>
  <si>
    <t>66.5 บาท/ตร.ฟ.</t>
  </si>
  <si>
    <t>78.75 บาท/ตร.ฟ.</t>
  </si>
  <si>
    <t>87.5 บาท/ตร.ฟ.</t>
  </si>
  <si>
    <t>28 บาท/ตร.ฟ.</t>
  </si>
  <si>
    <t>37 บาท/ตร.ฟ.</t>
  </si>
  <si>
    <t>60 บาท/ตร.ฟ.</t>
  </si>
  <si>
    <t>81 บาท/ตร.ฟ. — ราคาขึ้น!</t>
  </si>
  <si>
    <t>82 บาท/ตร.ฟ.</t>
  </si>
  <si>
    <t>80 บาท/ตร.ฟ.</t>
  </si>
  <si>
    <t>83 บาท/ตร.ฟ.</t>
  </si>
  <si>
    <t>123.5 บาท/ตร.ฟ.</t>
  </si>
  <si>
    <t>164 บาท/ตร.ฟ.</t>
  </si>
  <si>
    <t>ใช้ราคาใบร้าน</t>
  </si>
  <si>
    <t>จากใบราคาร้าน</t>
  </si>
  <si>
    <t>ราคาเท่าเดิม</t>
  </si>
  <si>
    <t>เพิ่มรายการใหม่</t>
  </si>
  <si>
    <t>⚠ ประเมินเอง ยังไม่มีราคาร้าน</t>
  </si>
  <si>
    <t>ประเมินเอง</t>
  </si>
  <si>
    <t>ร้านแจ้ง 95 บาท/ตร.ฟ.</t>
  </si>
  <si>
    <t>เลิกใช้แล้ว</t>
  </si>
  <si>
    <t>รอร้านส่งราคา</t>
  </si>
  <si>
    <t>ร้านส่งราคา 17/6/69</t>
  </si>
  <si>
    <t>ร้านแจ้ง 74.8 บาท/ตร.ฟ.</t>
  </si>
  <si>
    <t>ร้านแจ้ง 103.4 บาท/ตร.ฟ.</t>
  </si>
  <si>
    <t>ร้านแจ้ง 137.5 บาท/ตร.ฟ.</t>
  </si>
  <si>
    <t>ร้านส่งราคา 17/6/69 (ไม่รวมค่าโมล)</t>
  </si>
  <si>
    <t>ร้านมีขาย เพิ่มได้</t>
  </si>
  <si>
    <t>ร้านมีขาย ยังไม่ได้ใส่ในระบบ</t>
  </si>
  <si>
    <t>▶ ราคากระจก</t>
  </si>
  <si>
    <t>ราคากระจก 105 รุ่น (ทุน/ตร.ม.) + ประวัติราคาอยู่ด้านล่าง ★</t>
  </si>
  <si>
    <t>คีย์ค้นหา (อัตโนมัติ)</t>
  </si>
  <si>
    <t>กว้าง/เส้น (ม.)</t>
  </si>
  <si>
    <t>หน่วยที่ขาย</t>
  </si>
  <si>
    <t>ราคาเส้นปิดขอบ</t>
  </si>
  <si>
    <t>ยาวเส้นปิดขอบ (ม.)</t>
  </si>
  <si>
    <t>มีขาจับ? 1=มี 0=ไม่มี</t>
  </si>
  <si>
    <t>ราคารวมทุกอย่าง? 1=รวม 0=ไม่รวม</t>
  </si>
  <si>
    <t>รายชื่อร้าน (ดรอปดาวน์)</t>
  </si>
  <si>
    <t>▶ ราคาฝ้าไม้เทียม</t>
  </si>
  <si>
    <t>น้ำหนัก กก./เส้น</t>
  </si>
  <si>
    <t>ใช้ในชีท</t>
  </si>
  <si>
    <t>คิดทุน SMS, คิดทุน บานระแนงเลื่อน</t>
  </si>
  <si>
    <t>คิดทุน บานเปิด, คิดทุน บานหมุน, คิดทุน กระทุ้ง, คิดทุน PC Door, คิดทุน บานโซลิด</t>
  </si>
  <si>
    <t>คิดทุน บานเปิด, คิดทุน บานหมุน, คิดทุน PC Door, คิดทุน บานโซลิด</t>
  </si>
  <si>
    <t>คิดทุน บานเปิด</t>
  </si>
  <si>
    <t>คิดทุน กระทุ้ง</t>
  </si>
  <si>
    <t>คิดทุน E-series</t>
  </si>
  <si>
    <t>ค่าแรงมุ้ง → ดูที่ชีท "ค่าแรง" บล็อก ▶ มุ้ง</t>
  </si>
  <si>
    <t>ยึดด้านหลัง — หลังคาทุกชนิด</t>
  </si>
  <si>
    <t>⚠️ แก้ราคาที่นี่ → ราคาแผ่นหลังคา + วัสดุปิดผิว (โปรไฟล์อลูดูที่ชีทราคาสี · เหล็กดูที่ชีทราคาเหล็ก)</t>
  </si>
  <si>
    <t>▶ ราคาหลังคา</t>
  </si>
  <si>
    <t>แผ่นหลังคา ไวนิล/ดีไลท์/โพลีตัน/ชินโคร์/เมทัลชีท + ราง</t>
  </si>
  <si>
    <t>ดึงจากชีท "ราคากระจก" — แก้ที่นั่น</t>
  </si>
  <si>
    <t>เผื่อเศษแผ่นหลังคา (ตัดเสีย/ซ้อนแผ่น)</t>
  </si>
  <si>
    <t>1.20 = เผื่อเศษ 20% · ใช้กับแผ่นหลังคาทุกชนิด — แก้ที่นี่ที่เดียว</t>
  </si>
  <si>
    <t>⚠️ แก้ราคาที่นี่ → ราคาเหล็กกล่อง (เหล็กชุบซิงค์) เส้นยาว 6 ม. — แก้ช่อง "ราคา/เส้น" เมื่อเหล็กขึ้น</t>
  </si>
  <si>
    <t>เหล็กกล่องชุบซิงค์ (โครงหลังคา / รั้ว / โครงเสริม)</t>
  </si>
  <si>
    <t>กล่องเหล็กชุบซิงค์</t>
  </si>
  <si>
    <t>เพลทเหล็กชุบซิงค์</t>
  </si>
  <si>
    <t>กรอบบาน (รอบ) [F7980]</t>
  </si>
  <si>
    <t>คิ้วกระจก [F7919]</t>
  </si>
  <si>
    <t>└ รวมกับเฟรมบนแล้ว [F7869]</t>
  </si>
  <si>
    <t>ตบเกี่ยว [F7983]</t>
  </si>
  <si>
    <t>โหนกเกี่ยว(≥3ม.) [F7951]</t>
  </si>
  <si>
    <t>ชนกลาง(เปิดคู่กลาง) [F7855]</t>
  </si>
  <si>
    <t>ตบปิดเฟรมร่องใน [F7880]</t>
  </si>
  <si>
    <t>ตบปิดเฟรมร่องกลาง [F7879]</t>
  </si>
  <si>
    <t>กรอบประตู 7864 [F7864]</t>
  </si>
  <si>
    <t>เฟรมข้าง [B22002-12]</t>
  </si>
  <si>
    <t>เสากุญแจ ML [B20051-15]</t>
  </si>
  <si>
    <t>เสาเกี่ยวธรรมดา [B20009-12]</t>
  </si>
  <si>
    <t>เสาเกี่ยวรับแรง [B20010-15]</t>
  </si>
  <si>
    <t>ขวางบน/ล่าง [B20054-15]</t>
  </si>
  <si>
    <t>ตบปิดเฟรม [B20019-10]</t>
  </si>
  <si>
    <t>ตบราง(นอก)/ตบปิดรางเตี้ย20050(ใน) [B20050-12]</t>
  </si>
  <si>
    <t>เฟรมล่าง (เลือกที่ B6) [B24017-15]</t>
  </si>
  <si>
    <t>เฟรมล่าง (เลือกที่ B6) [B24018-15]</t>
  </si>
  <si>
    <t>เฟรมล่าง (เลือกที่ B6) [B24003-15]</t>
  </si>
  <si>
    <t>รางยู (=SMS) + กรีดพื้น 200/ม. [B24017-15]</t>
  </si>
  <si>
    <t>⚠️ แก้น้ำหนักที่นี่ → น้ำหนักที่ใช้คำนวณค่าอบสีจริง · Fuji = ไดคัท FUJI METAL 12-02-67 · SMS = KC SMS Building Systems 16-05-26</t>
  </si>
  <si>
    <t>B24001 เฟรมบน [B24001-18]</t>
  </si>
  <si>
    <t>ขวางบน/ล่าง (WM-K04) [OPK-A201-40]</t>
  </si>
  <si>
    <t>เสาบาน (WM-K01) [OPK-A202-40]</t>
  </si>
  <si>
    <t>ตบเรียบ (WM-K02) [OPK-A203-40]</t>
  </si>
  <si>
    <t>ตบเกี่ยว (WM-K03) [OPK-A204-40]</t>
  </si>
  <si>
    <t>ฝาล่างเล็ก (WM-K20) [XSW40013]</t>
  </si>
  <si>
    <t>กล่องเฟรม/คาน 1"x4" หนา 1.5 มม. (เมืองทอง) [831]</t>
  </si>
  <si>
    <t>1.2 มม.</t>
  </si>
  <si>
    <t>หมายเหตุ: เมืองทองมีน้ำหนัก/เส้นในตารางตรงๆ · สลิม/Velora แปลง /ม.=/6 · Fuji = ไดคัท FUJI METAL 12-02-67 (ยาว 6.4 ม.) · SMS = KC SMS 16-05-26 · ฉาก 6 หุน = 1.0 กก./เส้น และ ฉาก 2" = 1.63 กก./เส้น (หนา 1.2 มม.) พี่ JR ยืนยัน 21 ส.ค. 2569</t>
  </si>
  <si>
    <t>ฉากปิดราง 2" (เมืองทอง) หนา 1.2 มม.</t>
  </si>
  <si>
    <t>ฉาก 4 นิ้ว</t>
  </si>
  <si>
    <t>ใช้จริง — ปิดรางบานเลื่อนรางบน</t>
  </si>
  <si>
    <t>▶ อุปกรณ์บาน/ประตู/รั้ว (ย้ายจากชีทคิดทุน 21 ส.ค. 69)</t>
  </si>
  <si>
    <t>ชุดล็อคบานเลื่อน</t>
  </si>
  <si>
    <t>SMS · ยูโร · บานเลื่อนรางบน · บานระแนงเลื่อน</t>
  </si>
  <si>
    <t>รางบน Hafele</t>
  </si>
  <si>
    <t>ล้อ Hafele</t>
  </si>
  <si>
    <t>/กล่อง (1 บาน)</t>
  </si>
  <si>
    <t>บานเลื่อนรางบน · PC Door (ล้อ+ซอฟโคลส)</t>
  </si>
  <si>
    <t>บานพับ Hyda บานเปิด</t>
  </si>
  <si>
    <t>บานเปิด · PC Door · บานโซลิด</t>
  </si>
  <si>
    <t>บานเปิด · บานหมุน · บานโซลิด</t>
  </si>
  <si>
    <t>บานเปิด · บานหมุน · บานโซลิด · PC Door</t>
  </si>
  <si>
    <t>จุดหมุน บานหมุน</t>
  </si>
  <si>
    <t>/ชุด (2 ตัว/บาน)</t>
  </si>
  <si>
    <t>มือจับ บานกระทุ้ง</t>
  </si>
  <si>
    <t>กระทุ้ง</t>
  </si>
  <si>
    <t>วิทโก้ (บานกระทุ้ง)</t>
  </si>
  <si>
    <t>/ตัว (2/บาน)</t>
  </si>
  <si>
    <t>CDQ (บานกระทุ้ง)</t>
  </si>
  <si>
    <t>มือจับ Align SMS</t>
  </si>
  <si>
    <t>/บาน</t>
  </si>
  <si>
    <t>เฟี้ยมยูโร · เฟี้ยมยก</t>
  </si>
  <si>
    <t>ล้อ 3" ล้อวิ่ง (ประตูรั้วตรง)</t>
  </si>
  <si>
    <t>ประตูรั้ว — แบบตรง</t>
  </si>
  <si>
    <t>ล้อ 3" สปริง (ประตูรั้วโค้ง)</t>
  </si>
  <si>
    <t>ประตูรั้ว — แบบโค้ง</t>
  </si>
  <si>
    <t>ราง ประตูรั้ว</t>
  </si>
  <si>
    <t>/ชุด 6 ม.</t>
  </si>
  <si>
    <t>ใบเกล็ด ลูกฟูก</t>
  </si>
  <si>
    <t>ยู 4 หุน เกล็ดติดตาย</t>
  </si>
  <si>
    <t>/เส้น 6 ม.</t>
  </si>
  <si>
    <t>อุปกรณ์ระแนงหมุน</t>
  </si>
  <si>
    <t>บาท/ม.</t>
  </si>
  <si>
    <t>จุดหมุนระแนง</t>
  </si>
  <si>
    <t>บาท/ใบ (บน-ล่าง)</t>
  </si>
  <si>
    <t>มอเตอร์ประตูรั้ว</t>
  </si>
  <si>
    <t>รีโมทประตูรั้ว</t>
  </si>
  <si>
    <t>เดินไฟ ประตูรั้ว (เหมา)</t>
  </si>
  <si>
    <t>เหล็กยัดเสา (ในกล่องอลู 4"x4")</t>
  </si>
  <si>
    <t>ประตูรั้ว — ยัดในเสาอลู</t>
  </si>
  <si>
    <t>สมาร์ทบอร์ดพื้น</t>
  </si>
  <si>
    <t>แผ่นสมาร์ทบอร์ด 20มม</t>
  </si>
  <si>
    <t>▶ ปลายหลังคา / รางน้ำ</t>
  </si>
  <si>
    <t>รางน้ำสแตนเลส M</t>
  </si>
  <si>
    <t>สแตนเลส — ไม่คูณตัวคูณอลู</t>
  </si>
  <si>
    <t>รางน้ำสแตนเลส L</t>
  </si>
  <si>
    <t>ตารางนี้ดูอย่างเดียว ❗ ราคาจริงที่สูตรใช้อยู่คอลัมน์ H:I ด้านขวา — แก้ที่นั่น</t>
  </si>
  <si>
    <t>⚠️ แก้ราคาชุดอุปกรณ์เฟี้ยมที่นี่ → คอลัมน์ I (H = รูปแบบพับ) · ตาราง A33-C61 เป็นตัวแสดงผล ไม่ได้ใช้คำนวณ</t>
  </si>
  <si>
    <t>อแดปเตอร์เสาประตูภายใน (เสริมใต้บาน)</t>
  </si>
  <si>
    <t>จาก PPS Fuji Eurotec ราคาขายปลีก 05-26</t>
  </si>
  <si>
    <t>F7864</t>
  </si>
  <si>
    <t>เสาประตู 100 มม. (กรอบประตู)</t>
  </si>
  <si>
    <t>หนา 1.5 มม. — PPS Fuji Eurotec 05-26</t>
  </si>
  <si>
    <t>วงกบ 3 ด้าน F7859 · หนา 1.5 มม.</t>
  </si>
  <si>
    <t>ธรณี F7939B · หนา 1.5 มม.</t>
  </si>
  <si>
    <t>กรอบ 7943B [F7943B] · หนา 1.5 มม.</t>
  </si>
  <si>
    <t>เดือย [F7986] · หนา 1.5 มม.</t>
  </si>
  <si>
    <t>ตบปิดร่องบน [F7992] · หนา 1.5 มม.</t>
  </si>
  <si>
    <t>ตรงกับใบราคา PPS Fuji Eurotec 05-26</t>
  </si>
  <si>
    <t>เฟรมบน [B28009-12]</t>
  </si>
  <si>
    <t>อแดปเตอร์บน [B28010-12]</t>
  </si>
  <si>
    <t>กรอบบาน [B28011-12]</t>
  </si>
  <si>
    <t>เฟรมล่าง [B28014-12]</t>
  </si>
  <si>
    <t>อแดปเตอร์รูสกรู [B28012-12]</t>
  </si>
  <si>
    <t>เสาเกี่ยว [B28013-12]</t>
  </si>
  <si>
    <t>SMS Series 280 Double Hung — ยาว 6.4 ม.</t>
  </si>
  <si>
    <t>กล่องร่องมีสกรู [B28015-12]</t>
  </si>
  <si>
    <t>รางข้าง [B10004-12]</t>
  </si>
  <si>
    <t>⬅ คอลัมน์นี้บอกว่าราคาแถวนั้นถูกชีทไหนดึงไปใช้ · แถวสีแดง = ยังไม่มีชีทคิดทุนใช้ (แก้ไปก็ไม่มีอะไรขยับ)</t>
  </si>
  <si>
    <t>ใช้ในชีทไหน</t>
  </si>
  <si>
    <t>⚠️ ยังไม่มีชีทคิดทุนใช้ (เก็บเป็นราคาอ้างอิง)</t>
  </si>
  <si>
    <t>SMS · บานระแนงเลื่อน</t>
  </si>
  <si>
    <t>SMS · บานเลื่อนรางบน · บานระแนงเลื่อน</t>
  </si>
  <si>
    <t>เฟี้ยม</t>
  </si>
  <si>
    <t>เฟี้ยม · เฟี้ยมยูโร</t>
  </si>
  <si>
    <t>ยูโร</t>
  </si>
  <si>
    <t>PC Door · กระทุ้ง · บานเปิด · บานโซลิด · บานหมุน</t>
  </si>
  <si>
    <t>PC Door · บานเปิด · บานโซลิด · บานหมุน</t>
  </si>
  <si>
    <t>เฟี้ยมยก · เฟี้ยมยูโร</t>
  </si>
  <si>
    <t>บานโซลิด · บานระแนงเลื่อน</t>
  </si>
  <si>
    <t>PC Door · เฟี้ยมยก · เฟี้ยมยูโร · กระทุ้ง · บานเปิด · บานโซลิด · บานหมุน</t>
  </si>
  <si>
    <t>SlimLux · บานเปิด</t>
  </si>
  <si>
    <t>ค่าแรง · ประตูรั้ว · ระแนง · ระแนงสลับ · ระแนงสลับ_ประตู · ระแนงหมุน</t>
  </si>
  <si>
    <t>ค่าแรง · บานระแนงเลื่อน · ประตูรั้ว · ระแนง · ระแนงสลับ · ระแนงสลับ_ประตู · ระแนงหมุน</t>
  </si>
  <si>
    <t>ค่าแรง · ทุนเมทัลชีท · ทุนโพลีตัน · ทุนไวนิล · ทุนกระจก 4+4 · ทุนกระจก 5+5 · ทุนชินโคร์ HC · ทุนชินโคร์ Sup · ทุนดีไลท์ · ประตูรั้ว · ระแนง · ระแนงสลับ · ระแนงสลับ_ประตู · ระแนงหมุน · หลังคา · หลังคา (รวม)</t>
  </si>
  <si>
    <t>ค่าแรง · ทุนเมทัลชีท · ทุนโพลีตัน · ทุนไวนิล · ทุนกระจก 4+4 · ทุนกระจก 5+5 · ทุนชินโคร์ HC · ทุนชินโคร์ Sup · ทุนดีไลท์ · ประตูรั้ว · ระแนง · ระแนงสลับ · ระแนงสลับ_ประตู · ระแนงหมุน · หลังคา (รวม)</t>
  </si>
  <si>
    <t>ค่าแรง · ทุนเมทัลชีท · ทุนโพลีตัน · ทุนไวนิล · ทุนกระจก 4+4 · ทุนกระจก 5+5 · ทุนชินโคร์ HC · ทุนชินโคร์ Sup · ทุนดีไลท์ · บานเปิด · บานเลื่อนรางบน · ประตูรั้ว · ระแนง · ระแนงสลับ · ระแนงสลับ_ประตู · ระแนงหมุน · หลังคา · หลังคา (รวม)</t>
  </si>
  <si>
    <t>ทุนเมทัลชีท · ทุนโพลีตัน · ทุนไวนิล · ทุนกระจก 4+4 · ทุนกระจก 5+5 · ทุนชินโคร์ HC · ทุนชินโคร์ Sup · ทุนดีไลท์ · หลังคา · หลังคาเลื่อน · หลังคาจั่ว</t>
  </si>
  <si>
    <t>ระแนงหมุน · หลังคาจั่ว</t>
  </si>
  <si>
    <t>⬇ ราคาปัจจุบัน (คิดตัวคูณจากหน้า "อัปเดตราคาอลู" ให้แล้ว) — ช่องเทา ห้ามพิมพ์ทับ · พิมพ์ราคา/กก. ใหม่ที่หน้าอัปเดตราคาอลู แล้วตัวเลขชุดนี้ขยับเอง</t>
  </si>
  <si>
    <t>ขาว/ดำ ตอนนี้</t>
  </si>
  <si>
    <t>เทาซาฮาร่า ตอนนี้</t>
  </si>
  <si>
    <t>ดำซาฮาร่า ตอนนี้</t>
  </si>
  <si>
    <t>แอทแทคเกรย์ ตอนนี้</t>
  </si>
  <si>
    <t>ลายไม้สต็อค ตอนนี้</t>
  </si>
  <si>
    <t>มะฮอกกานี ตอนนี้</t>
  </si>
  <si>
    <t>ไวท์โอ๊ค ตอนนี้</t>
  </si>
  <si>
    <t>คิดทุน SMS</t>
  </si>
  <si>
    <t>🚫 เลิกใช้แล้ว — ของเดิม (บานเลื่อน 2 ราง) ไม่ต้องแก้ราคา</t>
  </si>
  <si>
    <t>หนา 1.5 มม. — KC SMS 16-05-26</t>
  </si>
  <si>
    <t>เฟรมบนบานเลื่อน [B20001-15]</t>
  </si>
  <si>
    <t>เฟรมข้างบานเลื่อน [B20003-15]</t>
  </si>
  <si>
    <t>เฟรมบน [B22001-15]</t>
  </si>
  <si>
    <t>อัปเดตจากใบเสนอราคา INTERTECH CH264023 (21 ส.ค. 2569) — ฟุตละ 384 · เจียริม 60/ม.</t>
  </si>
  <si>
    <t>ลามิเนตใส 6+6 กันเสียง 0.76</t>
  </si>
  <si>
    <t>ใบเสนอราคา INTERTECH CH264023 (21 ส.ค. 2569) — ฟุตละ 304 · เจียริม 60/ม.</t>
  </si>
  <si>
    <t>ลามิเนตใส 6+6 STG 1.52</t>
  </si>
  <si>
    <t>ใบเสนอราคา INTERTECH CH264023 (21 ส.ค. 2569) — ฟุตละ 416 · เจียริม 60/ม.</t>
  </si>
  <si>
    <t>ลามิเนตเขียว 5+5 กันเสียง 0.76</t>
  </si>
  <si>
    <t>ใบเสนอราคา INTERTECH CH264023 (21 ส.ค. 2569) — ฟุตละ 296 · เจียริม 60/ม.</t>
  </si>
  <si>
    <t>ลามิเนตเขียว 6+6 กันเสียง 0.76</t>
  </si>
  <si>
    <t>ใบเสนอราคา INTERTECH CH264023 (21 ส.ค. 2569) — ฟุตละ 328 · เจียริม 60/ม.</t>
  </si>
  <si>
    <t>ลามิเนตเขียว 5+5 STG 1.52</t>
  </si>
  <si>
    <t>ใบเสนอราคา INTERTECH CH264023 (21 ส.ค. 2569) — ฟุตละ 408 · เจียริม 60/ม.</t>
  </si>
  <si>
    <t>ลามิเนตเขียว 6+6 STG 1.52</t>
  </si>
  <si>
    <t>ใบเสนอราคา INTERTECH CH264023 (21 ส.ค. 2569) — ฟุตละ 440 · เจียริม 60/ม.</t>
  </si>
  <si>
    <t>Low-e ใส 6มม. (ไม่อบ)</t>
  </si>
  <si>
    <t>ใบเสนอราคา INTERTECH CH264023 (21 ส.ค. 2569) — ฟุตละ 110 · เจียริม 30/ม.</t>
  </si>
  <si>
    <t>🚫 ไม่ใช้ — ทำ 3 ราง ทั้งหมด (JR ยืนยัน 21 ส.ค. 69)</t>
  </si>
  <si>
    <t>เฟรมข้าง [F7870] ตัวหนา</t>
  </si>
  <si>
    <t>🚫 ไม่ใช้ (JR ยืนยัน 21 ส.ค. 69)</t>
  </si>
  <si>
    <t>ต่อชนกลาง (เปิดคู่กลาง)</t>
  </si>
  <si>
    <t>ต่อชนกลาง [F7925]</t>
  </si>
  <si>
    <t>ตบธรณีบานเลื่อน [F7991]</t>
  </si>
  <si>
    <t>ตบธรณีบานเลื่อน (ตบร่องรางที่ไม่ได้ใช้)</t>
  </si>
  <si>
    <t>🟡 เหลือง = แก้ราคาที่นี่ (แก้แล้วทุกชีทขยับเอง)   ⬜ เทา = ดูอย่างเดียว ห้ามแก้</t>
  </si>
  <si>
    <t>ประวัติการขึ้นราคา — 👁 ดูอย่างเดียว ไม่ใช่หน้าแก้ราคา</t>
  </si>
  <si>
    <t>🔶 ปรับราคา / ค่าวัสดุ — 🟡 เหลือง = แก้ราคาที่นี่ ทุกชีทขยับเอง</t>
  </si>
  <si>
    <t>ราคาฝ้าไม้เทียม 24 รุ่น 4 ร้าน</t>
  </si>
  <si>
    <t>ราคาขาย/ชุด (ทุน×1.7 · กำไร 70% ตามนโยบาย)</t>
  </si>
  <si>
    <t>🚫 ไม่ใช้ — ใช้ F7980 (กรอบประตู) ทั้งหมด (JR ยืนยัน 21 ส.ค. 69)</t>
  </si>
  <si>
    <t>ราคาขาย/ชุด (บาท) — คิดตาม ⚙ ตั้งค่ากำไร ท้ายชีท</t>
  </si>
  <si>
    <t>▶ YKK / Tostem (บานสำเร็จ)</t>
  </si>
  <si>
    <t>📄 คิดทุน YKK / Tostem (บานสำเร็จ) — ทุนจากใบราคา Fabricator · ค่าส่งแก้ที่ B3 ที่เดียว</t>
  </si>
  <si>
    <t>เฟี้ยมยก</t>
  </si>
  <si>
    <t>ขนาดตัวอย่าง (ก×ส ซม.)</t>
  </si>
  <si>
    <t>← พิมพ์ % กำไรที่ช่องนี้ (ตอนนี้ 70% = ทุน×1.7)</t>
  </si>
  <si>
    <t>ราคาขายรวม/ชุด (ทุน × กำไร%)</t>
  </si>
  <si>
    <t>ขาย R3.9/ตร.ม. (อ้างอิงเดิม — ไม่ได้ใช้คิดราคาแล้ว)</t>
  </si>
  <si>
    <t>— ราคาขาย R3.9 ข้อ 37 (เก็บไว้เทียบเฉยๆ ไม่ได้ใช้คิดราคาแล้ว) —</t>
  </si>
  <si>
    <t>ราคาขายรวม R3.9 (อ้างอิง)</t>
  </si>
  <si>
    <t>★ ราคาขายรวม (ทุน × กำไร%)</t>
  </si>
  <si>
    <t>จันทัน/ครอบวงกบ 1.6"x4" (เมืองทอง · หลังคา) = ตัวเดียวกับ r293</t>
  </si>
  <si>
    <t>คิดทุน หลังคา, คิดทุน หลังคาจั่ว, คิดทุน หลังคาเลื่อน</t>
  </si>
  <si>
    <t>แปเดี่ยว 1.6"x1.6" (เมืองทอง · หลังคา) ⚠ประเมิน</t>
  </si>
  <si>
    <t>แปคู่/กล่องรัดรอบ 1"x1½" (เมืองทอง · หลังคา)</t>
  </si>
  <si>
    <t>แซด 4" (เมืองทอง · หลังคา)</t>
  </si>
  <si>
    <t>คาน 4"x4" T (เมืองทอง · หลังคาจั่ว)</t>
  </si>
  <si>
    <t>คิดทุน หลังคาจั่ว</t>
  </si>
  <si>
    <t>▶ น้ำหนักโปรไฟล์ (กก./ม.) — สูตร ดึงจากชีท น้ำหนักโปรไฟล์ r326-331 แก้ที่นั่น</t>
  </si>
  <si>
    <t>บาท/ชุด</t>
  </si>
  <si>
    <t>บาท/ตัว</t>
  </si>
  <si>
    <t>บาท/ชุด (เหมา)</t>
  </si>
  <si>
    <t>รางน้ำอลู</t>
  </si>
  <si>
    <t>ใช้จริง — ปลายหลังคา (ทุกทรง)</t>
  </si>
  <si>
    <t>ยาว 6 ม. · ย้ายมาจาก ราคาหลังคา r21 (เดิมราคาอลูซ้ำ 2 ที่)</t>
  </si>
  <si>
    <t>หลังคา · หลังคาจั่ว · หลังคาเลื่อน</t>
  </si>
  <si>
    <t>ค่าแรง · บานเกล็ด · บานเลื่อนรางบน · ประตูรั้ว · ระแนง · ระแนงสลับ · ระแนงสลับ_ประตู · ระแนงหมุน · หลังคา · หลังคาจั่ว · หลังคาเลื่อน (ปิดปลาย)</t>
  </si>
  <si>
    <t>ฉาก 6 หุน (เมืองทอง · หลังคา) — JR ยืนยัน 1 กก./เส้น (22 ส.ค. 69)</t>
  </si>
  <si>
    <t>ทุนอุปกรณ์+ยาง+ซิลิโคน</t>
  </si>
  <si>
    <t>อลูเท่านั้นที่ ×ราคา/กก. · ก้อนอื่นคงที่ · ไม่รวมค่าแรง</t>
  </si>
  <si>
    <t>ทุนอลู (เฟรม+ขาเกล็ด)</t>
  </si>
  <si>
    <t>ทุนใบเกล็ด</t>
  </si>
  <si>
    <t>ทุนมอเตอร์+ค่าเปิดตู้อบ</t>
  </si>
  <si>
    <t>ทุนอุปกรณ์ (ล้อ/ราง/โช้ค/มือจับ/ล็อค)</t>
  </si>
  <si>
    <t>ทุนอลู (ยู5หุน)</t>
  </si>
  <si>
    <t>ทุนอุปกรณ์+สแตนเลส</t>
  </si>
  <si>
    <t>ทุนอลู (ครอบ/เสา/ยู/มือจับ)</t>
  </si>
  <si>
    <t>ทุนเหล็ก+อุปกรณ์+PU</t>
  </si>
  <si>
    <t>ทุนอลู (เฟรม/เสา/ราง)</t>
  </si>
  <si>
    <t>ทุนอุปกรณ์+สกรู+ค่ากรีด</t>
  </si>
  <si>
    <t>ทุนอลู (ใบ+โครงดาม)</t>
  </si>
  <si>
    <t>ทุนอลู (ใบ A+B+โครงดาม)</t>
  </si>
  <si>
    <t>ค่าต่อระแนง+ค่าเปิดตู้อบ</t>
  </si>
  <si>
    <t>ทุนอลู (ใบ+โครง+เพลา)</t>
  </si>
  <si>
    <t>ทุนมอเตอร์+อุปกรณ์หมุน</t>
  </si>
  <si>
    <t>ทุนอลู (ใบ+กรอบ+เสา)</t>
  </si>
  <si>
    <t>ทุนเหล็ก+ล้อ+ราง</t>
  </si>
  <si>
    <t>ทุนมอเตอร์+ไฟ+สีพิเศษ</t>
  </si>
  <si>
    <t>ทุนอลู (จันทัน/แป/ฉาก/แซด/ครอบ)</t>
  </si>
  <si>
    <t>ทุนแผ่นหลังคา+ฝาครอบ</t>
  </si>
  <si>
    <t>ทุนเหล็ก+ปลายหลังคา/รางน้ำ</t>
  </si>
  <si>
    <t>ทุนอลู (จันทัน/แป/ฉาก/แซด/คาน)</t>
  </si>
  <si>
    <t>ทุนหลังคาติดตาย (วัสดุ)</t>
  </si>
  <si>
    <t>ทุนหลังคาเลื่อน (วัสดุ)</t>
  </si>
  <si>
    <t>ทุนปลายหลังคา/รางน้ำ</t>
  </si>
  <si>
    <t>ทุนแผ่นยิปซัม</t>
  </si>
  <si>
    <t>ทุนโครง+ขาแขวน+ฉากอลู</t>
  </si>
  <si>
    <t>ทุนสกรู+ปูน+เทป</t>
  </si>
  <si>
    <t>ทุนฉนวน rockwool</t>
  </si>
  <si>
    <t>ทุนดวงโคม+ปลั๊ก+สวิตช์+กล่อง</t>
  </si>
  <si>
    <t>ทุนสายไฟ+ท่อ</t>
  </si>
  <si>
    <t>ทุนเบ็ดเตล็ด</t>
  </si>
  <si>
    <t>ทุนแผ่นสมาร์ทบอร์ด</t>
  </si>
  <si>
    <t>ทุนโครงเหล็ก+ซีไลน์</t>
  </si>
  <si>
    <t>ทุนฉนวน</t>
  </si>
  <si>
    <t>ทุนแผ่นไอโซวอล</t>
  </si>
  <si>
    <t>ทุนอลู (กล่อง+ฉาก)</t>
  </si>
  <si>
    <t>ทุนสกรู+ซิลิโคน</t>
  </si>
  <si>
    <t>ทุนเส้นฝ้าไม้เทียม</t>
  </si>
  <si>
    <t>ทุนขาจับ+ฉาก+โครงซีไลน์</t>
  </si>
  <si>
    <t>ทุนเหล็กกล่อง (ตง+คาน)</t>
  </si>
  <si>
    <t>ทุนสกรู</t>
  </si>
  <si>
    <t>วงกบ 3 ด้าน (Velora · สลิม KOYO GT-202) หนา 1.5 มม.</t>
  </si>
  <si>
    <t>คิดทุน Velora</t>
  </si>
  <si>
    <t>บาน 4 ด้าน (Velora · สลิม KOYO X-V3501) หนา 2.0 มม.</t>
  </si>
  <si>
    <t>← Velora บวกค่าอบสีเสมอตามนโยบาย (ไม่มีตัวเลือก "ไม่อบสี")</t>
  </si>
  <si>
    <t>รางแขวน 1 ราง (SlimLux · KOYO WM-K15)</t>
  </si>
  <si>
    <t>ใบราคา สลิม KOYO (Velora) 24 ส.ค. 69</t>
  </si>
  <si>
    <t>⚠ คงราคาเดิม 432 ตามที่ JR สั่ง (ใบ KOYO = 480) — มี บานโซลิด/บานระแนงเลื่อน ใช้อยู่</t>
  </si>
  <si>
    <t>อ้างอิงเฉยๆ — ตัวที่คิดทุนจริงคือ r214 (วงกบ Velora)</t>
  </si>
  <si>
    <t>อ้างอิงเฉยๆ — ตัวที่คิดทุนจริงคือ r215 (บาน Velora)</t>
  </si>
  <si>
    <t>ตั้งต้นคิดจากใบ KOYO: (764.8+480+272+284.8+868.8+84.8) ÷ 16.836 กก. = 163.7</t>
  </si>
  <si>
    <t>ตั้งต้นคิดจากใบ KOYO: (768+720) ÷ 6.462 กก. = 230.3</t>
  </si>
  <si>
    <t>24/8/69</t>
  </si>
  <si>
    <t>ค่าดำเนินการ %</t>
  </si>
  <si>
    <t>← บวกท้ายสุด หลังบวกกำไรแล้ว (25% = ราคา×1.25) · ใส่ 0 = ปิด</t>
  </si>
  <si>
    <t>⚙ ตั้งค่าค่าดำเนินการ — แก้ตัวเลขที่นี่ ราคาขายขยับตามทันที</t>
  </si>
  <si>
    <t>⚠️ ราคาขายทุกช่องรวม "ค่าดำเนินการ 25%" แล้ว (บวกท้ายสุด หลังบวกกำไร) · แก้ % ได้ที่บล็อก ⚙ ท้ายชีทของแต่ละสินค้า · ช่อง %กำไร ด้านล่าง = ส่วนต่างเหนือทุนตรง ยังไม่หักค่าดำเนินการ</t>
  </si>
  <si>
    <t>🔍 กำไรจริง</t>
  </si>
  <si>
    <t>ค่าดำเนินการ (บาท)</t>
  </si>
  <si>
    <t>ราคาขาย × 30 ÷ 130 = ค่าดำเนินการที่ฝังในราคา</t>
  </si>
  <si>
    <t>ทุนรวมจริง</t>
  </si>
  <si>
    <t>ทุนตรง + ค่าดำเนินการ</t>
  </si>
  <si>
    <t>★ % กำไรสุทธิ</t>
  </si>
  <si>
    <t>📖 วิธีใช้ v17 — อ่านตรงนี้ก่อน</t>
  </si>
  <si>
    <t/>
  </si>
  <si>
    <t>🟡 ช่องเหลือง</t>
  </si>
  <si>
    <t>กรอกได้ — ขนาด/ตัวเลือกสินค้า และ "🎯 กำไรสุทธิที่ต้องการ %" ท้ายชีท</t>
  </si>
  <si>
    <t>⬜ ช่องเทา</t>
  </si>
  <si>
    <t>คำนวณให้เอง — ล็อกไว้ กันกรอกผิดช่อง (เห็นได้ปกติ)</t>
  </si>
  <si>
    <t>ช่องอื่นที่ไม่ทาสี</t>
  </si>
  <si>
    <t>ล็อกทั้งหมด — ทุน ราคาขาย สูตร</t>
  </si>
  <si>
    <t>ชีทข้อมูลกลาง</t>
  </si>
  <si>
    <t>ไม่ล็อก — ราคาอลู · สี · กระจก · ค่าแรง · อุปกรณ์ แก้ได้ตามปกติ</t>
  </si>
  <si>
    <t>ถ้าจำเป็นต้องแก้ช่องล็อก</t>
  </si>
  <si>
    <t>Review › Unprotect Sheet (ไม่มีรหัสผ่าน)</t>
  </si>
  <si>
    <t>🎯 กำไรสุทธิที่ต้องการ %</t>
  </si>
  <si>
    <t>กรอกช่องเดียว → กำไรวัสดุ/ผลิต/ติดตั้ง คำนวณให้เองตามสัดส่วนที่ตั้งไว้</t>
  </si>
  <si>
    <t>เป็นกำไร "หลังหักค่าดำเนินการ 30% แล้ว" — ตัวเลขที่เห็นคือกำไรจริง</t>
  </si>
  <si>
    <t>ค่าเริ่มต้นตั้งไว้เท่าของเดิมทุกชีท → เปิดมาราคาไม่ขยับสักบาท</t>
  </si>
  <si>
    <t>⚙ กำไร 3 ก้อน — คำนวณให้เองจากเป้าหมายด้านล่าง (ล็อก)</t>
  </si>
  <si>
    <t>🔒 คำนวณให้ — ปรับที่ 🎯 เป้าหมายด้านล่าง</t>
  </si>
  <si>
    <t>🟡 กรอกได้ — ค่าดำเนินการที่ฝังในราคา</t>
  </si>
  <si>
    <t>🎯 ตั้งเป้ากำไร — กรอกช่องเดียวที่นี่</t>
  </si>
  <si>
    <t>← กรอกช่องเดียวพอ · กำไร 3 ก้อนด้านบนคำนวณให้เอง (หักค่าดำเนินการแล้ว)</t>
  </si>
  <si>
    <t>สัดส่วนกำไร วัสดุ · ผลิต · ติดตั้ง</t>
  </si>
  <si>
    <t>🔒 ล็อก — แก้เมื่อจะเปลี่ยนนโยบายเท่านั้น</t>
  </si>
  <si>
    <t>ตัวปรับอัตโนมัติ</t>
  </si>
  <si>
    <t>คำนวณให้เอง — ห้ามแก้</t>
  </si>
  <si>
    <t>★ ฐาน = ยอดขาย — หักค่าดำเนินการแล้ว</t>
  </si>
  <si>
    <t>รวม</t>
  </si>
  <si>
    <t>ตั้ง</t>
  </si>
  <si>
    <t>⚙ กำไรค่าแรง (แยกก้อน) — เพิ่มใน v16</t>
  </si>
  <si>
    <t>แยกออกจากกำไรค่าวัสดุ · ทำให้ขายผลิตอย่างเดียวได้</t>
  </si>
  <si>
    <t>ชีทนี้ไม่มีค่าแรงผลิต</t>
  </si>
  <si>
    <t>🔒 คำนวณให้ — ปรับที่ 🎯 เป้าหมายท้ายชีท</t>
  </si>
  <si>
    <t>กำไรสุทธิ %</t>
  </si>
  <si>
    <t>รางบน Hafele ((กว้าง/บาน)×2 · เส้น6ม.)</t>
  </si>
  <si>
    <t>หมายเหตุ: เพิ่มบาน=เพิ่มราง+ล้อ (รางบน คิดจาก (กว้าง/บาน)×2 แล้วปัดขึ้นเส้น 6ม. × จำนวนบาน) · ราง/ฉาก/คานคิดเส้น 6ม. · เสากุญแจ20051 คิด นน.×ราคา/กก.(mult_sms) ราคาสีในช่อง F7 · ค่าแรงยังไม่รวม (รอเรต)</t>
  </si>
  <si>
    <t>ราคาขายขั้นต่ำ/ชุด (บาท)</t>
  </si>
  <si>
    <t>← ต่ำกว่านี้ให้ใช้ราคานี้แทน</t>
  </si>
  <si>
    <t>จำนวนบาน (ล็อค 2 — บานยก 1 ชุด = 2 บานเสมอ)</t>
  </si>
  <si>
    <t>← ล็อกไว้ ห้ามแก้</t>
  </si>
  <si>
    <t>กรอบบาน (รอบบาน × 2 บาน)</t>
  </si>
  <si>
    <t>เสาเกี่ยว/ตบเกี่ยว (แนวนอน 2 ท่อน)</t>
  </si>
  <si>
    <t>รางข้าง/เฟรมข้าง (2 ท่อน สูงเท่าช่อง)</t>
  </si>
  <si>
    <t>เฟรมล่างปกติ</t>
  </si>
  <si>
    <t>เฟรมล่าง (เลือกชนิดที่ B6)</t>
  </si>
  <si>
    <t>วงกบ (บน+ซ้าย+ขวา · +ธรณีล่าง ถ้าเลือก "มี")</t>
  </si>
  <si>
    <t>เฟรมล่างบานเลื่อน 3 ราง ตัวเตี้ย [F7902] · ยูโร รางล่างภายใน</t>
  </si>
  <si>
    <t>เฟรมบน (+ล่างนอก ถ้ารางล่าง=ภายนอก) F7869</t>
  </si>
  <si>
    <t>เฟรมล่างตัวเตี้ย F7902 (เมื่อรางล่าง=ภายใน)</t>
  </si>
  <si>
    <t>เสาเกี่ยวรับแรง B20010 (สูง ≥ 2.40 ม.)</t>
  </si>
  <si>
    <t>ตบเกี่ยว F7983 (รอยต่อ · หักตัวที่ใช้เสารับแรง)</t>
  </si>
  <si>
    <t>เสารับแรง F7951 — ด้านนอก 1 ต้น (สูง &gt; 2.80 ม.)</t>
  </si>
  <si>
    <t>▶ โหมดระแนงสลับ — ผลคำนวณ</t>
  </si>
  <si>
    <t>จำนวนใบ (โหมดระแนง)</t>
  </si>
  <si>
    <t>ระแนงชุด A — กี่ท่อน/ชุด →</t>
  </si>
  <si>
    <t>ระแนงชุด B — ใช้กล่องอะไร →</t>
  </si>
  <si>
    <t>ระแนงชุด B — ด้านโชว์ →</t>
  </si>
  <si>
    <t>ระแนงชุด B — กี่ท่อน/ชุด →</t>
  </si>
  <si>
    <t>▼ ตัวช่วยคำนวณ (ย้ายมาจาก D/E — ดูอย่างเดียว)</t>
  </si>
  <si>
    <t>← บานเลื่อนไม่ใช้เสาเหล็ก (แขวนกับราง)</t>
  </si>
  <si>
    <t>← ราง 2 ฝั่ง</t>
  </si>
  <si>
    <t>← คำนวณให้เอง ห้ามพิมพ์ทับ</t>
  </si>
  <si>
    <t>ราคาขาย/บาน (ผลิต+ติดตั้ง)</t>
  </si>
  <si>
    <t>คิดต่อ 1 บานเฟี้ยม — ชีทคูณจำนวนบานให้เอง (ไม่ใช้ช่องต่อ ตร.ม.)</t>
  </si>
  <si>
    <t>ค่าแรงผลิต (ฐาน + ต่อ ตร.ม.)</t>
  </si>
  <si>
    <t>ค่าแรงติดตั้ง (ฐาน + ต่อ ตร.ม.)</t>
  </si>
  <si>
    <t>ℹ ราคากล่องระแนง/ระแนงหมุน ย้ายไปชีท ราคาสี แถว 194-200 แล้ว (แก้ที่นั่นที่เดียว)</t>
  </si>
  <si>
    <t>แบบโซลิด →</t>
  </si>
  <si>
    <t>โซลิด2</t>
  </si>
  <si>
    <t>← โซลิด1 = ลูกฟูกครึ่งเดียว (1 ฝั่ง) · โซลิด2 = ลูกฟูก 2 ฝั่ง</t>
  </si>
  <si>
    <t>📄 คิดทุนหลังคาเลื่อน — ชีทช่วยคำนวณ (ตัวเลขทั้งหมดดึงมาจากชีท “คิดทุน หลังคา (รวม)”)</t>
  </si>
  <si>
    <t>← ระยะแปตามชนิดแผ่น (ซม.)</t>
  </si>
  <si>
    <t>จำนวน/บาน</t>
  </si>
  <si>
    <t>🔒 ช่อง B2–C7 ดึงมาอัตโนมัติ — ห้ามพิมพ์ทับ</t>
  </si>
  <si>
    <t>← จำนวนแป ส่วนติดตาย</t>
  </si>
  <si>
    <t>← พื้นที่ติดตาย (ตร.ม.)</t>
  </si>
  <si>
    <t>← ทุนแผ่นหลังคา ติดตาย</t>
  </si>
  <si>
    <t>▼ คอลัมน์ H–I = ส่วนติดตาย  ·  คอลัมน์ J–L = ส่วนเลื่อน (คิดต่อ 1 บาน)</t>
  </si>
  <si>
    <t>← ทุนฝาครอบ ติดตาย</t>
  </si>
  <si>
    <t>① หลังคาติดตาย — วัสดุ (อลู+แผ่น)</t>
  </si>
  <si>
    <t>② หลังคาเลื่อน — วัสดุ (คิดต่อบาน × จำนวนบาน)</t>
  </si>
  <si>
    <t>← ทุนอลูรวม ส่วนติดตาย</t>
  </si>
  <si>
    <t>③ ราง — 2 ฝั่ง × จำนวนบาน</t>
  </si>
  <si>
    <t>← ยาวราง/เส้น = ขนาดหลังคาทั้งผืนตามแนวที่เลื่อน</t>
  </si>
  <si>
    <t>④ มอเตอร์ + เซนเซอร์ — ทุน</t>
  </si>
  <si>
    <t>← ยาวฟันเฟือง (เฉพาะมอเตอร์ 1500 กก.)</t>
  </si>
  <si>
    <t>⑤ ค่าแรงผลิต — ดึงจากชีท ค่าแรง แถว “หลังคาเลื่อน”</t>
  </si>
  <si>
    <t>⑥ ค่าแรงติดตั้ง — ดึงจากชีท ค่าแรง แถว “หลังคาเลื่อน”</t>
  </si>
  <si>
    <t>← เส้นราง 6 ม. = ยาว × 2 ฝั่ง × จำนวนบาน</t>
  </si>
  <si>
    <t>★ ทุนรวมทั้งหมด</t>
  </si>
  <si>
    <t>← บานกว้าง (ซม.) = แบ่งตามรูปแบบเลื่อน</t>
  </si>
  <si>
    <t>⑦ ปลายหลังคา / รางน้ำ</t>
  </si>
  <si>
    <t>← บานยื่น (ซม.)</t>
  </si>
  <si>
    <t>⑧ ค่าอบสี (เฉพาะโครงอลู)</t>
  </si>
  <si>
    <t>← จำนวนมอเตอร์ (ตัว) — กรอกที่ชีทหลังคา (รวม) ช่อง F11</t>
  </si>
  <si>
    <t>⑨ ล้อ + อุปกรณ์ลากจูง</t>
  </si>
  <si>
    <t>← เซนเซอร์กันฝน 1=มี 0=ไม่มี (ช่อง F12)</t>
  </si>
  <si>
    <t>← 💲ราคาขายมอเตอร์+เซนเซอร์ (บวกท้ายสุด ไม่ผ่านกำไร)</t>
  </si>
  <si>
    <t>🔍 แยกก้อนต้นทุน (ไว้ตรวจ ไม่ได้ใช้คิดราคา)</t>
  </si>
  <si>
    <t>ทุนราง + ล้อ + ลากจูง</t>
  </si>
  <si>
    <t>ทุนมอเตอร์ + เซนเซอร์</t>
  </si>
  <si>
    <t>⚙ ราคาชุดหลังคาเลื่อน — 🟡 แก้ตัวเลขตรงนี้</t>
  </si>
  <si>
    <t>ทุนล้อ (บาท/ชุด)</t>
  </si>
  <si>
    <t>🟡 ทุน</t>
  </si>
  <si>
    <t>จำนวนล้อต่อบาน (ชุด)</t>
  </si>
  <si>
    <t>🟡 ชุด/บาน</t>
  </si>
  <si>
    <t>ทุนอุปกรณ์ลากจูง (บาท/บาน)</t>
  </si>
  <si>
    <t>ทุนมอเตอร์ (บาท/ตัว)</t>
  </si>
  <si>
    <t>ทุนเซนเซอร์กันฝน (บาท)</t>
  </si>
  <si>
    <t>💲ขายมอเตอร์ ตัวแรก (บาท)</t>
  </si>
  <si>
    <t>💲ราคาขาย — ไม่ผ่านกำไร</t>
  </si>
  <si>
    <t>💲ขายมอเตอร์ ตัวถัดไป (บาท/ตัว)</t>
  </si>
  <si>
    <t>💲ขายเซนเซอร์กันฝน (บาท)</t>
  </si>
  <si>
    <t>📘 วิธีอ่านชีทนี้ — สำหรับมด</t>
  </si>
  <si>
    <t>• ช่องสีเหลืองแถว 44–51 คือราคาที่แก้ได้  ·  นอกนั้นเป็นสูตร ห้ามแก้</t>
  </si>
  <si>
    <t>• ขนาด/รูปแบบ/จำนวนบาน กรอกที่ชีท “คิดทุน หลังคา (รวม)” ช่อง B9–B15 และ F11–F12</t>
  </si>
  <si>
    <t>• ค่าแรงผลิต/ติดตั้ง (แถว 14–15) ดึงจากชีท “ค่าแรง” แถว “หลังคาเลื่อน” — แก้ที่ชีทค่าแรง</t>
  </si>
  <si>
    <t>• การแบ่งบาน: เลื่อนข้าง/เปิดกลาง → แบ่งความกว้าง ÷ จำนวนบาน  ·  เลื่อนยื่น → แบ่งระยะยื่น ÷ จำนวนบาน</t>
  </si>
  <si>
    <t>• ราง: ยาว = ขนาดหลังคาทั้งผืนตามแนวที่เลื่อน × 2 ฝั่ง × จำนวนบาน แล้วปัดขึ้นเส้น 6 ม.</t>
  </si>
  <si>
    <t>• ส่วนติดตาย = หลังคาทั้งผืน − ส่วนเลื่อน (คำนวณให้เองที่ชีทหลังคา (รวม))</t>
  </si>
  <si>
    <t>• มอเตอร์คิดเป็นราคาขายตรง ไม่ผ่านกำไร — ทุนไปโผล่ที่ “ทุนรวมจริง” ของชีทหลังคา (รวม)</t>
  </si>
  <si>
    <t>⬇ จำนวนมอเตอร์ (ตัว)</t>
  </si>
  <si>
    <t>⬇ เซนเซอร์กันฝน</t>
  </si>
  <si>
    <t>มอเตอร์ + เซนเซอร์ (ทุน)</t>
  </si>
  <si>
    <t>ล้อ + อุปกรณ์ลากจูง</t>
  </si>
  <si>
    <t>ใช่</t>
  </si>
  <si>
    <t>เลื่อนข้าง</t>
  </si>
  <si>
    <t>⚙ ค่าอบสี — คิดกำไรแค่ 1.8 เท่า (คำนวณให้เอง ห้ามแก้)</t>
  </si>
  <si>
    <t>ทุนอลู (ไม่รวมซิลิโคน)</t>
  </si>
  <si>
    <t>อัตราค่าอบ/กก. ที่ใช้</t>
  </si>
  <si>
    <t>ค่าอบสีรวม (ทุน)</t>
  </si>
  <si>
    <t>ส่วนลด — ลดกำไรค่าอบจาก 2.13 เหลือ 1.8 เท่า</t>
  </si>
  <si>
    <t>━ ระแนงสลับ: กรอก 7 ช่องสีเหลืองข้างขวานี้ ↓</t>
  </si>
  <si>
    <t>ระแนงชุด A — ใช้กล่องอะไร →</t>
  </si>
  <si>
    <t>ระแนงชุด A — ด้านโชว์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</si>
</sst>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87" formatCode="0.0%"/>
    <numFmt numFmtId="188" formatCode="0.0"/>
    <numFmt numFmtId="189" formatCode="0.000"/>
    <numFmt numFmtId="190" formatCode="#,##0.0"/>
    <numFmt numFmtId="191" formatCode="0.##"/>
    <numFmt numFmtId="192" formatCode="#,##0.##"/>
    <numFmt numFmtId="193" formatCode="#,##0&quot; บาท&quot;"/>
    <numFmt numFmtId="194" formatCode="#,##0;0;&quot;– คิด/ตร.ม. –&quot;"/>
    <numFmt numFmtId="195" formatCode="#,##0;0;&quot;— ไม่มี&quot;"/>
    <numFmt numFmtId="196" formatCode="0.00;\-0.00;&quot;–&quot;"/>
  </numFmts>
  <fonts count="118">
    <font>
      <sz val="11"/>
      <color theme="1"/>
      <name val="Calibri"/>
      <family val="2"/>
      <charset val="1"/>
    </font>
    <font>
      <b/>
      <sz val="10"/>
      <name val="Tahoma"/>
      <charset val="1"/>
    </font>
    <font>
      <sz val="10"/>
      <name val="Tahoma"/>
      <charset val="1"/>
    </font>
    <font>
      <sz val="8"/>
      <color rgb="FF808080"/>
      <name val="Tahoma"/>
      <charset val="1"/>
    </font>
    <font>
      <b/>
      <sz val="11"/>
      <name val="Tahoma"/>
      <charset val="1"/>
    </font>
    <font>
      <i/>
      <sz val="9"/>
      <color rgb="FFC00000"/>
      <name val="Cambria"/>
      <charset val="1"/>
    </font>
    <font>
      <sz val="11"/>
      <name val="Cambria"/>
      <charset val="1"/>
    </font>
    <font>
      <sz val="8"/>
      <name val="Tahoma"/>
      <charset val="1"/>
    </font>
    <font>
      <b/>
      <sz val="10"/>
      <name val="Tahoma"/>
    </font>
    <font>
      <sz val="10"/>
      <name val="Tahoma"/>
    </font>
    <font>
      <sz val="9"/>
      <name val="Tahoma"/>
    </font>
    <font>
      <b/>
      <sz val="13"/>
      <color rgb="FFFFFFFF"/>
      <name val="Tahoma"/>
    </font>
    <font>
      <b/>
      <sz val="11"/>
      <name val="Tahoma"/>
    </font>
    <font>
      <b/>
      <sz val="13"/>
      <name val="Tahoma"/>
    </font>
    <font>
      <b/>
      <sz val="12"/>
      <color rgb="FFFFFFFF"/>
      <name val="Tahoma"/>
    </font>
    <font>
      <sz val="11"/>
      <name val="Tahoma"/>
    </font>
    <font>
      <b/>
      <sz val="12"/>
      <name val="Tahoma"/>
    </font>
    <font>
      <b/>
      <sz val="9"/>
      <name val="Tahoma"/>
    </font>
    <font>
      <b/>
      <sz val="10"/>
      <color rgb="FFFFFFFF"/>
      <name val="Tahoma"/>
    </font>
    <font>
      <sz val="11"/>
      <color theme="1"/>
      <name val="Tahoma"/>
      <family val="2"/>
      <charset val="1"/>
    </font>
    <font>
      <i/>
      <sz val="9"/>
      <name val="Tahoma"/>
    </font>
    <font>
      <b/>
      <sz val="11"/>
      <color rgb="FFFFFFFF"/>
      <name val="TH Sarabun New"/>
    </font>
    <font>
      <sz val="10"/>
      <name val="TH Sarabun New"/>
    </font>
    <font>
      <b/>
      <sz val="10"/>
      <name val="TH Sarabun New"/>
    </font>
    <font>
      <sz val="9"/>
      <name val="TH Sarabun New"/>
    </font>
    <font>
      <b/>
      <sz val="10"/>
      <color rgb="FFCC6600"/>
      <name val="TH Sarabun New"/>
    </font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0"/>
      <color rgb="FF000000"/>
      <name val="Tahoma"/>
    </font>
    <font>
      <b/>
      <sz val="11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b/>
      <sz val="10"/>
      <color rgb="FF000000"/>
      <name val="Tahoma"/>
    </font>
    <font>
      <b/>
      <sz val="12"/>
      <color rgb="FF27500A"/>
      <name val="Tahoma"/>
    </font>
    <font>
      <b/>
      <sz val="12"/>
      <color rgb="FF000000"/>
      <name val="Tahoma"/>
    </font>
    <font>
      <sz val="9"/>
      <color rgb="FFC00000"/>
      <name val="Tahoma"/>
    </font>
    <font>
      <b/>
      <sz val="9"/>
      <color rgb="FFFFFFFF"/>
      <name val="Tahoma"/>
    </font>
    <font>
      <sz val="8"/>
      <color rgb="FF808080"/>
      <name val="Tahoma"/>
    </font>
    <font>
      <b/>
      <sz val="14"/>
      <color rgb="FFFFFFFF"/>
      <name val="Tahoma"/>
    </font>
    <font>
      <b/>
      <sz val="10"/>
      <color rgb="FF185FA5"/>
      <name val="Tahoma"/>
    </font>
    <font>
      <sz val="10"/>
      <color rgb="FF808080"/>
      <name val="Tahoma"/>
    </font>
    <font>
      <b/>
      <sz val="11"/>
      <name val="Tahoma"/>
    </font>
    <font>
      <b/>
      <sz val="11"/>
      <color rgb="FFFFFFFF"/>
      <name val="Tahoma"/>
    </font>
    <font>
      <sz val="11"/>
      <name val="Tahoma"/>
    </font>
    <font>
      <b/>
      <sz val="10"/>
      <color rgb="FF1F4E79"/>
      <name val="Tahoma"/>
    </font>
    <font>
      <i/>
      <sz val="9"/>
      <color rgb="FF808080"/>
      <name val="Tahoma"/>
    </font>
    <font>
      <b/>
      <sz val="10"/>
      <color rgb="FF375623"/>
      <name val="Tahoma"/>
    </font>
    <font>
      <b/>
      <sz val="10"/>
      <color rgb="FF843C0C"/>
      <name val="Tahoma"/>
    </font>
    <font>
      <i/>
      <sz val="8"/>
      <color rgb="FF808080"/>
      <name val="Calibri"/>
    </font>
    <font>
      <sz val="11"/>
      <name val="Calibri"/>
    </font>
    <font>
      <sz val="8"/>
      <color rgb="FF808080"/>
      <name val="Calibri"/>
    </font>
    <font>
      <b/>
      <sz val="9"/>
      <color rgb="FF1F4E79"/>
      <name val="Tahoma"/>
    </font>
    <font>
      <sz val="9"/>
      <color rgb="FF606060"/>
      <name val="Tahoma"/>
    </font>
    <font>
      <b/>
      <u/>
      <sz val="10"/>
      <color rgb="FFC00000"/>
      <name val="Tahoma"/>
    </font>
    <font>
      <b/>
      <sz val="10"/>
      <color rgb="FFC55A11"/>
      <name val="Tahoma"/>
    </font>
    <font>
      <i/>
      <sz val="9"/>
      <color rgb="FF666666"/>
      <name val="Tahoma"/>
    </font>
    <font>
      <b/>
      <sz val="11"/>
      <color rgb="FF375623"/>
      <name val="Tahoma"/>
    </font>
    <font>
      <b/>
      <sz val="10"/>
      <color rgb="FF1F4E78"/>
      <name val="Tahoma"/>
    </font>
    <font>
      <b/>
      <sz val="11"/>
      <color rgb="FFC55A11"/>
      <name val="Tahoma"/>
    </font>
    <font>
      <i/>
      <sz val="9"/>
      <color rgb="FF999999"/>
      <name val="Tahoma"/>
    </font>
    <font>
      <b/>
      <sz val="10"/>
      <color rgb="FFC00000"/>
      <name val="Tahoma"/>
    </font>
    <font>
      <i/>
      <sz val="9"/>
      <color rgb="FFC00000"/>
      <name val="Tahoma"/>
    </font>
    <font>
      <i/>
      <sz val="8"/>
      <color rgb="FF666666"/>
      <name val="Tahoma"/>
    </font>
    <font>
      <b/>
      <sz val="11"/>
      <color rgb="FFC55A11"/>
      <name val="Calibri"/>
    </font>
    <font>
      <b/>
      <sz val="11"/>
      <color rgb="FFC00000"/>
      <name val="Tahoma"/>
    </font>
    <font>
      <b/>
      <sz val="9"/>
      <color rgb="FFC55A11"/>
      <name val="Tahoma"/>
    </font>
    <font>
      <i/>
      <sz val="9"/>
      <color rgb="FF1F6F1F"/>
      <name val="Tahoma"/>
    </font>
    <font>
      <b/>
      <sz val="11"/>
      <name val="Calibri"/>
    </font>
    <font>
      <b/>
      <sz val="11"/>
      <color rgb="FFC00000"/>
      <name val="Calibri"/>
    </font>
    <font>
      <b/>
      <sz val="11"/>
      <color rgb="FFC55A11"/>
      <name val="Calibri"/>
    </font>
    <font>
      <i/>
      <sz val="11"/>
      <color rgb="FF808080"/>
      <name val="Calibri"/>
    </font>
    <font>
      <b/>
      <sz val="13"/>
      <color rgb="FF7030A0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9"/>
      <color rgb="FF808080"/>
      <name val="Calibri"/>
    </font>
    <font>
      <i/>
      <sz val="9"/>
      <color rgb="FFC00000"/>
      <name val="Calibri"/>
    </font>
    <font>
      <b/>
      <sz val="11"/>
      <color rgb="FF1F4E78"/>
      <name val="Calibri"/>
    </font>
    <font>
      <b/>
      <sz val="12"/>
      <color rgb="FFC00000"/>
      <name val="Calibri"/>
    </font>
    <font>
      <b/>
      <sz val="11"/>
      <color rgb="FFC00000"/>
      <name val="Calibri"/>
    </font>
    <font>
      <sz val="11"/>
      <color rgb="FFC55A11"/>
      <name val="Calibri"/>
    </font>
    <font>
      <i/>
      <sz val="8"/>
      <name val="Tahoma"/>
    </font>
    <font>
      <b/>
      <sz val="11"/>
      <color rgb="FF1F4E78"/>
      <name val="Tahoma"/>
    </font>
    <font>
      <b/>
      <sz val="11"/>
      <color rgb="FFC00000"/>
      <name val="Tahoma"/>
    </font>
    <font>
      <b/>
      <sz val="10"/>
      <color rgb="FFC00000"/>
      <name val="Tahoma"/>
    </font>
    <font>
      <b/>
      <i/>
      <sz val="10"/>
      <color rgb="FF808080"/>
      <name val="Tahoma"/>
      <family val="2"/>
    </font>
    <font>
      <i/>
      <sz val="10"/>
      <color rgb="FF808080"/>
      <name val="Tahoma"/>
      <family val="2"/>
    </font>
    <font>
      <i/>
      <sz val="9"/>
      <color rgb="FF808080"/>
      <name val="Tahoma"/>
      <family val="2"/>
    </font>
    <font>
      <b/>
      <i/>
      <sz val="11"/>
      <color rgb="FF808080"/>
      <name val="Tahoma"/>
      <family val="2"/>
    </font>
    <font>
      <u/>
      <sz val="11"/>
      <color theme="10"/>
      <name val="Calibri"/>
      <family val="2"/>
      <charset val="1"/>
    </font>
    <font>
      <b/>
      <u/>
      <sz val="11"/>
      <color rgb="FF0563C1"/>
      <name val="Calibri"/>
      <family val="2"/>
    </font>
    <font>
      <b/>
      <sz val="11"/>
      <color theme="1"/>
      <name val="Calibri"/>
      <family val="2"/>
    </font>
    <font>
      <sz val="10"/>
      <color rgb="FF9C0006"/>
      <name val="Tahoma"/>
    </font>
    <font>
      <b/>
      <sz val="11"/>
      <color rgb="FF9C0006"/>
      <name val="Calibri"/>
      <family val="2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222"/>
    </font>
    <font>
      <b/>
      <sz val="10"/>
      <name val="Tahoma"/>
      <family val="2"/>
    </font>
    <font>
      <b/>
      <sz val="9"/>
      <name val="Tahoma"/>
      <family val="2"/>
    </font>
    <font>
      <b/>
      <sz val="11"/>
      <name val="Calibri"/>
      <family val="2"/>
    </font>
    <font>
      <b/>
      <sz val="11"/>
      <name val="Calibri"/>
      <family val="2"/>
      <charset val="222"/>
    </font>
    <font>
      <b/>
      <sz val="10"/>
      <name val="Tahoma"/>
      <family val="2"/>
      <charset val="222"/>
    </font>
    <font>
      <b/>
      <sz val="9"/>
      <name val="Tahoma"/>
      <family val="2"/>
      <charset val="222"/>
    </font>
    <font>
      <b/>
      <sz val="9"/>
      <color rgb="FFFFFFFF"/>
      <name val="Tahoma"/>
      <family val="2"/>
    </font>
    <font>
      <b/>
      <u/>
      <sz val="11"/>
      <color theme="10"/>
      <name val="Calibri"/>
      <family val="2"/>
    </font>
    <font>
      <b/>
      <i/>
      <sz val="10"/>
      <color rgb="FFFFFFFF"/>
      <name val="Tahoma"/>
      <family val="2"/>
    </font>
    <font>
      <sz val="10"/>
      <color rgb="FFFF0000"/>
      <name val="Tahoma"/>
    </font>
    <font>
      <sz val="9"/>
      <color rgb="FF606060"/>
      <name val="Tahoma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Tahoma"/>
      <family val="2"/>
    </font>
    <font>
      <b/>
      <sz val="9"/>
      <color rgb="FFFFFFFF"/>
      <name val="Calibri"/>
      <family val="2"/>
      <charset val="222"/>
    </font>
    <font>
      <b/>
      <sz val="11"/>
      <color rgb="FFFFFFFF"/>
      <name val="Calibri"/>
      <family val="2"/>
      <charset val="222"/>
    </font>
    <font>
      <b/>
      <sz val="11"/>
      <color rgb="FF1F4E78"/>
      <name val="Calibri"/>
      <family val="2"/>
    </font>
    <font>
      <sz val="10"/>
      <color rgb="FF000000"/>
      <name val="Tahoma"/>
      <family val="2"/>
    </font>
    <font>
      <b/>
      <sz val="11"/>
      <color rgb="FF006100"/>
      <name val="Calibri"/>
      <family val="2"/>
    </font>
    <font>
      <b/>
      <sz val="11"/>
      <color rgb="FF006100"/>
      <name val="Tahoma"/>
      <family val="2"/>
    </font>
    <font>
      <i/>
      <sz val="9"/>
      <name val="Tahoma"/>
      <family val="2"/>
    </font>
    <font>
      <i/>
      <sz val="11"/>
      <color theme="1"/>
      <name val="Calibri"/>
      <family val="2"/>
      <charset val="222"/>
    </font>
  </fonts>
  <fills count="60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3CD"/>
      </patternFill>
    </fill>
    <fill>
      <patternFill patternType="solid">
        <fgColor rgb="FFF2F2F2"/>
        <bgColor rgb="FFF5F5F5"/>
      </patternFill>
    </fill>
    <fill>
      <patternFill patternType="solid">
        <fgColor rgb="FF2F75B6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F5F5F5"/>
        <bgColor rgb="FFF7F7F7"/>
      </patternFill>
    </fill>
    <fill>
      <patternFill patternType="solid">
        <fgColor rgb="FFFFFF99"/>
        <bgColor rgb="FFFFF3CD"/>
      </patternFill>
    </fill>
    <fill>
      <patternFill patternType="solid">
        <fgColor rgb="FFD9E1F2"/>
      </patternFill>
    </fill>
    <fill>
      <patternFill patternType="solid">
        <fgColor rgb="FFF1EFE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BF3E8"/>
      </patternFill>
    </fill>
    <fill>
      <patternFill patternType="solid">
        <fgColor rgb="FF7030A0"/>
      </patternFill>
    </fill>
    <fill>
      <patternFill patternType="solid">
        <fgColor rgb="FFF3E8FF"/>
      </patternFill>
    </fill>
    <fill>
      <patternFill patternType="solid">
        <fgColor rgb="FF4B0082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99E6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1F4E7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E9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D9D9D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606060"/>
      </left>
      <right style="thin">
        <color rgb="FFC0C0C0"/>
      </right>
      <top style="medium">
        <color rgb="FF60606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rgb="FF606060"/>
      </top>
      <bottom style="thin">
        <color rgb="FFC0C0C0"/>
      </bottom>
      <diagonal/>
    </border>
    <border>
      <left style="thin">
        <color rgb="FFC0C0C0"/>
      </left>
      <right style="medium">
        <color rgb="FF606060"/>
      </right>
      <top style="medium">
        <color rgb="FF606060"/>
      </top>
      <bottom style="thin">
        <color rgb="FFC0C0C0"/>
      </bottom>
      <diagonal/>
    </border>
    <border>
      <left style="medium">
        <color rgb="FF60606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606060"/>
      </right>
      <top style="thin">
        <color rgb="FFC0C0C0"/>
      </top>
      <bottom style="thin">
        <color rgb="FFC0C0C0"/>
      </bottom>
      <diagonal/>
    </border>
    <border>
      <left style="medium">
        <color rgb="FF606060"/>
      </left>
      <right style="thin">
        <color rgb="FFC0C0C0"/>
      </right>
      <top style="thin">
        <color rgb="FFC0C0C0"/>
      </top>
      <bottom style="medium">
        <color rgb="FF60606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606060"/>
      </bottom>
      <diagonal/>
    </border>
    <border>
      <left style="thin">
        <color rgb="FFC0C0C0"/>
      </left>
      <right style="medium">
        <color rgb="FF606060"/>
      </right>
      <top style="thin">
        <color rgb="FFC0C0C0"/>
      </top>
      <bottom style="medium">
        <color rgb="FF606060"/>
      </bottom>
      <diagonal/>
    </border>
  </borders>
  <cellStyleXfs count="2">
    <xf numFmtId="0" fontId="0" fillId="0" borderId="0"/>
    <xf numFmtId="0" fontId="89" fillId="0" borderId="0" applyNumberFormat="0" applyFill="0" applyBorder="0" applyAlignment="0" applyProtection="0"/>
  </cellStyleXfs>
  <cellXfs count="69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88" fontId="7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12" borderId="8" xfId="0" applyFont="1" applyFill="1" applyBorder="1" applyAlignment="1">
      <alignment horizontal="center" wrapText="1"/>
    </xf>
    <xf numFmtId="0" fontId="8" fillId="13" borderId="0" xfId="0" applyFont="1" applyFill="1"/>
    <xf numFmtId="0" fontId="9" fillId="0" borderId="8" xfId="0" applyFont="1" applyBorder="1"/>
    <xf numFmtId="3" fontId="9" fillId="14" borderId="8" xfId="0" applyNumberFormat="1" applyFont="1" applyFill="1" applyBorder="1"/>
    <xf numFmtId="3" fontId="9" fillId="15" borderId="8" xfId="0" applyNumberFormat="1" applyFont="1" applyFill="1" applyBorder="1"/>
    <xf numFmtId="3" fontId="8" fillId="15" borderId="8" xfId="0" applyNumberFormat="1" applyFont="1" applyFill="1" applyBorder="1"/>
    <xf numFmtId="9" fontId="8" fillId="16" borderId="8" xfId="0" applyNumberFormat="1" applyFont="1" applyFill="1" applyBorder="1"/>
    <xf numFmtId="0" fontId="8" fillId="0" borderId="0" xfId="0" applyFont="1"/>
    <xf numFmtId="3" fontId="8" fillId="14" borderId="8" xfId="0" applyNumberFormat="1" applyFont="1" applyFill="1" applyBorder="1"/>
    <xf numFmtId="0" fontId="8" fillId="18" borderId="8" xfId="0" applyFont="1" applyFill="1" applyBorder="1"/>
    <xf numFmtId="3" fontId="12" fillId="15" borderId="8" xfId="0" applyNumberFormat="1" applyFont="1" applyFill="1" applyBorder="1"/>
    <xf numFmtId="0" fontId="14" fillId="17" borderId="0" xfId="0" applyFont="1" applyFill="1" applyAlignment="1">
      <alignment horizontal="left" vertical="center"/>
    </xf>
    <xf numFmtId="0" fontId="9" fillId="0" borderId="0" xfId="0" applyFont="1"/>
    <xf numFmtId="0" fontId="9" fillId="2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4" fontId="9" fillId="7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/>
    <xf numFmtId="0" fontId="8" fillId="12" borderId="8" xfId="0" applyFont="1" applyFill="1" applyBorder="1" applyAlignment="1">
      <alignment horizontal="center" vertical="center" wrapText="1"/>
    </xf>
    <xf numFmtId="191" fontId="9" fillId="0" borderId="1" xfId="0" applyNumberFormat="1" applyFont="1" applyBorder="1" applyAlignment="1">
      <alignment horizontal="center" vertical="center" wrapText="1"/>
    </xf>
    <xf numFmtId="191" fontId="9" fillId="3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3" fontId="12" fillId="14" borderId="8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3" fontId="12" fillId="15" borderId="8" xfId="0" applyNumberFormat="1" applyFont="1" applyFill="1" applyBorder="1" applyAlignment="1">
      <alignment horizontal="right" vertical="center"/>
    </xf>
    <xf numFmtId="0" fontId="15" fillId="0" borderId="0" xfId="0" applyFont="1"/>
    <xf numFmtId="2" fontId="9" fillId="0" borderId="0" xfId="0" applyNumberFormat="1" applyFont="1"/>
    <xf numFmtId="3" fontId="9" fillId="0" borderId="0" xfId="0" applyNumberFormat="1" applyFont="1"/>
    <xf numFmtId="0" fontId="8" fillId="12" borderId="8" xfId="0" applyFont="1" applyFill="1" applyBorder="1" applyAlignment="1">
      <alignment horizontal="center"/>
    </xf>
    <xf numFmtId="2" fontId="9" fillId="0" borderId="1" xfId="0" applyNumberFormat="1" applyFont="1" applyBorder="1"/>
    <xf numFmtId="0" fontId="8" fillId="0" borderId="1" xfId="0" applyFont="1" applyBorder="1"/>
    <xf numFmtId="3" fontId="12" fillId="14" borderId="8" xfId="0" applyNumberFormat="1" applyFont="1" applyFill="1" applyBorder="1"/>
    <xf numFmtId="0" fontId="9" fillId="3" borderId="1" xfId="0" applyFont="1" applyFill="1" applyBorder="1"/>
    <xf numFmtId="3" fontId="9" fillId="3" borderId="1" xfId="0" applyNumberFormat="1" applyFont="1" applyFill="1" applyBorder="1"/>
    <xf numFmtId="1" fontId="9" fillId="7" borderId="1" xfId="0" applyNumberFormat="1" applyFont="1" applyFill="1" applyBorder="1" applyAlignment="1">
      <alignment horizontal="center" vertical="center" wrapText="1"/>
    </xf>
    <xf numFmtId="49" fontId="9" fillId="0" borderId="0" xfId="0" applyNumberFormat="1" applyFont="1"/>
    <xf numFmtId="0" fontId="8" fillId="12" borderId="8" xfId="0" applyFont="1" applyFill="1" applyBorder="1"/>
    <xf numFmtId="49" fontId="8" fillId="12" borderId="8" xfId="0" applyNumberFormat="1" applyFont="1" applyFill="1" applyBorder="1"/>
    <xf numFmtId="49" fontId="9" fillId="0" borderId="1" xfId="0" applyNumberFormat="1" applyFont="1" applyBorder="1"/>
    <xf numFmtId="3" fontId="9" fillId="4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right"/>
    </xf>
    <xf numFmtId="0" fontId="9" fillId="10" borderId="1" xfId="0" applyFont="1" applyFill="1" applyBorder="1"/>
    <xf numFmtId="3" fontId="9" fillId="10" borderId="1" xfId="0" applyNumberFormat="1" applyFont="1" applyFill="1" applyBorder="1"/>
    <xf numFmtId="0" fontId="15" fillId="10" borderId="0" xfId="0" applyFont="1" applyFill="1"/>
    <xf numFmtId="0" fontId="9" fillId="11" borderId="0" xfId="0" applyFont="1" applyFill="1"/>
    <xf numFmtId="0" fontId="8" fillId="2" borderId="1" xfId="0" applyFont="1" applyFill="1" applyBorder="1"/>
    <xf numFmtId="0" fontId="8" fillId="0" borderId="0" xfId="0" applyFont="1" applyAlignment="1">
      <alignment vertical="center"/>
    </xf>
    <xf numFmtId="0" fontId="8" fillId="18" borderId="8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8" fillId="18" borderId="8" xfId="0" applyNumberFormat="1" applyFont="1" applyFill="1" applyBorder="1" applyAlignment="1">
      <alignment vertical="center"/>
    </xf>
    <xf numFmtId="189" fontId="10" fillId="0" borderId="0" xfId="0" applyNumberFormat="1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3" fontId="12" fillId="14" borderId="8" xfId="0" applyNumberFormat="1" applyFont="1" applyFill="1" applyBorder="1" applyAlignment="1">
      <alignment horizontal="right"/>
    </xf>
    <xf numFmtId="0" fontId="8" fillId="4" borderId="1" xfId="0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horizontal="right"/>
    </xf>
    <xf numFmtId="3" fontId="12" fillId="15" borderId="8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7" fillId="4" borderId="1" xfId="0" applyFont="1" applyFill="1" applyBorder="1" applyAlignment="1">
      <alignment vertical="center"/>
    </xf>
    <xf numFmtId="3" fontId="8" fillId="4" borderId="1" xfId="0" applyNumberFormat="1" applyFont="1" applyFill="1" applyBorder="1" applyAlignment="1">
      <alignment horizontal="right"/>
    </xf>
    <xf numFmtId="0" fontId="8" fillId="12" borderId="8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vertical="center"/>
    </xf>
    <xf numFmtId="3" fontId="8" fillId="12" borderId="8" xfId="0" applyNumberFormat="1" applyFont="1" applyFill="1" applyBorder="1" applyAlignment="1">
      <alignment vertical="center"/>
    </xf>
    <xf numFmtId="4" fontId="8" fillId="12" borderId="8" xfId="0" applyNumberFormat="1" applyFont="1" applyFill="1" applyBorder="1" applyAlignment="1">
      <alignment vertical="center"/>
    </xf>
    <xf numFmtId="190" fontId="8" fillId="18" borderId="8" xfId="0" applyNumberFormat="1" applyFont="1" applyFill="1" applyBorder="1" applyAlignment="1">
      <alignment vertical="center"/>
    </xf>
    <xf numFmtId="190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8" fillId="12" borderId="8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horizontal="right"/>
    </xf>
    <xf numFmtId="3" fontId="12" fillId="3" borderId="1" xfId="0" applyNumberFormat="1" applyFont="1" applyFill="1" applyBorder="1"/>
    <xf numFmtId="3" fontId="12" fillId="4" borderId="1" xfId="0" applyNumberFormat="1" applyFont="1" applyFill="1" applyBorder="1"/>
    <xf numFmtId="3" fontId="8" fillId="0" borderId="0" xfId="0" applyNumberFormat="1" applyFont="1"/>
    <xf numFmtId="9" fontId="9" fillId="0" borderId="0" xfId="0" applyNumberFormat="1" applyFont="1"/>
    <xf numFmtId="0" fontId="18" fillId="19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16" fillId="0" borderId="0" xfId="0" applyFont="1"/>
    <xf numFmtId="3" fontId="9" fillId="0" borderId="8" xfId="0" applyNumberFormat="1" applyFont="1" applyBorder="1" applyAlignment="1">
      <alignment horizontal="center" vertical="center"/>
    </xf>
    <xf numFmtId="0" fontId="19" fillId="10" borderId="0" xfId="0" applyFont="1" applyFill="1"/>
    <xf numFmtId="0" fontId="19" fillId="0" borderId="0" xfId="0" applyFont="1"/>
    <xf numFmtId="0" fontId="8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8" fillId="15" borderId="0" xfId="0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3" fontId="8" fillId="14" borderId="0" xfId="0" applyNumberFormat="1" applyFont="1" applyFill="1" applyAlignment="1">
      <alignment horizontal="center" vertical="center"/>
    </xf>
    <xf numFmtId="188" fontId="9" fillId="0" borderId="0" xfId="0" applyNumberFormat="1" applyFont="1"/>
    <xf numFmtId="0" fontId="9" fillId="14" borderId="8" xfId="0" applyFont="1" applyFill="1" applyBorder="1" applyAlignment="1">
      <alignment horizontal="left" vertical="center"/>
    </xf>
    <xf numFmtId="3" fontId="9" fillId="14" borderId="8" xfId="0" applyNumberFormat="1" applyFont="1" applyFill="1" applyBorder="1" applyAlignment="1">
      <alignment horizontal="center" vertical="center"/>
    </xf>
    <xf numFmtId="3" fontId="1" fillId="0" borderId="9" xfId="0" applyNumberFormat="1" applyFont="1" applyBorder="1"/>
    <xf numFmtId="3" fontId="4" fillId="0" borderId="9" xfId="0" applyNumberFormat="1" applyFont="1" applyBorder="1"/>
    <xf numFmtId="0" fontId="8" fillId="0" borderId="9" xfId="0" applyFont="1" applyBorder="1"/>
    <xf numFmtId="0" fontId="9" fillId="0" borderId="9" xfId="0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9" xfId="0" applyBorder="1"/>
    <xf numFmtId="0" fontId="18" fillId="19" borderId="8" xfId="0" applyFont="1" applyFill="1" applyBorder="1"/>
    <xf numFmtId="0" fontId="0" fillId="0" borderId="8" xfId="0" applyBorder="1"/>
    <xf numFmtId="0" fontId="8" fillId="0" borderId="8" xfId="0" applyFont="1" applyBorder="1"/>
    <xf numFmtId="3" fontId="8" fillId="20" borderId="8" xfId="0" applyNumberFormat="1" applyFont="1" applyFill="1" applyBorder="1" applyAlignment="1">
      <alignment horizontal="center" vertical="center"/>
    </xf>
    <xf numFmtId="3" fontId="9" fillId="14" borderId="8" xfId="0" applyNumberFormat="1" applyFont="1" applyFill="1" applyBorder="1" applyAlignment="1">
      <alignment horizontal="right"/>
    </xf>
    <xf numFmtId="3" fontId="8" fillId="15" borderId="8" xfId="0" applyNumberFormat="1" applyFont="1" applyFill="1" applyBorder="1" applyAlignment="1">
      <alignment horizontal="right"/>
    </xf>
    <xf numFmtId="0" fontId="20" fillId="0" borderId="0" xfId="0" applyFont="1"/>
    <xf numFmtId="0" fontId="21" fillId="22" borderId="10" xfId="0" applyFont="1" applyFill="1" applyBorder="1" applyAlignment="1">
      <alignment horizontal="center" vertical="center" wrapText="1"/>
    </xf>
    <xf numFmtId="0" fontId="17" fillId="0" borderId="0" xfId="0" applyFont="1"/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3" fontId="23" fillId="23" borderId="10" xfId="0" applyNumberFormat="1" applyFont="1" applyFill="1" applyBorder="1" applyAlignment="1">
      <alignment horizontal="right" vertical="center"/>
    </xf>
    <xf numFmtId="0" fontId="24" fillId="0" borderId="10" xfId="0" applyFont="1" applyBorder="1" applyAlignment="1">
      <alignment horizontal="left" vertical="center"/>
    </xf>
    <xf numFmtId="0" fontId="10" fillId="0" borderId="0" xfId="0" applyFont="1"/>
    <xf numFmtId="0" fontId="0" fillId="18" borderId="0" xfId="0" applyFill="1"/>
    <xf numFmtId="0" fontId="11" fillId="17" borderId="0" xfId="0" applyFont="1" applyFill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/>
    <xf numFmtId="4" fontId="29" fillId="25" borderId="8" xfId="0" applyNumberFormat="1" applyFont="1" applyFill="1" applyBorder="1" applyAlignment="1">
      <alignment horizontal="center" vertical="center"/>
    </xf>
    <xf numFmtId="0" fontId="18" fillId="17" borderId="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192" fontId="32" fillId="25" borderId="8" xfId="0" applyNumberFormat="1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3" fontId="28" fillId="18" borderId="8" xfId="0" applyNumberFormat="1" applyFont="1" applyFill="1" applyBorder="1" applyAlignment="1">
      <alignment horizontal="right" vertical="center"/>
    </xf>
    <xf numFmtId="3" fontId="32" fillId="25" borderId="8" xfId="0" applyNumberFormat="1" applyFont="1" applyFill="1" applyBorder="1" applyAlignment="1">
      <alignment horizontal="right" vertical="center"/>
    </xf>
    <xf numFmtId="4" fontId="28" fillId="18" borderId="8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3" fontId="33" fillId="15" borderId="8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3" fontId="29" fillId="25" borderId="8" xfId="0" applyNumberFormat="1" applyFont="1" applyFill="1" applyBorder="1" applyAlignment="1">
      <alignment horizontal="right" vertical="center"/>
    </xf>
    <xf numFmtId="3" fontId="34" fillId="14" borderId="8" xfId="0" applyNumberFormat="1" applyFont="1" applyFill="1" applyBorder="1" applyAlignment="1">
      <alignment horizontal="right" vertical="center"/>
    </xf>
    <xf numFmtId="3" fontId="29" fillId="14" borderId="8" xfId="0" applyNumberFormat="1" applyFont="1" applyFill="1" applyBorder="1" applyAlignment="1">
      <alignment horizontal="right" vertical="center"/>
    </xf>
    <xf numFmtId="187" fontId="29" fillId="25" borderId="8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3" fontId="29" fillId="18" borderId="8" xfId="0" applyNumberFormat="1" applyFont="1" applyFill="1" applyBorder="1" applyAlignment="1">
      <alignment horizontal="center" vertical="center"/>
    </xf>
    <xf numFmtId="3" fontId="28" fillId="25" borderId="8" xfId="0" applyNumberFormat="1" applyFont="1" applyFill="1" applyBorder="1" applyAlignment="1">
      <alignment horizontal="right" vertical="center"/>
    </xf>
    <xf numFmtId="0" fontId="36" fillId="17" borderId="8" xfId="0" applyFont="1" applyFill="1" applyBorder="1" applyAlignment="1">
      <alignment horizontal="center" vertical="center"/>
    </xf>
    <xf numFmtId="0" fontId="36" fillId="17" borderId="0" xfId="0" applyFont="1" applyFill="1"/>
    <xf numFmtId="0" fontId="30" fillId="0" borderId="8" xfId="0" applyFont="1" applyBorder="1" applyAlignment="1">
      <alignment horizontal="left" vertical="center"/>
    </xf>
    <xf numFmtId="0" fontId="30" fillId="0" borderId="8" xfId="0" applyFont="1" applyBorder="1" applyAlignment="1">
      <alignment horizontal="right" vertical="center"/>
    </xf>
    <xf numFmtId="0" fontId="30" fillId="0" borderId="0" xfId="0" applyFont="1"/>
    <xf numFmtId="0" fontId="37" fillId="0" borderId="0" xfId="0" applyFont="1"/>
    <xf numFmtId="0" fontId="37" fillId="0" borderId="0" xfId="0" applyFont="1" applyAlignment="1">
      <alignment horizontal="right" vertical="center"/>
    </xf>
    <xf numFmtId="0" fontId="28" fillId="0" borderId="0" xfId="0" applyFont="1"/>
    <xf numFmtId="0" fontId="30" fillId="25" borderId="8" xfId="0" applyFont="1" applyFill="1" applyBorder="1" applyAlignment="1">
      <alignment horizontal="center" vertical="center"/>
    </xf>
    <xf numFmtId="0" fontId="35" fillId="0" borderId="0" xfId="0" applyFont="1"/>
    <xf numFmtId="0" fontId="39" fillId="0" borderId="8" xfId="0" applyFont="1" applyBorder="1" applyAlignment="1">
      <alignment horizontal="left" vertical="center"/>
    </xf>
    <xf numFmtId="3" fontId="32" fillId="15" borderId="8" xfId="0" applyNumberFormat="1" applyFont="1" applyFill="1" applyBorder="1" applyAlignment="1">
      <alignment horizontal="right" vertical="center"/>
    </xf>
    <xf numFmtId="3" fontId="40" fillId="0" borderId="8" xfId="0" applyNumberFormat="1" applyFont="1" applyBorder="1" applyAlignment="1">
      <alignment horizontal="right" vertical="center"/>
    </xf>
    <xf numFmtId="0" fontId="31" fillId="0" borderId="8" xfId="0" applyFont="1" applyBorder="1" applyAlignment="1">
      <alignment horizontal="right" vertical="center"/>
    </xf>
    <xf numFmtId="0" fontId="18" fillId="26" borderId="0" xfId="0" applyFont="1" applyFill="1"/>
    <xf numFmtId="0" fontId="9" fillId="18" borderId="8" xfId="0" applyFont="1" applyFill="1" applyBorder="1"/>
    <xf numFmtId="0" fontId="8" fillId="12" borderId="0" xfId="0" applyFont="1" applyFill="1"/>
    <xf numFmtId="0" fontId="8" fillId="27" borderId="8" xfId="0" applyFont="1" applyFill="1" applyBorder="1"/>
    <xf numFmtId="0" fontId="8" fillId="21" borderId="8" xfId="0" applyFont="1" applyFill="1" applyBorder="1"/>
    <xf numFmtId="0" fontId="41" fillId="12" borderId="0" xfId="0" applyFont="1" applyFill="1"/>
    <xf numFmtId="0" fontId="43" fillId="25" borderId="0" xfId="0" applyFont="1" applyFill="1"/>
    <xf numFmtId="0" fontId="41" fillId="0" borderId="0" xfId="0" applyFont="1"/>
    <xf numFmtId="0" fontId="43" fillId="0" borderId="0" xfId="0" applyFont="1"/>
    <xf numFmtId="0" fontId="41" fillId="18" borderId="0" xfId="0" applyFont="1" applyFill="1"/>
    <xf numFmtId="0" fontId="44" fillId="28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5" fillId="0" borderId="0" xfId="0" applyFont="1"/>
    <xf numFmtId="0" fontId="46" fillId="15" borderId="0" xfId="0" applyFont="1" applyFill="1" applyAlignment="1">
      <alignment horizontal="left" vertical="center" wrapText="1"/>
    </xf>
    <xf numFmtId="3" fontId="46" fillId="15" borderId="0" xfId="0" applyNumberFormat="1" applyFont="1" applyFill="1" applyAlignment="1">
      <alignment horizontal="right" vertical="center"/>
    </xf>
    <xf numFmtId="0" fontId="47" fillId="14" borderId="0" xfId="0" applyFont="1" applyFill="1" applyAlignment="1">
      <alignment horizontal="left" vertical="center" wrapText="1"/>
    </xf>
    <xf numFmtId="3" fontId="47" fillId="14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0" fillId="12" borderId="0" xfId="0" applyFill="1"/>
    <xf numFmtId="0" fontId="10" fillId="25" borderId="0" xfId="0" applyFont="1" applyFill="1"/>
    <xf numFmtId="3" fontId="10" fillId="25" borderId="0" xfId="0" applyNumberFormat="1" applyFont="1" applyFill="1"/>
    <xf numFmtId="0" fontId="10" fillId="29" borderId="0" xfId="0" applyFont="1" applyFill="1"/>
    <xf numFmtId="3" fontId="10" fillId="29" borderId="0" xfId="0" applyNumberFormat="1" applyFont="1" applyFill="1"/>
    <xf numFmtId="0" fontId="36" fillId="22" borderId="0" xfId="0" applyFont="1" applyFill="1"/>
    <xf numFmtId="0" fontId="0" fillId="22" borderId="0" xfId="0" applyFill="1"/>
    <xf numFmtId="3" fontId="36" fillId="22" borderId="0" xfId="0" applyNumberFormat="1" applyFont="1" applyFill="1"/>
    <xf numFmtId="0" fontId="36" fillId="30" borderId="0" xfId="0" applyFont="1" applyFill="1"/>
    <xf numFmtId="0" fontId="0" fillId="30" borderId="0" xfId="0" applyFill="1"/>
    <xf numFmtId="0" fontId="9" fillId="31" borderId="0" xfId="0" applyFont="1" applyFill="1"/>
    <xf numFmtId="3" fontId="9" fillId="31" borderId="0" xfId="0" applyNumberFormat="1" applyFont="1" applyFill="1"/>
    <xf numFmtId="0" fontId="9" fillId="29" borderId="0" xfId="0" applyFont="1" applyFill="1"/>
    <xf numFmtId="3" fontId="9" fillId="29" borderId="0" xfId="0" applyNumberFormat="1" applyFont="1" applyFill="1"/>
    <xf numFmtId="0" fontId="9" fillId="32" borderId="0" xfId="0" applyFont="1" applyFill="1"/>
    <xf numFmtId="0" fontId="9" fillId="33" borderId="0" xfId="0" applyFont="1" applyFill="1"/>
    <xf numFmtId="3" fontId="9" fillId="33" borderId="0" xfId="0" applyNumberFormat="1" applyFont="1" applyFill="1"/>
    <xf numFmtId="0" fontId="27" fillId="34" borderId="0" xfId="0" applyFont="1" applyFill="1"/>
    <xf numFmtId="0" fontId="9" fillId="25" borderId="0" xfId="0" applyFont="1" applyFill="1"/>
    <xf numFmtId="9" fontId="8" fillId="0" borderId="0" xfId="0" applyNumberFormat="1" applyFont="1"/>
    <xf numFmtId="0" fontId="48" fillId="0" borderId="0" xfId="0" applyFont="1"/>
    <xf numFmtId="3" fontId="0" fillId="0" borderId="0" xfId="0" applyNumberFormat="1"/>
    <xf numFmtId="188" fontId="0" fillId="18" borderId="0" xfId="0" applyNumberFormat="1" applyFill="1"/>
    <xf numFmtId="188" fontId="1" fillId="0" borderId="9" xfId="0" applyNumberFormat="1" applyFont="1" applyBorder="1"/>
    <xf numFmtId="188" fontId="0" fillId="0" borderId="0" xfId="0" applyNumberFormat="1"/>
    <xf numFmtId="188" fontId="48" fillId="0" borderId="0" xfId="0" applyNumberFormat="1" applyFont="1"/>
    <xf numFmtId="0" fontId="49" fillId="0" borderId="0" xfId="0" applyFont="1"/>
    <xf numFmtId="0" fontId="50" fillId="0" borderId="0" xfId="0" applyFont="1"/>
    <xf numFmtId="188" fontId="49" fillId="18" borderId="0" xfId="0" applyNumberFormat="1" applyFont="1" applyFill="1"/>
    <xf numFmtId="3" fontId="49" fillId="0" borderId="0" xfId="0" applyNumberFormat="1" applyFont="1"/>
    <xf numFmtId="3" fontId="12" fillId="0" borderId="0" xfId="0" applyNumberFormat="1" applyFont="1"/>
    <xf numFmtId="188" fontId="12" fillId="0" borderId="0" xfId="0" applyNumberFormat="1" applyFont="1"/>
    <xf numFmtId="188" fontId="49" fillId="0" borderId="0" xfId="0" applyNumberFormat="1" applyFont="1"/>
    <xf numFmtId="188" fontId="50" fillId="0" borderId="0" xfId="0" applyNumberFormat="1" applyFont="1"/>
    <xf numFmtId="0" fontId="32" fillId="12" borderId="0" xfId="0" applyFont="1" applyFill="1"/>
    <xf numFmtId="189" fontId="30" fillId="0" borderId="8" xfId="0" applyNumberFormat="1" applyFont="1" applyBorder="1" applyAlignment="1">
      <alignment horizontal="right" vertical="center"/>
    </xf>
    <xf numFmtId="188" fontId="3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/>
    </xf>
    <xf numFmtId="188" fontId="10" fillId="0" borderId="8" xfId="0" applyNumberFormat="1" applyFont="1" applyBorder="1" applyAlignment="1">
      <alignment horizontal="right" vertical="center"/>
    </xf>
    <xf numFmtId="189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26" fillId="0" borderId="12" xfId="0" applyFont="1" applyBorder="1"/>
    <xf numFmtId="0" fontId="26" fillId="0" borderId="13" xfId="0" applyFont="1" applyBorder="1"/>
    <xf numFmtId="0" fontId="8" fillId="12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0" fontId="9" fillId="14" borderId="8" xfId="0" applyFont="1" applyFill="1" applyBorder="1" applyAlignment="1">
      <alignment horizontal="right" vertical="center"/>
    </xf>
    <xf numFmtId="3" fontId="9" fillId="0" borderId="8" xfId="0" applyNumberFormat="1" applyFont="1" applyBorder="1" applyAlignment="1">
      <alignment horizontal="right" vertical="center"/>
    </xf>
    <xf numFmtId="3" fontId="8" fillId="14" borderId="0" xfId="0" applyNumberFormat="1" applyFont="1" applyFill="1" applyAlignment="1">
      <alignment horizontal="right" vertical="center"/>
    </xf>
    <xf numFmtId="3" fontId="9" fillId="14" borderId="0" xfId="0" applyNumberFormat="1" applyFont="1" applyFill="1" applyAlignment="1">
      <alignment horizontal="right" vertical="center"/>
    </xf>
    <xf numFmtId="3" fontId="8" fillId="15" borderId="0" xfId="0" applyNumberFormat="1" applyFont="1" applyFill="1" applyAlignment="1">
      <alignment horizontal="right" vertical="center"/>
    </xf>
    <xf numFmtId="0" fontId="51" fillId="0" borderId="0" xfId="0" applyFont="1"/>
    <xf numFmtId="3" fontId="0" fillId="0" borderId="0" xfId="0" applyNumberFormat="1" applyAlignment="1">
      <alignment horizontal="right" vertical="center"/>
    </xf>
    <xf numFmtId="0" fontId="53" fillId="36" borderId="17" xfId="0" applyFont="1" applyFill="1" applyBorder="1" applyAlignment="1">
      <alignment horizontal="center" vertical="center"/>
    </xf>
    <xf numFmtId="0" fontId="55" fillId="0" borderId="0" xfId="0" applyFont="1"/>
    <xf numFmtId="0" fontId="54" fillId="0" borderId="0" xfId="0" applyFont="1"/>
    <xf numFmtId="189" fontId="0" fillId="0" borderId="0" xfId="0" applyNumberFormat="1"/>
    <xf numFmtId="0" fontId="18" fillId="19" borderId="8" xfId="0" applyFont="1" applyFill="1" applyBorder="1" applyAlignment="1">
      <alignment vertical="center" wrapText="1"/>
    </xf>
    <xf numFmtId="0" fontId="0" fillId="20" borderId="8" xfId="0" applyFill="1" applyBorder="1"/>
    <xf numFmtId="0" fontId="0" fillId="14" borderId="8" xfId="0" applyFill="1" applyBorder="1"/>
    <xf numFmtId="0" fontId="0" fillId="15" borderId="8" xfId="0" applyFill="1" applyBorder="1"/>
    <xf numFmtId="0" fontId="56" fillId="0" borderId="0" xfId="0" applyFont="1"/>
    <xf numFmtId="0" fontId="18" fillId="30" borderId="8" xfId="0" applyFont="1" applyFill="1" applyBorder="1" applyAlignment="1">
      <alignment vertical="center" wrapText="1"/>
    </xf>
    <xf numFmtId="0" fontId="57" fillId="20" borderId="0" xfId="0" applyFont="1" applyFill="1"/>
    <xf numFmtId="193" fontId="57" fillId="20" borderId="0" xfId="0" applyNumberFormat="1" applyFont="1" applyFill="1"/>
    <xf numFmtId="0" fontId="58" fillId="0" borderId="0" xfId="0" applyFont="1"/>
    <xf numFmtId="0" fontId="60" fillId="0" borderId="0" xfId="0" applyFont="1" applyAlignment="1">
      <alignment horizontal="center"/>
    </xf>
    <xf numFmtId="0" fontId="61" fillId="0" borderId="0" xfId="0" applyFont="1"/>
    <xf numFmtId="0" fontId="60" fillId="0" borderId="0" xfId="0" applyFont="1"/>
    <xf numFmtId="3" fontId="0" fillId="18" borderId="8" xfId="0" applyNumberFormat="1" applyFill="1" applyBorder="1"/>
    <xf numFmtId="3" fontId="0" fillId="0" borderId="8" xfId="0" applyNumberFormat="1" applyBorder="1"/>
    <xf numFmtId="0" fontId="62" fillId="0" borderId="0" xfId="0" applyFont="1"/>
    <xf numFmtId="0" fontId="63" fillId="0" borderId="0" xfId="0" applyFont="1"/>
    <xf numFmtId="0" fontId="32" fillId="37" borderId="8" xfId="0" applyFont="1" applyFill="1" applyBorder="1"/>
    <xf numFmtId="0" fontId="64" fillId="0" borderId="0" xfId="0" applyFont="1"/>
    <xf numFmtId="0" fontId="65" fillId="19" borderId="8" xfId="0" applyFont="1" applyFill="1" applyBorder="1" applyAlignment="1">
      <alignment vertical="center" wrapText="1"/>
    </xf>
    <xf numFmtId="0" fontId="9" fillId="15" borderId="8" xfId="0" applyFont="1" applyFill="1" applyBorder="1"/>
    <xf numFmtId="0" fontId="8" fillId="37" borderId="0" xfId="0" applyFont="1" applyFill="1"/>
    <xf numFmtId="0" fontId="66" fillId="15" borderId="8" xfId="0" applyFont="1" applyFill="1" applyBorder="1"/>
    <xf numFmtId="0" fontId="9" fillId="14" borderId="1" xfId="0" applyFont="1" applyFill="1" applyBorder="1"/>
    <xf numFmtId="0" fontId="0" fillId="14" borderId="0" xfId="0" applyFill="1"/>
    <xf numFmtId="0" fontId="67" fillId="0" borderId="0" xfId="0" applyFont="1"/>
    <xf numFmtId="0" fontId="68" fillId="0" borderId="0" xfId="0" applyFont="1"/>
    <xf numFmtId="0" fontId="73" fillId="38" borderId="8" xfId="0" applyFont="1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67" fillId="15" borderId="8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74" fillId="0" borderId="0" xfId="0" applyFont="1"/>
    <xf numFmtId="0" fontId="75" fillId="0" borderId="0" xfId="0" applyFont="1"/>
    <xf numFmtId="0" fontId="76" fillId="0" borderId="0" xfId="0" applyFont="1"/>
    <xf numFmtId="0" fontId="69" fillId="0" borderId="0" xfId="0" applyFont="1"/>
    <xf numFmtId="0" fontId="77" fillId="14" borderId="19" xfId="0" applyFont="1" applyFill="1" applyBorder="1"/>
    <xf numFmtId="0" fontId="0" fillId="14" borderId="19" xfId="0" applyFill="1" applyBorder="1" applyAlignment="1">
      <alignment horizontal="right"/>
    </xf>
    <xf numFmtId="0" fontId="77" fillId="20" borderId="19" xfId="0" applyFont="1" applyFill="1" applyBorder="1"/>
    <xf numFmtId="0" fontId="0" fillId="20" borderId="19" xfId="0" applyFill="1" applyBorder="1" applyAlignment="1">
      <alignment horizontal="right"/>
    </xf>
    <xf numFmtId="0" fontId="67" fillId="20" borderId="19" xfId="0" applyFont="1" applyFill="1" applyBorder="1" applyAlignment="1">
      <alignment horizontal="right"/>
    </xf>
    <xf numFmtId="0" fontId="69" fillId="0" borderId="9" xfId="0" applyFont="1" applyBorder="1"/>
    <xf numFmtId="0" fontId="77" fillId="0" borderId="9" xfId="0" applyFont="1" applyBorder="1"/>
    <xf numFmtId="0" fontId="0" fillId="0" borderId="9" xfId="0" applyBorder="1" applyAlignment="1">
      <alignment horizontal="right"/>
    </xf>
    <xf numFmtId="0" fontId="67" fillId="0" borderId="9" xfId="0" applyFont="1" applyBorder="1" applyAlignment="1">
      <alignment horizontal="right"/>
    </xf>
    <xf numFmtId="0" fontId="60" fillId="37" borderId="18" xfId="0" applyFont="1" applyFill="1" applyBorder="1" applyAlignment="1">
      <alignment horizontal="left" vertical="center"/>
    </xf>
    <xf numFmtId="0" fontId="0" fillId="37" borderId="18" xfId="0" applyFill="1" applyBorder="1"/>
    <xf numFmtId="0" fontId="9" fillId="37" borderId="18" xfId="0" applyFont="1" applyFill="1" applyBorder="1"/>
    <xf numFmtId="0" fontId="18" fillId="37" borderId="18" xfId="0" applyFont="1" applyFill="1" applyBorder="1" applyAlignment="1">
      <alignment vertical="center" wrapText="1"/>
    </xf>
    <xf numFmtId="0" fontId="53" fillId="37" borderId="18" xfId="0" applyFont="1" applyFill="1" applyBorder="1" applyAlignment="1">
      <alignment horizontal="center" vertical="center"/>
    </xf>
    <xf numFmtId="0" fontId="43" fillId="37" borderId="18" xfId="0" applyFont="1" applyFill="1" applyBorder="1"/>
    <xf numFmtId="0" fontId="67" fillId="15" borderId="0" xfId="0" applyFont="1" applyFill="1" applyAlignment="1">
      <alignment horizontal="center"/>
    </xf>
    <xf numFmtId="0" fontId="0" fillId="23" borderId="0" xfId="0" applyFill="1"/>
    <xf numFmtId="0" fontId="78" fillId="37" borderId="0" xfId="0" applyFont="1" applyFill="1"/>
    <xf numFmtId="0" fontId="69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8" fillId="37" borderId="8" xfId="0" applyFont="1" applyFill="1" applyBorder="1" applyAlignment="1">
      <alignment vertical="center" wrapText="1"/>
    </xf>
    <xf numFmtId="0" fontId="79" fillId="0" borderId="0" xfId="0" applyFont="1"/>
    <xf numFmtId="0" fontId="80" fillId="0" borderId="0" xfId="0" applyFont="1"/>
    <xf numFmtId="0" fontId="8" fillId="0" borderId="0" xfId="0" applyFont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15" borderId="8" xfId="0" applyFont="1" applyFill="1" applyBorder="1"/>
    <xf numFmtId="0" fontId="18" fillId="22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14" borderId="8" xfId="0" applyFont="1" applyFill="1" applyBorder="1" applyAlignment="1">
      <alignment vertical="center" wrapText="1"/>
    </xf>
    <xf numFmtId="0" fontId="8" fillId="14" borderId="8" xfId="0" applyFont="1" applyFill="1" applyBorder="1"/>
    <xf numFmtId="0" fontId="20" fillId="0" borderId="0" xfId="0" applyFont="1" applyAlignment="1">
      <alignment vertical="center" wrapText="1"/>
    </xf>
    <xf numFmtId="0" fontId="8" fillId="15" borderId="0" xfId="0" applyFont="1" applyFill="1" applyAlignment="1">
      <alignment horizontal="center"/>
    </xf>
    <xf numFmtId="0" fontId="8" fillId="24" borderId="8" xfId="0" applyFont="1" applyFill="1" applyBorder="1" applyAlignment="1">
      <alignment horizontal="left" vertical="center" wrapText="1"/>
    </xf>
    <xf numFmtId="0" fontId="18" fillId="22" borderId="14" xfId="0" applyFont="1" applyFill="1" applyBorder="1" applyAlignment="1">
      <alignment horizontal="center" vertical="center" wrapText="1"/>
    </xf>
    <xf numFmtId="0" fontId="10" fillId="18" borderId="14" xfId="0" applyFont="1" applyFill="1" applyBorder="1"/>
    <xf numFmtId="0" fontId="8" fillId="0" borderId="14" xfId="0" applyFont="1" applyBorder="1"/>
    <xf numFmtId="0" fontId="10" fillId="0" borderId="14" xfId="0" applyFont="1" applyBorder="1"/>
    <xf numFmtId="0" fontId="17" fillId="24" borderId="14" xfId="0" applyFont="1" applyFill="1" applyBorder="1" applyAlignment="1">
      <alignment horizontal="left" vertical="center" wrapText="1"/>
    </xf>
    <xf numFmtId="0" fontId="10" fillId="15" borderId="14" xfId="0" applyFont="1" applyFill="1" applyBorder="1"/>
    <xf numFmtId="0" fontId="17" fillId="15" borderId="14" xfId="0" applyFont="1" applyFill="1" applyBorder="1"/>
    <xf numFmtId="0" fontId="36" fillId="22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7" fillId="0" borderId="8" xfId="0" applyFont="1" applyBorder="1"/>
    <xf numFmtId="0" fontId="17" fillId="14" borderId="14" xfId="0" applyFont="1" applyFill="1" applyBorder="1"/>
    <xf numFmtId="9" fontId="8" fillId="15" borderId="8" xfId="0" applyNumberFormat="1" applyFont="1" applyFill="1" applyBorder="1"/>
    <xf numFmtId="0" fontId="17" fillId="18" borderId="14" xfId="0" applyFont="1" applyFill="1" applyBorder="1"/>
    <xf numFmtId="0" fontId="17" fillId="22" borderId="8" xfId="0" applyFont="1" applyFill="1" applyBorder="1" applyAlignment="1">
      <alignment horizontal="center" vertical="center" wrapText="1"/>
    </xf>
    <xf numFmtId="0" fontId="81" fillId="0" borderId="0" xfId="0" applyFont="1"/>
    <xf numFmtId="0" fontId="32" fillId="0" borderId="0" xfId="0" applyFont="1"/>
    <xf numFmtId="0" fontId="18" fillId="19" borderId="8" xfId="0" applyFont="1" applyFill="1" applyBorder="1" applyAlignment="1">
      <alignment horizontal="center" wrapText="1"/>
    </xf>
    <xf numFmtId="0" fontId="28" fillId="0" borderId="8" xfId="0" applyFont="1" applyBorder="1"/>
    <xf numFmtId="0" fontId="28" fillId="25" borderId="8" xfId="0" applyFont="1" applyFill="1" applyBorder="1"/>
    <xf numFmtId="2" fontId="28" fillId="0" borderId="8" xfId="0" applyNumberFormat="1" applyFont="1" applyBorder="1"/>
    <xf numFmtId="3" fontId="28" fillId="25" borderId="8" xfId="0" applyNumberFormat="1" applyFont="1" applyFill="1" applyBorder="1"/>
    <xf numFmtId="3" fontId="28" fillId="0" borderId="8" xfId="0" applyNumberFormat="1" applyFont="1" applyBorder="1"/>
    <xf numFmtId="3" fontId="28" fillId="15" borderId="8" xfId="0" applyNumberFormat="1" applyFont="1" applyFill="1" applyBorder="1"/>
    <xf numFmtId="3" fontId="28" fillId="14" borderId="8" xfId="0" applyNumberFormat="1" applyFont="1" applyFill="1" applyBorder="1"/>
    <xf numFmtId="0" fontId="18" fillId="19" borderId="8" xfId="0" applyFont="1" applyFill="1" applyBorder="1" applyAlignment="1">
      <alignment horizontal="center"/>
    </xf>
    <xf numFmtId="0" fontId="42" fillId="19" borderId="8" xfId="0" applyFont="1" applyFill="1" applyBorder="1" applyAlignment="1">
      <alignment horizontal="center" vertical="center"/>
    </xf>
    <xf numFmtId="0" fontId="41" fillId="0" borderId="8" xfId="0" applyFont="1" applyBorder="1" applyAlignment="1">
      <alignment horizontal="left" vertical="center"/>
    </xf>
    <xf numFmtId="2" fontId="41" fillId="0" borderId="8" xfId="0" applyNumberFormat="1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8" xfId="0" applyFont="1" applyBorder="1" applyAlignment="1">
      <alignment horizontal="left" vertical="center"/>
    </xf>
    <xf numFmtId="188" fontId="43" fillId="0" borderId="8" xfId="0" applyNumberFormat="1" applyFont="1" applyBorder="1" applyAlignment="1">
      <alignment horizontal="center" vertical="center"/>
    </xf>
    <xf numFmtId="1" fontId="43" fillId="0" borderId="8" xfId="0" applyNumberFormat="1" applyFont="1" applyBorder="1" applyAlignment="1">
      <alignment horizontal="center" vertical="center"/>
    </xf>
    <xf numFmtId="1" fontId="43" fillId="15" borderId="8" xfId="0" applyNumberFormat="1" applyFont="1" applyFill="1" applyBorder="1" applyAlignment="1">
      <alignment horizontal="center" vertical="center"/>
    </xf>
    <xf numFmtId="189" fontId="41" fillId="0" borderId="8" xfId="0" applyNumberFormat="1" applyFont="1" applyBorder="1" applyAlignment="1">
      <alignment horizontal="center" vertical="center"/>
    </xf>
    <xf numFmtId="1" fontId="41" fillId="15" borderId="8" xfId="0" applyNumberFormat="1" applyFont="1" applyFill="1" applyBorder="1" applyAlignment="1">
      <alignment horizontal="center" vertical="center"/>
    </xf>
    <xf numFmtId="0" fontId="42" fillId="19" borderId="8" xfId="0" applyFont="1" applyFill="1" applyBorder="1" applyAlignment="1">
      <alignment horizontal="left" vertical="center"/>
    </xf>
    <xf numFmtId="3" fontId="42" fillId="19" borderId="8" xfId="0" applyNumberFormat="1" applyFont="1" applyFill="1" applyBorder="1" applyAlignment="1">
      <alignment horizontal="center" vertical="center"/>
    </xf>
    <xf numFmtId="0" fontId="41" fillId="14" borderId="8" xfId="0" applyFont="1" applyFill="1" applyBorder="1" applyAlignment="1">
      <alignment horizontal="left" vertical="center"/>
    </xf>
    <xf numFmtId="3" fontId="41" fillId="14" borderId="8" xfId="0" applyNumberFormat="1" applyFont="1" applyFill="1" applyBorder="1" applyAlignment="1">
      <alignment horizontal="center" vertical="center"/>
    </xf>
    <xf numFmtId="3" fontId="26" fillId="0" borderId="0" xfId="0" applyNumberFormat="1" applyFont="1"/>
    <xf numFmtId="3" fontId="41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18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14" borderId="8" xfId="0" applyFont="1" applyFill="1" applyBorder="1" applyAlignment="1">
      <alignment horizontal="left" vertical="center" wrapText="1"/>
    </xf>
    <xf numFmtId="0" fontId="8" fillId="14" borderId="8" xfId="0" applyFont="1" applyFill="1" applyBorder="1" applyAlignment="1">
      <alignment horizontal="center"/>
    </xf>
    <xf numFmtId="0" fontId="20" fillId="0" borderId="0" xfId="0" applyFont="1" applyAlignment="1">
      <alignment horizontal="left" vertical="center" wrapText="1"/>
    </xf>
    <xf numFmtId="3" fontId="12" fillId="16" borderId="8" xfId="0" applyNumberFormat="1" applyFont="1" applyFill="1" applyBorder="1" applyAlignment="1">
      <alignment horizontal="right"/>
    </xf>
    <xf numFmtId="0" fontId="60" fillId="0" borderId="0" xfId="0" applyFont="1" applyAlignment="1">
      <alignment horizontal="right" vertical="center"/>
    </xf>
    <xf numFmtId="0" fontId="12" fillId="37" borderId="17" xfId="0" applyFont="1" applyFill="1" applyBorder="1" applyAlignment="1">
      <alignment horizontal="center" vertical="center"/>
    </xf>
    <xf numFmtId="0" fontId="60" fillId="0" borderId="0" xfId="0" applyFont="1" applyAlignment="1">
      <alignment horizontal="right"/>
    </xf>
    <xf numFmtId="0" fontId="8" fillId="37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0" fontId="64" fillId="37" borderId="0" xfId="0" applyFont="1" applyFill="1" applyAlignment="1">
      <alignment horizontal="center" vertical="center"/>
    </xf>
    <xf numFmtId="0" fontId="64" fillId="37" borderId="18" xfId="0" applyFont="1" applyFill="1" applyBorder="1" applyAlignment="1">
      <alignment horizontal="center" vertical="center"/>
    </xf>
    <xf numFmtId="0" fontId="60" fillId="0" borderId="18" xfId="0" applyFont="1" applyBorder="1" applyAlignment="1">
      <alignment horizontal="left" vertical="center"/>
    </xf>
    <xf numFmtId="0" fontId="64" fillId="37" borderId="18" xfId="0" applyFont="1" applyFill="1" applyBorder="1" applyAlignment="1">
      <alignment horizontal="left" vertical="center"/>
    </xf>
    <xf numFmtId="0" fontId="83" fillId="0" borderId="0" xfId="0" applyFont="1"/>
    <xf numFmtId="0" fontId="84" fillId="0" borderId="0" xfId="0" applyFont="1"/>
    <xf numFmtId="0" fontId="10" fillId="0" borderId="0" xfId="0" applyFont="1" applyAlignment="1">
      <alignment vertical="center" wrapText="1"/>
    </xf>
    <xf numFmtId="1" fontId="0" fillId="0" borderId="0" xfId="0" applyNumberFormat="1"/>
    <xf numFmtId="0" fontId="85" fillId="18" borderId="8" xfId="0" applyFont="1" applyFill="1" applyBorder="1" applyAlignment="1">
      <alignment horizontal="center" vertical="center" wrapText="1"/>
    </xf>
    <xf numFmtId="0" fontId="85" fillId="18" borderId="8" xfId="0" applyFont="1" applyFill="1" applyBorder="1"/>
    <xf numFmtId="0" fontId="86" fillId="18" borderId="0" xfId="0" applyFont="1" applyFill="1"/>
    <xf numFmtId="0" fontId="86" fillId="18" borderId="0" xfId="0" applyFont="1" applyFill="1" applyAlignment="1">
      <alignment horizontal="center" vertical="center"/>
    </xf>
    <xf numFmtId="0" fontId="87" fillId="18" borderId="14" xfId="0" applyFont="1" applyFill="1" applyBorder="1"/>
    <xf numFmtId="0" fontId="88" fillId="18" borderId="8" xfId="0" applyFont="1" applyFill="1" applyBorder="1" applyAlignment="1">
      <alignment horizontal="center" vertical="center"/>
    </xf>
    <xf numFmtId="3" fontId="9" fillId="40" borderId="8" xfId="0" applyNumberFormat="1" applyFont="1" applyFill="1" applyBorder="1" applyAlignment="1">
      <alignment horizontal="center" vertical="center"/>
    </xf>
    <xf numFmtId="0" fontId="91" fillId="0" borderId="0" xfId="0" applyFont="1"/>
    <xf numFmtId="49" fontId="0" fillId="0" borderId="8" xfId="0" applyNumberFormat="1" applyBorder="1"/>
    <xf numFmtId="3" fontId="0" fillId="14" borderId="19" xfId="0" applyNumberFormat="1" applyFill="1" applyBorder="1" applyAlignment="1">
      <alignment horizontal="right"/>
    </xf>
    <xf numFmtId="0" fontId="94" fillId="41" borderId="0" xfId="0" applyFont="1" applyFill="1"/>
    <xf numFmtId="0" fontId="94" fillId="0" borderId="0" xfId="0" applyFont="1"/>
    <xf numFmtId="0" fontId="0" fillId="0" borderId="0" xfId="0" applyAlignment="1">
      <alignment horizontal="right"/>
    </xf>
    <xf numFmtId="0" fontId="95" fillId="43" borderId="0" xfId="0" applyFont="1" applyFill="1"/>
    <xf numFmtId="0" fontId="96" fillId="43" borderId="0" xfId="0" applyFont="1" applyFill="1"/>
    <xf numFmtId="0" fontId="97" fillId="43" borderId="0" xfId="0" applyFont="1" applyFill="1" applyAlignment="1">
      <alignment vertical="center" wrapText="1"/>
    </xf>
    <xf numFmtId="0" fontId="96" fillId="43" borderId="8" xfId="0" applyFont="1" applyFill="1" applyBorder="1"/>
    <xf numFmtId="194" fontId="98" fillId="43" borderId="0" xfId="0" applyNumberFormat="1" applyFont="1" applyFill="1" applyAlignment="1">
      <alignment horizontal="right"/>
    </xf>
    <xf numFmtId="0" fontId="98" fillId="43" borderId="0" xfId="0" applyFont="1" applyFill="1" applyAlignment="1">
      <alignment horizontal="center"/>
    </xf>
    <xf numFmtId="194" fontId="99" fillId="43" borderId="0" xfId="0" applyNumberFormat="1" applyFont="1" applyFill="1" applyAlignment="1">
      <alignment horizontal="right"/>
    </xf>
    <xf numFmtId="0" fontId="99" fillId="43" borderId="0" xfId="0" applyFont="1" applyFill="1" applyAlignment="1">
      <alignment horizontal="center"/>
    </xf>
    <xf numFmtId="0" fontId="100" fillId="43" borderId="0" xfId="0" applyFont="1" applyFill="1"/>
    <xf numFmtId="0" fontId="101" fillId="43" borderId="0" xfId="0" applyFont="1" applyFill="1" applyAlignment="1">
      <alignment vertical="center" wrapText="1"/>
    </xf>
    <xf numFmtId="0" fontId="91" fillId="43" borderId="9" xfId="0" applyFont="1" applyFill="1" applyBorder="1"/>
    <xf numFmtId="0" fontId="91" fillId="43" borderId="0" xfId="0" applyFont="1" applyFill="1"/>
    <xf numFmtId="0" fontId="9" fillId="0" borderId="9" xfId="0" applyFont="1" applyBorder="1"/>
    <xf numFmtId="0" fontId="96" fillId="43" borderId="9" xfId="0" applyFont="1" applyFill="1" applyBorder="1"/>
    <xf numFmtId="0" fontId="9" fillId="40" borderId="1" xfId="0" applyFont="1" applyFill="1" applyBorder="1"/>
    <xf numFmtId="0" fontId="0" fillId="40" borderId="0" xfId="0" applyFill="1"/>
    <xf numFmtId="194" fontId="74" fillId="40" borderId="1" xfId="0" applyNumberFormat="1" applyFont="1" applyFill="1" applyBorder="1"/>
    <xf numFmtId="0" fontId="67" fillId="40" borderId="1" xfId="0" applyFont="1" applyFill="1" applyBorder="1"/>
    <xf numFmtId="0" fontId="9" fillId="40" borderId="9" xfId="0" applyFont="1" applyFill="1" applyBorder="1"/>
    <xf numFmtId="194" fontId="74" fillId="40" borderId="1" xfId="0" applyNumberFormat="1" applyFont="1" applyFill="1" applyBorder="1" applyAlignment="1">
      <alignment horizontal="right"/>
    </xf>
    <xf numFmtId="0" fontId="67" fillId="40" borderId="1" xfId="0" applyFont="1" applyFill="1" applyBorder="1" applyAlignment="1">
      <alignment horizontal="center"/>
    </xf>
    <xf numFmtId="194" fontId="74" fillId="40" borderId="0" xfId="0" applyNumberFormat="1" applyFont="1" applyFill="1" applyAlignment="1">
      <alignment horizontal="right"/>
    </xf>
    <xf numFmtId="0" fontId="67" fillId="40" borderId="0" xfId="0" applyFont="1" applyFill="1" applyAlignment="1">
      <alignment horizontal="center"/>
    </xf>
    <xf numFmtId="195" fontId="59" fillId="40" borderId="8" xfId="0" applyNumberFormat="1" applyFont="1" applyFill="1" applyBorder="1"/>
    <xf numFmtId="0" fontId="0" fillId="40" borderId="8" xfId="0" applyFill="1" applyBorder="1"/>
    <xf numFmtId="0" fontId="9" fillId="40" borderId="0" xfId="0" applyFont="1" applyFill="1"/>
    <xf numFmtId="195" fontId="0" fillId="40" borderId="8" xfId="0" applyNumberFormat="1" applyFill="1" applyBorder="1"/>
    <xf numFmtId="0" fontId="0" fillId="44" borderId="0" xfId="0" applyFill="1"/>
    <xf numFmtId="0" fontId="91" fillId="44" borderId="0" xfId="0" applyFont="1" applyFill="1"/>
    <xf numFmtId="196" fontId="0" fillId="42" borderId="0" xfId="0" applyNumberFormat="1" applyFill="1"/>
    <xf numFmtId="1" fontId="9" fillId="42" borderId="0" xfId="0" applyNumberFormat="1" applyFont="1" applyFill="1"/>
    <xf numFmtId="188" fontId="0" fillId="40" borderId="0" xfId="0" applyNumberFormat="1" applyFill="1"/>
    <xf numFmtId="196" fontId="67" fillId="42" borderId="0" xfId="0" applyNumberFormat="1" applyFont="1" applyFill="1"/>
    <xf numFmtId="1" fontId="0" fillId="42" borderId="0" xfId="0" applyNumberFormat="1" applyFill="1"/>
    <xf numFmtId="196" fontId="67" fillId="42" borderId="0" xfId="0" applyNumberFormat="1" applyFont="1" applyFill="1" applyAlignment="1">
      <alignment horizontal="center"/>
    </xf>
    <xf numFmtId="0" fontId="89" fillId="0" borderId="0" xfId="1"/>
    <xf numFmtId="0" fontId="102" fillId="43" borderId="0" xfId="0" applyFont="1" applyFill="1"/>
    <xf numFmtId="0" fontId="30" fillId="40" borderId="8" xfId="0" applyFont="1" applyFill="1" applyBorder="1" applyAlignment="1">
      <alignment horizontal="left" vertical="center"/>
    </xf>
    <xf numFmtId="0" fontId="30" fillId="42" borderId="8" xfId="0" applyFont="1" applyFill="1" applyBorder="1" applyAlignment="1">
      <alignment horizontal="left" vertical="center"/>
    </xf>
    <xf numFmtId="0" fontId="30" fillId="42" borderId="8" xfId="0" applyFont="1" applyFill="1" applyBorder="1" applyAlignment="1">
      <alignment horizontal="right" vertical="center"/>
    </xf>
    <xf numFmtId="0" fontId="30" fillId="42" borderId="0" xfId="0" applyFont="1" applyFill="1"/>
    <xf numFmtId="0" fontId="102" fillId="43" borderId="8" xfId="0" applyFont="1" applyFill="1" applyBorder="1" applyAlignment="1">
      <alignment horizontal="center" vertical="center" wrapText="1"/>
    </xf>
    <xf numFmtId="0" fontId="95" fillId="43" borderId="9" xfId="0" applyFont="1" applyFill="1" applyBorder="1" applyAlignment="1">
      <alignment wrapText="1"/>
    </xf>
    <xf numFmtId="0" fontId="102" fillId="43" borderId="18" xfId="0" applyFont="1" applyFill="1" applyBorder="1" applyAlignment="1">
      <alignment horizontal="center" vertical="center" wrapText="1"/>
    </xf>
    <xf numFmtId="0" fontId="0" fillId="42" borderId="0" xfId="0" applyFill="1"/>
    <xf numFmtId="0" fontId="103" fillId="44" borderId="0" xfId="1" applyFont="1" applyFill="1"/>
    <xf numFmtId="0" fontId="103" fillId="44" borderId="18" xfId="1" applyFont="1" applyFill="1" applyBorder="1" applyAlignment="1">
      <alignment horizontal="left" vertical="center"/>
    </xf>
    <xf numFmtId="0" fontId="104" fillId="0" borderId="8" xfId="0" applyFont="1" applyBorder="1" applyAlignment="1">
      <alignment vertical="center" wrapText="1"/>
    </xf>
    <xf numFmtId="3" fontId="23" fillId="42" borderId="10" xfId="0" applyNumberFormat="1" applyFont="1" applyFill="1" applyBorder="1" applyAlignment="1">
      <alignment horizontal="right" vertical="center"/>
    </xf>
    <xf numFmtId="0" fontId="105" fillId="0" borderId="1" xfId="0" applyFont="1" applyBorder="1"/>
    <xf numFmtId="3" fontId="9" fillId="40" borderId="1" xfId="0" applyNumberFormat="1" applyFont="1" applyFill="1" applyBorder="1" applyAlignment="1">
      <alignment horizontal="right"/>
    </xf>
    <xf numFmtId="3" fontId="9" fillId="46" borderId="1" xfId="0" applyNumberFormat="1" applyFont="1" applyFill="1" applyBorder="1" applyAlignment="1">
      <alignment horizontal="right"/>
    </xf>
    <xf numFmtId="0" fontId="6" fillId="40" borderId="0" xfId="0" applyFont="1" applyFill="1"/>
    <xf numFmtId="0" fontId="9" fillId="40" borderId="1" xfId="0" applyFont="1" applyFill="1" applyBorder="1" applyAlignment="1">
      <alignment horizontal="center"/>
    </xf>
    <xf numFmtId="0" fontId="9" fillId="44" borderId="0" xfId="0" applyFont="1" applyFill="1"/>
    <xf numFmtId="0" fontId="8" fillId="37" borderId="8" xfId="0" applyFont="1" applyFill="1" applyBorder="1"/>
    <xf numFmtId="3" fontId="9" fillId="44" borderId="1" xfId="0" applyNumberFormat="1" applyFont="1" applyFill="1" applyBorder="1"/>
    <xf numFmtId="3" fontId="9" fillId="47" borderId="1" xfId="0" applyNumberFormat="1" applyFont="1" applyFill="1" applyBorder="1"/>
    <xf numFmtId="0" fontId="91" fillId="45" borderId="0" xfId="0" applyFont="1" applyFill="1"/>
    <xf numFmtId="0" fontId="9" fillId="41" borderId="8" xfId="0" applyFont="1" applyFill="1" applyBorder="1" applyAlignment="1">
      <alignment horizontal="center" vertical="center"/>
    </xf>
    <xf numFmtId="0" fontId="9" fillId="41" borderId="8" xfId="0" applyFont="1" applyFill="1" applyBorder="1" applyAlignment="1">
      <alignment horizontal="left" vertical="center"/>
    </xf>
    <xf numFmtId="3" fontId="9" fillId="41" borderId="8" xfId="0" applyNumberFormat="1" applyFont="1" applyFill="1" applyBorder="1" applyAlignment="1">
      <alignment horizontal="center" vertical="center"/>
    </xf>
    <xf numFmtId="0" fontId="0" fillId="41" borderId="0" xfId="0" applyFill="1"/>
    <xf numFmtId="0" fontId="0" fillId="41" borderId="8" xfId="0" applyFill="1" applyBorder="1"/>
    <xf numFmtId="0" fontId="91" fillId="48" borderId="0" xfId="0" applyFont="1" applyFill="1"/>
    <xf numFmtId="189" fontId="0" fillId="40" borderId="0" xfId="0" applyNumberFormat="1" applyFill="1"/>
    <xf numFmtId="3" fontId="0" fillId="40" borderId="0" xfId="0" applyNumberFormat="1" applyFill="1"/>
    <xf numFmtId="0" fontId="9" fillId="49" borderId="8" xfId="0" applyFont="1" applyFill="1" applyBorder="1" applyAlignment="1">
      <alignment horizontal="center" vertical="center"/>
    </xf>
    <xf numFmtId="0" fontId="9" fillId="49" borderId="8" xfId="0" applyFont="1" applyFill="1" applyBorder="1" applyAlignment="1">
      <alignment horizontal="left" vertical="center"/>
    </xf>
    <xf numFmtId="3" fontId="9" fillId="49" borderId="8" xfId="0" applyNumberFormat="1" applyFont="1" applyFill="1" applyBorder="1" applyAlignment="1">
      <alignment horizontal="center" vertical="center"/>
    </xf>
    <xf numFmtId="0" fontId="0" fillId="49" borderId="0" xfId="0" applyFill="1"/>
    <xf numFmtId="191" fontId="9" fillId="0" borderId="8" xfId="0" applyNumberFormat="1" applyFont="1" applyBorder="1" applyAlignment="1">
      <alignment horizontal="center" vertical="center" wrapText="1"/>
    </xf>
    <xf numFmtId="191" fontId="9" fillId="3" borderId="8" xfId="0" applyNumberFormat="1" applyFont="1" applyFill="1" applyBorder="1" applyAlignment="1">
      <alignment horizontal="right" vertical="center"/>
    </xf>
    <xf numFmtId="0" fontId="90" fillId="40" borderId="14" xfId="1" applyFont="1" applyFill="1" applyBorder="1" applyAlignment="1">
      <alignment horizontal="left" vertical="center"/>
    </xf>
    <xf numFmtId="0" fontId="90" fillId="51" borderId="14" xfId="1" applyFont="1" applyFill="1" applyBorder="1" applyAlignment="1">
      <alignment horizontal="left" vertical="center"/>
    </xf>
    <xf numFmtId="0" fontId="0" fillId="51" borderId="0" xfId="0" applyFill="1"/>
    <xf numFmtId="0" fontId="89" fillId="51" borderId="9" xfId="1" applyFill="1" applyBorder="1"/>
    <xf numFmtId="0" fontId="0" fillId="51" borderId="9" xfId="0" applyFill="1" applyBorder="1"/>
    <xf numFmtId="0" fontId="90" fillId="51" borderId="9" xfId="1" applyFont="1" applyFill="1" applyBorder="1"/>
    <xf numFmtId="0" fontId="90" fillId="51" borderId="9" xfId="1" applyFont="1" applyFill="1" applyBorder="1" applyAlignment="1">
      <alignment horizontal="left" vertical="center"/>
    </xf>
    <xf numFmtId="0" fontId="96" fillId="52" borderId="8" xfId="0" applyFont="1" applyFill="1" applyBorder="1" applyAlignment="1">
      <alignment horizontal="center" wrapText="1"/>
    </xf>
    <xf numFmtId="0" fontId="8" fillId="1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13" borderId="0" xfId="0" applyNumberFormat="1" applyFill="1"/>
    <xf numFmtId="9" fontId="0" fillId="13" borderId="0" xfId="0" applyNumberFormat="1" applyFill="1"/>
    <xf numFmtId="9" fontId="0" fillId="0" borderId="0" xfId="0" applyNumberFormat="1"/>
    <xf numFmtId="0" fontId="91" fillId="53" borderId="0" xfId="0" applyFont="1" applyFill="1"/>
    <xf numFmtId="3" fontId="91" fillId="53" borderId="0" xfId="0" applyNumberFormat="1" applyFont="1" applyFill="1"/>
    <xf numFmtId="0" fontId="0" fillId="0" borderId="22" xfId="0" applyBorder="1"/>
    <xf numFmtId="0" fontId="0" fillId="54" borderId="22" xfId="0" applyFill="1" applyBorder="1"/>
    <xf numFmtId="0" fontId="10" fillId="40" borderId="0" xfId="0" applyFont="1" applyFill="1" applyAlignment="1">
      <alignment horizontal="center"/>
    </xf>
    <xf numFmtId="0" fontId="107" fillId="0" borderId="0" xfId="0" applyFont="1"/>
    <xf numFmtId="0" fontId="0" fillId="0" borderId="23" xfId="0" applyBorder="1"/>
    <xf numFmtId="0" fontId="69" fillId="0" borderId="23" xfId="0" applyFont="1" applyBorder="1" applyAlignment="1">
      <alignment horizontal="center" vertical="center"/>
    </xf>
    <xf numFmtId="0" fontId="91" fillId="0" borderId="23" xfId="0" applyFont="1" applyBorder="1"/>
    <xf numFmtId="3" fontId="0" fillId="0" borderId="23" xfId="0" applyNumberFormat="1" applyBorder="1"/>
    <xf numFmtId="3" fontId="91" fillId="0" borderId="23" xfId="0" applyNumberFormat="1" applyFont="1" applyBorder="1"/>
    <xf numFmtId="0" fontId="91" fillId="50" borderId="23" xfId="0" applyFont="1" applyFill="1" applyBorder="1"/>
    <xf numFmtId="0" fontId="0" fillId="50" borderId="23" xfId="0" applyFill="1" applyBorder="1"/>
    <xf numFmtId="3" fontId="67" fillId="20" borderId="19" xfId="0" applyNumberFormat="1" applyFont="1" applyFill="1" applyBorder="1" applyAlignment="1">
      <alignment horizontal="right"/>
    </xf>
    <xf numFmtId="0" fontId="0" fillId="54" borderId="23" xfId="0" applyFill="1" applyBorder="1"/>
    <xf numFmtId="0" fontId="0" fillId="0" borderId="28" xfId="0" applyBorder="1"/>
    <xf numFmtId="0" fontId="0" fillId="0" borderId="29" xfId="0" applyBorder="1"/>
    <xf numFmtId="0" fontId="93" fillId="41" borderId="28" xfId="0" applyFont="1" applyFill="1" applyBorder="1" applyAlignment="1">
      <alignment horizontal="center"/>
    </xf>
    <xf numFmtId="0" fontId="93" fillId="41" borderId="29" xfId="0" applyFont="1" applyFill="1" applyBorder="1"/>
    <xf numFmtId="0" fontId="93" fillId="0" borderId="28" xfId="0" applyFont="1" applyBorder="1" applyAlignment="1">
      <alignment horizontal="center"/>
    </xf>
    <xf numFmtId="0" fontId="93" fillId="0" borderId="29" xfId="0" applyFont="1" applyBorder="1"/>
    <xf numFmtId="0" fontId="93" fillId="41" borderId="31" xfId="0" applyFont="1" applyFill="1" applyBorder="1" applyAlignment="1">
      <alignment horizontal="center"/>
    </xf>
    <xf numFmtId="0" fontId="93" fillId="41" borderId="32" xfId="0" applyFont="1" applyFill="1" applyBorder="1"/>
    <xf numFmtId="0" fontId="110" fillId="55" borderId="25" xfId="0" applyFont="1" applyFill="1" applyBorder="1" applyAlignment="1">
      <alignment horizontal="center" vertical="center" wrapText="1"/>
    </xf>
    <xf numFmtId="0" fontId="109" fillId="55" borderId="24" xfId="0" applyFont="1" applyFill="1" applyBorder="1" applyAlignment="1">
      <alignment horizontal="center" vertical="center" wrapText="1"/>
    </xf>
    <xf numFmtId="0" fontId="109" fillId="55" borderId="25" xfId="0" applyFont="1" applyFill="1" applyBorder="1" applyAlignment="1">
      <alignment horizontal="center" vertical="center" wrapText="1"/>
    </xf>
    <xf numFmtId="0" fontId="111" fillId="55" borderId="26" xfId="0" applyFont="1" applyFill="1" applyBorder="1" applyAlignment="1">
      <alignment horizontal="center" vertical="center" wrapText="1"/>
    </xf>
    <xf numFmtId="3" fontId="9" fillId="23" borderId="28" xfId="0" applyNumberFormat="1" applyFont="1" applyFill="1" applyBorder="1" applyAlignment="1">
      <alignment horizontal="right"/>
    </xf>
    <xf numFmtId="3" fontId="92" fillId="41" borderId="28" xfId="0" applyNumberFormat="1" applyFont="1" applyFill="1" applyBorder="1" applyAlignment="1">
      <alignment horizontal="right"/>
    </xf>
    <xf numFmtId="3" fontId="92" fillId="42" borderId="28" xfId="0" applyNumberFormat="1" applyFont="1" applyFill="1" applyBorder="1" applyAlignment="1">
      <alignment horizontal="right"/>
    </xf>
    <xf numFmtId="3" fontId="94" fillId="41" borderId="28" xfId="0" applyNumberFormat="1" applyFont="1" applyFill="1" applyBorder="1" applyAlignment="1">
      <alignment horizontal="right"/>
    </xf>
    <xf numFmtId="3" fontId="0" fillId="23" borderId="28" xfId="0" applyNumberFormat="1" applyFill="1" applyBorder="1" applyAlignment="1">
      <alignment horizontal="right"/>
    </xf>
    <xf numFmtId="3" fontId="94" fillId="41" borderId="31" xfId="0" applyNumberFormat="1" applyFont="1" applyFill="1" applyBorder="1" applyAlignment="1">
      <alignment horizontal="right"/>
    </xf>
    <xf numFmtId="0" fontId="0" fillId="0" borderId="28" xfId="0" applyBorder="1" applyAlignment="1">
      <alignment horizontal="center"/>
    </xf>
    <xf numFmtId="0" fontId="9" fillId="0" borderId="27" xfId="0" applyFont="1" applyBorder="1" applyAlignment="1">
      <alignment horizontal="left" indent="1"/>
    </xf>
    <xf numFmtId="0" fontId="92" fillId="41" borderId="27" xfId="0" applyFont="1" applyFill="1" applyBorder="1" applyAlignment="1">
      <alignment horizontal="left" indent="1"/>
    </xf>
    <xf numFmtId="0" fontId="92" fillId="0" borderId="27" xfId="0" applyFont="1" applyBorder="1" applyAlignment="1">
      <alignment horizontal="left" indent="1"/>
    </xf>
    <xf numFmtId="0" fontId="94" fillId="41" borderId="27" xfId="0" applyFont="1" applyFill="1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94" fillId="41" borderId="30" xfId="0" applyFont="1" applyFill="1" applyBorder="1" applyAlignment="1">
      <alignment horizontal="left" indent="1"/>
    </xf>
    <xf numFmtId="0" fontId="0" fillId="0" borderId="31" xfId="0" applyBorder="1"/>
    <xf numFmtId="0" fontId="108" fillId="55" borderId="24" xfId="0" applyFont="1" applyFill="1" applyBorder="1" applyAlignment="1">
      <alignment horizontal="center" vertical="center" wrapText="1"/>
    </xf>
    <xf numFmtId="0" fontId="108" fillId="55" borderId="25" xfId="0" applyFont="1" applyFill="1" applyBorder="1" applyAlignment="1">
      <alignment horizontal="center" vertical="center" wrapText="1"/>
    </xf>
    <xf numFmtId="0" fontId="108" fillId="55" borderId="26" xfId="0" applyFont="1" applyFill="1" applyBorder="1" applyAlignment="1">
      <alignment horizontal="center" vertical="center" wrapText="1"/>
    </xf>
    <xf numFmtId="3" fontId="0" fillId="0" borderId="28" xfId="0" applyNumberFormat="1" applyBorder="1"/>
    <xf numFmtId="3" fontId="0" fillId="0" borderId="29" xfId="0" applyNumberFormat="1" applyBorder="1"/>
    <xf numFmtId="3" fontId="0" fillId="0" borderId="31" xfId="0" applyNumberFormat="1" applyBorder="1"/>
    <xf numFmtId="3" fontId="0" fillId="0" borderId="32" xfId="0" applyNumberFormat="1" applyBorder="1"/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112" fillId="56" borderId="23" xfId="0" applyFont="1" applyFill="1" applyBorder="1"/>
    <xf numFmtId="3" fontId="113" fillId="50" borderId="23" xfId="0" applyNumberFormat="1" applyFont="1" applyFill="1" applyBorder="1" applyAlignment="1">
      <alignment horizontal="right"/>
    </xf>
    <xf numFmtId="0" fontId="113" fillId="56" borderId="23" xfId="0" applyFont="1" applyFill="1" applyBorder="1" applyAlignment="1">
      <alignment horizontal="right"/>
    </xf>
    <xf numFmtId="0" fontId="114" fillId="57" borderId="23" xfId="0" applyFont="1" applyFill="1" applyBorder="1"/>
    <xf numFmtId="187" fontId="115" fillId="57" borderId="23" xfId="0" applyNumberFormat="1" applyFont="1" applyFill="1" applyBorder="1" applyAlignment="1">
      <alignment horizontal="right"/>
    </xf>
    <xf numFmtId="3" fontId="8" fillId="36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36" borderId="8" xfId="0" applyFont="1" applyFill="1" applyBorder="1" applyAlignment="1" applyProtection="1">
      <alignment horizontal="center" vertical="center" wrapText="1"/>
      <protection locked="0"/>
    </xf>
    <xf numFmtId="0" fontId="8" fillId="36" borderId="8" xfId="0" applyFont="1" applyFill="1" applyBorder="1" applyProtection="1">
      <protection locked="0"/>
    </xf>
    <xf numFmtId="0" fontId="0" fillId="36" borderId="0" xfId="0" applyFill="1" applyProtection="1">
      <protection locked="0"/>
    </xf>
    <xf numFmtId="0" fontId="0" fillId="7" borderId="0" xfId="0" applyFill="1"/>
    <xf numFmtId="0" fontId="8" fillId="7" borderId="8" xfId="0" applyFont="1" applyFill="1" applyBorder="1" applyAlignment="1">
      <alignment horizontal="center" vertical="center" wrapText="1"/>
    </xf>
    <xf numFmtId="191" fontId="9" fillId="36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8" xfId="0" applyFont="1" applyFill="1" applyBorder="1"/>
    <xf numFmtId="0" fontId="9" fillId="36" borderId="0" xfId="0" applyFont="1" applyFill="1" applyProtection="1">
      <protection locked="0"/>
    </xf>
    <xf numFmtId="0" fontId="8" fillId="36" borderId="0" xfId="0" applyFont="1" applyFill="1" applyAlignment="1" applyProtection="1">
      <alignment horizontal="center" vertical="center"/>
      <protection locked="0"/>
    </xf>
    <xf numFmtId="0" fontId="9" fillId="7" borderId="0" xfId="0" applyFont="1" applyFill="1"/>
    <xf numFmtId="49" fontId="8" fillId="36" borderId="8" xfId="0" applyNumberFormat="1" applyFont="1" applyFill="1" applyBorder="1" applyProtection="1">
      <protection locked="0"/>
    </xf>
    <xf numFmtId="3" fontId="9" fillId="36" borderId="1" xfId="0" applyNumberFormat="1" applyFont="1" applyFill="1" applyBorder="1" applyProtection="1">
      <protection locked="0"/>
    </xf>
    <xf numFmtId="0" fontId="8" fillId="36" borderId="1" xfId="0" applyFont="1" applyFill="1" applyBorder="1" applyProtection="1">
      <protection locked="0"/>
    </xf>
    <xf numFmtId="0" fontId="9" fillId="36" borderId="1" xfId="0" applyFont="1" applyFill="1" applyBorder="1" applyProtection="1">
      <protection locked="0"/>
    </xf>
    <xf numFmtId="0" fontId="8" fillId="36" borderId="8" xfId="0" applyFont="1" applyFill="1" applyBorder="1" applyAlignment="1" applyProtection="1">
      <alignment vertical="center"/>
      <protection locked="0"/>
    </xf>
    <xf numFmtId="3" fontId="8" fillId="36" borderId="8" xfId="0" applyNumberFormat="1" applyFont="1" applyFill="1" applyBorder="1" applyAlignment="1" applyProtection="1">
      <alignment vertical="center"/>
      <protection locked="0"/>
    </xf>
    <xf numFmtId="0" fontId="8" fillId="36" borderId="1" xfId="0" applyFont="1" applyFill="1" applyBorder="1" applyAlignment="1" applyProtection="1">
      <alignment horizontal="center" vertical="center"/>
      <protection locked="0"/>
    </xf>
    <xf numFmtId="190" fontId="8" fillId="36" borderId="8" xfId="0" applyNumberFormat="1" applyFont="1" applyFill="1" applyBorder="1" applyAlignment="1" applyProtection="1">
      <alignment vertical="center"/>
      <protection locked="0"/>
    </xf>
    <xf numFmtId="0" fontId="14" fillId="36" borderId="0" xfId="0" applyFont="1" applyFill="1" applyAlignment="1" applyProtection="1">
      <alignment horizontal="left" vertical="center"/>
      <protection locked="0"/>
    </xf>
    <xf numFmtId="0" fontId="14" fillId="7" borderId="0" xfId="0" applyFont="1" applyFill="1" applyAlignment="1">
      <alignment horizontal="left" vertical="center"/>
    </xf>
    <xf numFmtId="191" fontId="8" fillId="36" borderId="8" xfId="0" applyNumberFormat="1" applyFont="1" applyFill="1" applyBorder="1" applyAlignment="1" applyProtection="1">
      <alignment vertical="center"/>
      <protection locked="0"/>
    </xf>
    <xf numFmtId="0" fontId="9" fillId="36" borderId="0" xfId="0" applyFont="1" applyFill="1" applyAlignment="1" applyProtection="1">
      <alignment horizontal="center" vertical="center"/>
      <protection locked="0"/>
    </xf>
    <xf numFmtId="0" fontId="9" fillId="7" borderId="0" xfId="0" applyFont="1" applyFill="1" applyAlignment="1">
      <alignment horizontal="center" vertical="center"/>
    </xf>
    <xf numFmtId="0" fontId="0" fillId="36" borderId="0" xfId="0" applyFill="1" applyAlignment="1" applyProtection="1">
      <alignment horizontal="center"/>
      <protection locked="0"/>
    </xf>
    <xf numFmtId="0" fontId="29" fillId="7" borderId="8" xfId="0" applyFont="1" applyFill="1" applyBorder="1" applyAlignment="1">
      <alignment horizontal="center" vertical="center"/>
    </xf>
    <xf numFmtId="0" fontId="35" fillId="36" borderId="0" xfId="0" applyFont="1" applyFill="1" applyAlignment="1" applyProtection="1">
      <alignment horizontal="left" vertical="center"/>
      <protection locked="0"/>
    </xf>
    <xf numFmtId="0" fontId="35" fillId="7" borderId="0" xfId="0" applyFont="1" applyFill="1" applyAlignment="1">
      <alignment horizontal="left" vertical="center"/>
    </xf>
    <xf numFmtId="0" fontId="8" fillId="36" borderId="0" xfId="0" applyFont="1" applyFill="1" applyProtection="1">
      <protection locked="0"/>
    </xf>
    <xf numFmtId="0" fontId="8" fillId="36" borderId="8" xfId="0" applyFont="1" applyFill="1" applyBorder="1" applyAlignment="1" applyProtection="1">
      <alignment vertical="center" wrapText="1"/>
      <protection locked="0"/>
    </xf>
    <xf numFmtId="0" fontId="9" fillId="36" borderId="0" xfId="0" applyFont="1" applyFill="1" applyAlignment="1" applyProtection="1">
      <alignment vertical="center" wrapText="1"/>
      <protection locked="0"/>
    </xf>
    <xf numFmtId="0" fontId="18" fillId="36" borderId="8" xfId="0" applyFont="1" applyFill="1" applyBorder="1" applyAlignment="1" applyProtection="1">
      <alignment horizontal="center" vertical="center" wrapText="1"/>
      <protection locked="0"/>
    </xf>
    <xf numFmtId="0" fontId="9" fillId="36" borderId="8" xfId="0" applyFont="1" applyFill="1" applyBorder="1" applyAlignment="1" applyProtection="1">
      <alignment horizontal="center" vertical="center" wrapText="1"/>
      <protection locked="0"/>
    </xf>
    <xf numFmtId="0" fontId="20" fillId="36" borderId="0" xfId="0" applyFont="1" applyFill="1" applyAlignment="1" applyProtection="1">
      <alignment vertical="center" wrapText="1"/>
      <protection locked="0"/>
    </xf>
    <xf numFmtId="0" fontId="20" fillId="7" borderId="0" xfId="0" applyFont="1" applyFill="1" applyAlignment="1">
      <alignment vertical="center" wrapText="1"/>
    </xf>
    <xf numFmtId="0" fontId="10" fillId="36" borderId="14" xfId="0" applyFont="1" applyFill="1" applyBorder="1" applyProtection="1">
      <protection locked="0"/>
    </xf>
    <xf numFmtId="0" fontId="36" fillId="36" borderId="14" xfId="0" applyFont="1" applyFill="1" applyBorder="1" applyAlignment="1" applyProtection="1">
      <alignment horizontal="center" vertical="center" wrapText="1"/>
      <protection locked="0"/>
    </xf>
    <xf numFmtId="0" fontId="10" fillId="36" borderId="14" xfId="0" applyFont="1" applyFill="1" applyBorder="1" applyAlignment="1" applyProtection="1">
      <alignment horizontal="center" vertical="center" wrapText="1"/>
      <protection locked="0"/>
    </xf>
    <xf numFmtId="0" fontId="10" fillId="7" borderId="14" xfId="0" applyFont="1" applyFill="1" applyBorder="1"/>
    <xf numFmtId="0" fontId="41" fillId="36" borderId="8" xfId="0" applyFont="1" applyFill="1" applyBorder="1" applyAlignment="1" applyProtection="1">
      <alignment horizontal="center" vertical="center"/>
      <protection locked="0"/>
    </xf>
    <xf numFmtId="0" fontId="42" fillId="36" borderId="8" xfId="0" applyFont="1" applyFill="1" applyBorder="1" applyAlignment="1" applyProtection="1">
      <alignment horizontal="center" vertical="center"/>
      <protection locked="0"/>
    </xf>
    <xf numFmtId="0" fontId="41" fillId="7" borderId="8" xfId="0" applyFont="1" applyFill="1" applyBorder="1" applyAlignment="1">
      <alignment horizontal="center" vertical="center"/>
    </xf>
    <xf numFmtId="0" fontId="60" fillId="37" borderId="18" xfId="0" applyFont="1" applyFill="1" applyBorder="1" applyAlignment="1" applyProtection="1">
      <alignment horizontal="left" vertical="center"/>
      <protection locked="0"/>
    </xf>
    <xf numFmtId="49" fontId="91" fillId="39" borderId="0" xfId="0" applyNumberFormat="1" applyFont="1" applyFill="1" applyAlignment="1" applyProtection="1">
      <alignment horizontal="center"/>
      <protection locked="0"/>
    </xf>
    <xf numFmtId="0" fontId="91" fillId="0" borderId="0" xfId="0" applyFont="1" applyProtection="1">
      <protection locked="0"/>
    </xf>
    <xf numFmtId="0" fontId="103" fillId="44" borderId="0" xfId="1" applyFont="1" applyFill="1" applyProtection="1">
      <protection locked="0"/>
    </xf>
    <xf numFmtId="0" fontId="8" fillId="18" borderId="8" xfId="0" applyFont="1" applyFill="1" applyBorder="1" applyProtection="1">
      <protection locked="0"/>
    </xf>
    <xf numFmtId="0" fontId="91" fillId="42" borderId="0" xfId="0" applyFont="1" applyFill="1" applyProtection="1">
      <protection locked="0"/>
    </xf>
    <xf numFmtId="0" fontId="18" fillId="19" borderId="8" xfId="0" applyFont="1" applyFill="1" applyBorder="1" applyAlignment="1" applyProtection="1">
      <alignment vertical="center" wrapText="1"/>
      <protection locked="0"/>
    </xf>
    <xf numFmtId="0" fontId="18" fillId="35" borderId="8" xfId="0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49" fontId="9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0" fontId="37" fillId="0" borderId="0" xfId="0" applyFont="1" applyProtection="1">
      <protection locked="0"/>
    </xf>
    <xf numFmtId="0" fontId="8" fillId="18" borderId="8" xfId="0" applyFont="1" applyFill="1" applyBorder="1" applyAlignment="1" applyProtection="1">
      <alignment vertical="center"/>
      <protection locked="0"/>
    </xf>
    <xf numFmtId="0" fontId="32" fillId="18" borderId="8" xfId="0" applyFont="1" applyFill="1" applyBorder="1" applyProtection="1">
      <protection locked="0"/>
    </xf>
    <xf numFmtId="0" fontId="41" fillId="18" borderId="8" xfId="0" applyFont="1" applyFill="1" applyBorder="1" applyAlignment="1" applyProtection="1">
      <alignment horizontal="center" vertical="center"/>
      <protection locked="0"/>
    </xf>
    <xf numFmtId="0" fontId="90" fillId="50" borderId="14" xfId="1" applyFont="1" applyFill="1" applyBorder="1" applyAlignment="1" applyProtection="1">
      <alignment horizontal="left" vertical="center"/>
      <protection locked="0"/>
    </xf>
    <xf numFmtId="0" fontId="89" fillId="50" borderId="9" xfId="1" applyFill="1" applyBorder="1" applyProtection="1">
      <protection locked="0"/>
    </xf>
    <xf numFmtId="0" fontId="106" fillId="50" borderId="21" xfId="0" applyFont="1" applyFill="1" applyBorder="1" applyAlignment="1" applyProtection="1">
      <alignment horizontal="left" vertical="center"/>
      <protection locked="0"/>
    </xf>
    <xf numFmtId="0" fontId="52" fillId="50" borderId="9" xfId="0" applyFont="1" applyFill="1" applyBorder="1" applyAlignment="1" applyProtection="1">
      <alignment horizontal="left" vertical="center"/>
      <protection locked="0"/>
    </xf>
    <xf numFmtId="0" fontId="0" fillId="18" borderId="0" xfId="0" applyFill="1" applyProtection="1">
      <protection locked="0"/>
    </xf>
    <xf numFmtId="192" fontId="0" fillId="18" borderId="8" xfId="0" applyNumberFormat="1" applyFill="1" applyBorder="1" applyProtection="1">
      <protection locked="0"/>
    </xf>
    <xf numFmtId="3" fontId="8" fillId="18" borderId="8" xfId="0" applyNumberFormat="1" applyFont="1" applyFill="1" applyBorder="1" applyAlignment="1" applyProtection="1">
      <alignment horizontal="center" vertical="center"/>
      <protection locked="0"/>
    </xf>
    <xf numFmtId="3" fontId="9" fillId="18" borderId="8" xfId="0" applyNumberFormat="1" applyFont="1" applyFill="1" applyBorder="1" applyAlignment="1" applyProtection="1">
      <alignment horizontal="center" vertical="center"/>
      <protection locked="0"/>
    </xf>
    <xf numFmtId="3" fontId="0" fillId="50" borderId="23" xfId="0" applyNumberFormat="1" applyFill="1" applyBorder="1" applyProtection="1">
      <protection locked="0"/>
    </xf>
    <xf numFmtId="0" fontId="30" fillId="18" borderId="8" xfId="0" applyFont="1" applyFill="1" applyBorder="1" applyAlignment="1" applyProtection="1">
      <alignment horizontal="left" vertical="center"/>
      <protection locked="0"/>
    </xf>
    <xf numFmtId="0" fontId="8" fillId="6" borderId="1" xfId="0" applyFont="1" applyFill="1" applyBorder="1" applyAlignment="1" applyProtection="1">
      <alignment horizontal="right" vertical="center"/>
      <protection locked="0"/>
    </xf>
    <xf numFmtId="0" fontId="0" fillId="18" borderId="8" xfId="0" applyFill="1" applyBorder="1" applyProtection="1">
      <protection locked="0"/>
    </xf>
    <xf numFmtId="0" fontId="9" fillId="18" borderId="8" xfId="0" applyFont="1" applyFill="1" applyBorder="1" applyAlignment="1" applyProtection="1">
      <alignment horizontal="center" vertical="center"/>
      <protection locked="0"/>
    </xf>
    <xf numFmtId="0" fontId="49" fillId="18" borderId="0" xfId="0" applyFont="1" applyFill="1" applyProtection="1">
      <protection locked="0"/>
    </xf>
    <xf numFmtId="0" fontId="8" fillId="18" borderId="0" xfId="0" applyFont="1" applyFill="1" applyProtection="1">
      <protection locked="0"/>
    </xf>
    <xf numFmtId="0" fontId="0" fillId="18" borderId="0" xfId="0" applyFill="1" applyAlignment="1" applyProtection="1">
      <alignment horizontal="center"/>
      <protection locked="0"/>
    </xf>
    <xf numFmtId="0" fontId="91" fillId="50" borderId="23" xfId="0" applyFont="1" applyFill="1" applyBorder="1" applyProtection="1">
      <protection locked="0"/>
    </xf>
    <xf numFmtId="0" fontId="0" fillId="50" borderId="23" xfId="0" applyFill="1" applyBorder="1" applyProtection="1">
      <protection locked="0"/>
    </xf>
    <xf numFmtId="0" fontId="41" fillId="18" borderId="0" xfId="0" applyFont="1" applyFill="1" applyProtection="1">
      <protection locked="0"/>
    </xf>
    <xf numFmtId="0" fontId="9" fillId="18" borderId="0" xfId="0" applyFont="1" applyFill="1" applyProtection="1">
      <protection locked="0"/>
    </xf>
    <xf numFmtId="0" fontId="29" fillId="18" borderId="8" xfId="0" applyFont="1" applyFill="1" applyBorder="1" applyAlignment="1" applyProtection="1">
      <alignment horizontal="center" vertical="center"/>
      <protection locked="0"/>
    </xf>
    <xf numFmtId="0" fontId="41" fillId="18" borderId="8" xfId="0" applyFont="1" applyFill="1" applyBorder="1" applyProtection="1">
      <protection locked="0"/>
    </xf>
    <xf numFmtId="3" fontId="113" fillId="50" borderId="23" xfId="0" applyNumberFormat="1" applyFont="1" applyFill="1" applyBorder="1" applyAlignment="1" applyProtection="1">
      <alignment horizontal="right"/>
      <protection locked="0"/>
    </xf>
    <xf numFmtId="0" fontId="10" fillId="18" borderId="14" xfId="0" applyFont="1" applyFill="1" applyBorder="1" applyProtection="1">
      <protection locked="0"/>
    </xf>
    <xf numFmtId="0" fontId="9" fillId="18" borderId="8" xfId="0" applyFont="1" applyFill="1" applyBorder="1" applyProtection="1">
      <protection locked="0"/>
    </xf>
    <xf numFmtId="9" fontId="17" fillId="18" borderId="14" xfId="0" applyNumberFormat="1" applyFont="1" applyFill="1" applyBorder="1" applyProtection="1">
      <protection locked="0"/>
    </xf>
    <xf numFmtId="0" fontId="17" fillId="18" borderId="14" xfId="0" applyFont="1" applyFill="1" applyBorder="1" applyProtection="1">
      <protection locked="0"/>
    </xf>
    <xf numFmtId="0" fontId="8" fillId="18" borderId="8" xfId="0" applyFont="1" applyFill="1" applyBorder="1" applyAlignment="1" applyProtection="1">
      <alignment horizontal="center"/>
      <protection locked="0"/>
    </xf>
    <xf numFmtId="0" fontId="8" fillId="18" borderId="8" xfId="0" applyFont="1" applyFill="1" applyBorder="1" applyAlignment="1" applyProtection="1">
      <alignment horizontal="center" vertical="center" wrapText="1"/>
      <protection locked="0"/>
    </xf>
    <xf numFmtId="0" fontId="116" fillId="25" borderId="0" xfId="0" applyFont="1" applyFill="1"/>
    <xf numFmtId="0" fontId="116" fillId="29" borderId="0" xfId="0" applyFont="1" applyFill="1"/>
    <xf numFmtId="0" fontId="117" fillId="29" borderId="0" xfId="0" applyFont="1" applyFill="1"/>
    <xf numFmtId="0" fontId="117" fillId="30" borderId="0" xfId="0" applyFont="1" applyFill="1"/>
    <xf numFmtId="0" fontId="116" fillId="31" borderId="0" xfId="0" applyFont="1" applyFill="1"/>
    <xf numFmtId="0" fontId="117" fillId="0" borderId="0" xfId="0" applyFont="1"/>
    <xf numFmtId="0" fontId="117" fillId="32" borderId="0" xfId="0" applyFont="1" applyFill="1"/>
    <xf numFmtId="0" fontId="116" fillId="33" borderId="0" xfId="0" applyFont="1" applyFill="1"/>
    <xf numFmtId="3" fontId="28" fillId="58" borderId="8" xfId="0" applyNumberFormat="1" applyFont="1" applyFill="1" applyBorder="1" applyAlignment="1">
      <alignment horizontal="right" vertical="center"/>
    </xf>
    <xf numFmtId="4" fontId="28" fillId="58" borderId="8" xfId="0" applyNumberFormat="1" applyFont="1" applyFill="1" applyBorder="1" applyAlignment="1">
      <alignment horizontal="right" vertical="center"/>
    </xf>
    <xf numFmtId="0" fontId="10" fillId="59" borderId="14" xfId="0" applyFont="1" applyFill="1" applyBorder="1" applyProtection="1">
      <protection locked="0"/>
    </xf>
    <xf numFmtId="0" fontId="18" fillId="0" borderId="9" xfId="0" applyFont="1" applyBorder="1" applyAlignment="1">
      <alignment horizontal="center" vertical="center" wrapText="1"/>
    </xf>
    <xf numFmtId="0" fontId="9" fillId="0" borderId="9" xfId="0" applyFont="1" applyBorder="1" applyProtection="1">
      <protection locked="0"/>
    </xf>
    <xf numFmtId="187" fontId="0" fillId="0" borderId="0" xfId="0" applyNumberFormat="1"/>
    <xf numFmtId="0" fontId="14" fillId="17" borderId="0" xfId="0" applyFont="1" applyFill="1" applyAlignment="1" applyProtection="1">
      <alignment horizontal="left" vertical="center"/>
      <protection locked="0"/>
    </xf>
    <xf numFmtId="0" fontId="27" fillId="35" borderId="0" xfId="0" applyFont="1" applyFill="1" applyAlignment="1">
      <alignment horizontal="left" vertical="center"/>
    </xf>
    <xf numFmtId="0" fontId="52" fillId="50" borderId="21" xfId="0" applyFont="1" applyFill="1" applyBorder="1" applyAlignment="1">
      <alignment horizontal="left" vertical="center"/>
    </xf>
    <xf numFmtId="0" fontId="52" fillId="50" borderId="9" xfId="0" applyFont="1" applyFill="1" applyBorder="1" applyAlignment="1">
      <alignment horizontal="left" vertical="center"/>
    </xf>
    <xf numFmtId="0" fontId="52" fillId="40" borderId="21" xfId="0" applyFont="1" applyFill="1" applyBorder="1" applyAlignment="1">
      <alignment horizontal="left" vertical="center"/>
    </xf>
    <xf numFmtId="0" fontId="52" fillId="40" borderId="9" xfId="0" applyFont="1" applyFill="1" applyBorder="1" applyAlignment="1">
      <alignment horizontal="left" vertical="center"/>
    </xf>
    <xf numFmtId="0" fontId="27" fillId="35" borderId="9" xfId="0" applyFont="1" applyFill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8" fillId="37" borderId="0" xfId="0" applyFont="1" applyFill="1"/>
    <xf numFmtId="0" fontId="0" fillId="0" borderId="0" xfId="0"/>
    <xf numFmtId="0" fontId="63" fillId="23" borderId="0" xfId="0" applyFont="1" applyFill="1" applyAlignment="1">
      <alignment horizontal="center" vertical="center"/>
    </xf>
    <xf numFmtId="0" fontId="72" fillId="0" borderId="0" xfId="0" applyFont="1"/>
    <xf numFmtId="0" fontId="71" fillId="0" borderId="0" xfId="0" applyFont="1"/>
    <xf numFmtId="0" fontId="78" fillId="37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left" vertical="center"/>
    </xf>
    <xf numFmtId="0" fontId="21" fillId="22" borderId="10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1" xfId="0" applyBorder="1"/>
    <xf numFmtId="0" fontId="78" fillId="37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27" fillId="17" borderId="0" xfId="0" applyFont="1" applyFill="1"/>
    <xf numFmtId="0" fontId="0" fillId="0" borderId="2" xfId="0" applyBorder="1"/>
    <xf numFmtId="0" fontId="63" fillId="0" borderId="0" xfId="0" applyFont="1"/>
    <xf numFmtId="0" fontId="5" fillId="0" borderId="0" xfId="0" applyFont="1"/>
    <xf numFmtId="0" fontId="14" fillId="19" borderId="0" xfId="0" applyFont="1" applyFill="1" applyAlignment="1">
      <alignment horizontal="left" vertical="center"/>
    </xf>
    <xf numFmtId="0" fontId="8" fillId="8" borderId="1" xfId="0" applyFont="1" applyFill="1" applyBorder="1"/>
    <xf numFmtId="0" fontId="0" fillId="0" borderId="6" xfId="0" applyBorder="1"/>
    <xf numFmtId="0" fontId="0" fillId="0" borderId="7" xfId="0" applyBorder="1"/>
    <xf numFmtId="0" fontId="9" fillId="9" borderId="1" xfId="0" applyFont="1" applyFill="1" applyBorder="1"/>
    <xf numFmtId="0" fontId="9" fillId="0" borderId="0" xfId="0" applyFont="1"/>
    <xf numFmtId="0" fontId="27" fillId="17" borderId="0" xfId="0" applyFont="1" applyFill="1" applyAlignment="1">
      <alignment horizontal="left" vertical="center" wrapText="1"/>
    </xf>
    <xf numFmtId="0" fontId="44" fillId="28" borderId="0" xfId="0" applyFont="1" applyFill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1" fillId="17" borderId="0" xfId="0" applyFont="1" applyFill="1" applyAlignment="1">
      <alignment horizontal="center" vertical="center"/>
    </xf>
    <xf numFmtId="0" fontId="29" fillId="18" borderId="8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35" fillId="0" borderId="0" xfId="0" applyFont="1"/>
    <xf numFmtId="0" fontId="16" fillId="0" borderId="0" xfId="0" applyFont="1"/>
    <xf numFmtId="0" fontId="38" fillId="17" borderId="0" xfId="0" applyFont="1" applyFill="1" applyAlignment="1">
      <alignment horizontal="center" vertical="center"/>
    </xf>
    <xf numFmtId="0" fontId="13" fillId="0" borderId="0" xfId="0" applyFont="1"/>
    <xf numFmtId="0" fontId="20" fillId="0" borderId="0" xfId="0" applyFont="1"/>
    <xf numFmtId="0" fontId="42" fillId="19" borderId="0" xfId="0" applyFont="1" applyFill="1"/>
    <xf numFmtId="0" fontId="18" fillId="19" borderId="8" xfId="0" applyFont="1" applyFill="1" applyBorder="1" applyAlignment="1">
      <alignment horizontal="left" vertical="center" wrapText="1"/>
    </xf>
    <xf numFmtId="0" fontId="8" fillId="24" borderId="0" xfId="0" applyFont="1" applyFill="1" applyAlignment="1">
      <alignment horizontal="left" vertical="center" wrapText="1"/>
    </xf>
    <xf numFmtId="0" fontId="60" fillId="37" borderId="0" xfId="0" applyFont="1" applyFill="1" applyAlignment="1">
      <alignment horizontal="left" vertical="center" wrapText="1"/>
    </xf>
    <xf numFmtId="0" fontId="8" fillId="24" borderId="8" xfId="0" applyFont="1" applyFill="1" applyBorder="1" applyAlignment="1">
      <alignment horizontal="left" vertical="center" wrapText="1"/>
    </xf>
    <xf numFmtId="0" fontId="17" fillId="24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5" xfId="0" applyBorder="1"/>
    <xf numFmtId="0" fontId="82" fillId="0" borderId="0" xfId="0" applyFont="1"/>
    <xf numFmtId="0" fontId="57" fillId="0" borderId="0" xfId="0" applyFont="1"/>
    <xf numFmtId="0" fontId="31" fillId="0" borderId="0" xfId="0" applyFont="1"/>
    <xf numFmtId="0" fontId="42" fillId="22" borderId="8" xfId="0" applyFont="1" applyFill="1" applyBorder="1" applyAlignment="1">
      <alignment horizontal="left" vertical="center"/>
    </xf>
    <xf numFmtId="0" fontId="42" fillId="19" borderId="8" xfId="0" applyFont="1" applyFill="1" applyBorder="1" applyAlignment="1">
      <alignment horizontal="center"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2EFDA"/>
      <rgbColor rgb="FF660066"/>
      <rgbColor rgb="FFFF8080"/>
      <rgbColor rgb="FF0066CC"/>
      <rgbColor rgb="FFD9E1F2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EDEDED"/>
      <rgbColor rgb="FFFCE4D6"/>
      <rgbColor rgb="FFF5F5F5"/>
      <rgbColor rgb="FFFFCC66"/>
      <rgbColor rgb="FF2F75B6"/>
      <rgbColor rgb="FF33CCCC"/>
      <rgbColor rgb="FF99CC00"/>
      <rgbColor rgb="FFF7F7F7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65"/>
  <sheetViews>
    <sheetView showGridLines="0" topLeftCell="A33" workbookViewId="0">
      <selection activeCell="B57" sqref="B57"/>
    </sheetView>
  </sheetViews>
  <sheetFormatPr defaultRowHeight="14.4"/>
  <cols>
    <col min="1" max="1" width="2" customWidth="1"/>
    <col min="2" max="2" width="19.77734375" customWidth="1"/>
    <col min="3" max="3" width="2" customWidth="1"/>
    <col min="4" max="4" width="19.77734375" customWidth="1"/>
    <col min="5" max="5" width="2" customWidth="1"/>
    <col min="6" max="6" width="19.77734375" customWidth="1"/>
    <col min="7" max="7" width="30.77734375" customWidth="1"/>
  </cols>
  <sheetData>
    <row r="1" spans="2:7" ht="24" customHeight="1">
      <c r="B1" s="647" t="s">
        <v>9</v>
      </c>
      <c r="C1" s="648"/>
      <c r="D1" s="648"/>
      <c r="E1" s="648"/>
      <c r="F1" s="648"/>
      <c r="G1" s="648"/>
    </row>
    <row r="2" spans="2:7">
      <c r="B2" s="390" t="s">
        <v>3032</v>
      </c>
    </row>
    <row r="3" spans="2:7" ht="19.95" customHeight="1">
      <c r="B3" s="646" t="s">
        <v>3034</v>
      </c>
      <c r="C3" s="646"/>
      <c r="D3" s="646"/>
      <c r="E3" s="646"/>
      <c r="F3" s="646"/>
      <c r="G3" s="646"/>
    </row>
    <row r="4" spans="2:7" ht="19.05" customHeight="1">
      <c r="B4" s="597" t="s">
        <v>10</v>
      </c>
      <c r="C4" s="642" t="s">
        <v>11</v>
      </c>
      <c r="D4" s="643"/>
      <c r="E4" s="643"/>
      <c r="F4" s="643"/>
      <c r="G4" s="643"/>
    </row>
    <row r="5" spans="2:7" ht="19.05" customHeight="1">
      <c r="B5" s="597" t="s">
        <v>12</v>
      </c>
      <c r="C5" s="642" t="s">
        <v>2711</v>
      </c>
      <c r="D5" s="643"/>
      <c r="E5" s="643"/>
      <c r="F5" s="643"/>
      <c r="G5" s="643"/>
    </row>
    <row r="6" spans="2:7" ht="19.05" customHeight="1">
      <c r="B6" s="598" t="s">
        <v>2844</v>
      </c>
      <c r="C6" s="642" t="s">
        <v>2845</v>
      </c>
      <c r="D6" s="643"/>
      <c r="E6" s="643"/>
      <c r="F6" s="643"/>
      <c r="G6" s="643"/>
    </row>
    <row r="7" spans="2:7" ht="19.05" customHeight="1">
      <c r="B7" s="598" t="s">
        <v>2866</v>
      </c>
      <c r="C7" s="642" t="s">
        <v>2867</v>
      </c>
      <c r="D7" s="643"/>
      <c r="E7" s="643"/>
      <c r="F7" s="643"/>
      <c r="G7" s="643"/>
    </row>
    <row r="8" spans="2:7" ht="19.05" customHeight="1">
      <c r="B8" s="597" t="s">
        <v>13</v>
      </c>
      <c r="C8" s="642" t="s">
        <v>2712</v>
      </c>
      <c r="D8" s="643"/>
      <c r="E8" s="643"/>
      <c r="F8" s="643"/>
      <c r="G8" s="643"/>
    </row>
    <row r="9" spans="2:7" ht="19.05" customHeight="1">
      <c r="B9" s="597" t="s">
        <v>14</v>
      </c>
      <c r="C9" s="642" t="s">
        <v>15</v>
      </c>
      <c r="D9" s="643"/>
      <c r="E9" s="643"/>
      <c r="F9" s="643"/>
      <c r="G9" s="643"/>
    </row>
    <row r="10" spans="2:7" ht="19.05" customHeight="1">
      <c r="B10" s="597" t="s">
        <v>2705</v>
      </c>
      <c r="C10" s="642" t="s">
        <v>2713</v>
      </c>
      <c r="D10" s="643"/>
      <c r="E10" s="643"/>
      <c r="F10" s="643"/>
      <c r="G10" s="643"/>
    </row>
    <row r="11" spans="2:7" ht="19.05" customHeight="1">
      <c r="B11" s="597" t="s">
        <v>2704</v>
      </c>
      <c r="C11" s="642" t="s">
        <v>2714</v>
      </c>
      <c r="D11" s="643"/>
      <c r="E11" s="643"/>
      <c r="F11" s="643"/>
      <c r="G11" s="643"/>
    </row>
    <row r="12" spans="2:7" ht="22.05" customHeight="1">
      <c r="B12" s="597" t="s">
        <v>16</v>
      </c>
      <c r="C12" s="642" t="s">
        <v>2715</v>
      </c>
      <c r="D12" s="643"/>
      <c r="E12" s="643"/>
      <c r="F12" s="643"/>
      <c r="G12" s="643"/>
    </row>
    <row r="13" spans="2:7" ht="19.05" customHeight="1">
      <c r="B13" s="597" t="s">
        <v>17</v>
      </c>
      <c r="C13" s="642" t="s">
        <v>18</v>
      </c>
      <c r="D13" s="643"/>
      <c r="E13" s="643"/>
      <c r="F13" s="643"/>
      <c r="G13" s="643"/>
    </row>
    <row r="14" spans="2:7" ht="22.05" customHeight="1">
      <c r="B14" s="597" t="s">
        <v>2706</v>
      </c>
      <c r="C14" s="642" t="s">
        <v>2716</v>
      </c>
      <c r="D14" s="643"/>
      <c r="E14" s="643"/>
      <c r="F14" s="643"/>
      <c r="G14" s="643"/>
    </row>
    <row r="15" spans="2:7" ht="22.05" customHeight="1">
      <c r="B15" s="597" t="s">
        <v>2854</v>
      </c>
      <c r="C15" s="599" t="s">
        <v>3035</v>
      </c>
      <c r="D15" s="600"/>
      <c r="E15" s="600"/>
      <c r="F15" s="600"/>
      <c r="G15" s="600"/>
    </row>
    <row r="16" spans="2:7" ht="19.05" customHeight="1">
      <c r="B16" s="469" t="s">
        <v>2703</v>
      </c>
      <c r="C16" s="644" t="s">
        <v>3033</v>
      </c>
      <c r="D16" s="645"/>
      <c r="E16" s="645"/>
      <c r="F16" s="645"/>
      <c r="G16" s="645"/>
    </row>
    <row r="17" spans="2:7" ht="19.05" customHeight="1"/>
    <row r="18" spans="2:7" ht="19.95" customHeight="1">
      <c r="B18" s="646" t="s">
        <v>19</v>
      </c>
      <c r="C18" s="646"/>
      <c r="D18" s="646"/>
      <c r="E18" s="646"/>
      <c r="F18" s="646"/>
      <c r="G18" s="646"/>
    </row>
    <row r="19" spans="2:7" ht="19.05" customHeight="1">
      <c r="B19" s="470" t="s">
        <v>20</v>
      </c>
      <c r="C19" s="471"/>
      <c r="D19" s="470" t="s">
        <v>21</v>
      </c>
      <c r="E19" s="471"/>
      <c r="F19" s="470" t="s">
        <v>22</v>
      </c>
      <c r="G19" s="471"/>
    </row>
    <row r="20" spans="2:7" ht="22.05" customHeight="1"/>
    <row r="21" spans="2:7" ht="19.95" customHeight="1">
      <c r="B21" s="646" t="s">
        <v>2717</v>
      </c>
      <c r="C21" s="646"/>
      <c r="D21" s="646"/>
      <c r="E21" s="646"/>
      <c r="F21" s="646"/>
      <c r="G21" s="646"/>
    </row>
    <row r="22" spans="2:7" ht="22.05" customHeight="1">
      <c r="B22" s="470" t="s">
        <v>23</v>
      </c>
      <c r="C22" s="471"/>
      <c r="D22" s="470" t="s">
        <v>24</v>
      </c>
      <c r="E22" s="471"/>
      <c r="F22" s="470" t="s">
        <v>25</v>
      </c>
      <c r="G22" s="471"/>
    </row>
    <row r="23" spans="2:7" ht="19.05" customHeight="1">
      <c r="B23" s="470" t="s">
        <v>26</v>
      </c>
      <c r="C23" s="471"/>
      <c r="D23" s="470" t="s">
        <v>27</v>
      </c>
      <c r="E23" s="471"/>
      <c r="F23" s="470" t="s">
        <v>29</v>
      </c>
      <c r="G23" s="471"/>
    </row>
    <row r="24" spans="2:7" ht="19.05" customHeight="1">
      <c r="B24" s="470" t="s">
        <v>28</v>
      </c>
      <c r="C24" s="471"/>
      <c r="D24" s="470" t="s">
        <v>30</v>
      </c>
      <c r="E24" s="471"/>
      <c r="F24" s="470" t="s">
        <v>31</v>
      </c>
      <c r="G24" s="471"/>
    </row>
    <row r="25" spans="2:7" ht="22.05" customHeight="1">
      <c r="B25" s="470" t="s">
        <v>56</v>
      </c>
      <c r="C25" s="471"/>
      <c r="D25" s="470" t="s">
        <v>35</v>
      </c>
      <c r="E25" s="471"/>
      <c r="F25" s="470" t="s">
        <v>58</v>
      </c>
      <c r="G25" s="471"/>
    </row>
    <row r="26" spans="2:7" ht="19.05" customHeight="1">
      <c r="B26" s="470" t="s">
        <v>32</v>
      </c>
      <c r="C26" s="471"/>
      <c r="D26" s="470" t="s">
        <v>33</v>
      </c>
      <c r="E26" s="471"/>
      <c r="F26" s="470" t="s">
        <v>59</v>
      </c>
      <c r="G26" s="471"/>
    </row>
    <row r="27" spans="2:7" ht="19.05" customHeight="1">
      <c r="B27" s="470" t="s">
        <v>34</v>
      </c>
      <c r="C27" s="471"/>
      <c r="D27" s="470" t="s">
        <v>57</v>
      </c>
      <c r="E27" s="471"/>
      <c r="F27" s="470" t="s">
        <v>61</v>
      </c>
      <c r="G27" s="471"/>
    </row>
    <row r="28" spans="2:7" ht="19.05" customHeight="1">
      <c r="B28" s="470" t="s">
        <v>63</v>
      </c>
      <c r="C28" s="471"/>
      <c r="D28" s="470" t="s">
        <v>62</v>
      </c>
      <c r="E28" s="471"/>
      <c r="F28" s="470" t="s">
        <v>65</v>
      </c>
      <c r="G28" s="471"/>
    </row>
    <row r="29" spans="2:7" ht="19.05" customHeight="1">
      <c r="B29" s="475" t="s">
        <v>3039</v>
      </c>
      <c r="C29" s="471"/>
      <c r="D29" s="475"/>
      <c r="E29" s="471"/>
      <c r="F29" s="475"/>
      <c r="G29" s="471"/>
    </row>
    <row r="30" spans="2:7" ht="19.05" customHeight="1"/>
    <row r="31" spans="2:7" ht="19.95" customHeight="1">
      <c r="B31" s="646" t="s">
        <v>36</v>
      </c>
      <c r="C31" s="646"/>
      <c r="D31" s="646"/>
      <c r="E31" s="646"/>
      <c r="F31" s="646"/>
      <c r="G31" s="646"/>
    </row>
    <row r="32" spans="2:7" ht="19.05" customHeight="1">
      <c r="B32" s="470" t="s">
        <v>37</v>
      </c>
      <c r="C32" s="471"/>
      <c r="D32" s="470" t="s">
        <v>38</v>
      </c>
      <c r="E32" s="471"/>
      <c r="F32" s="471"/>
      <c r="G32" s="471"/>
    </row>
    <row r="33" spans="2:7" ht="19.05" customHeight="1"/>
    <row r="34" spans="2:7" ht="19.95" customHeight="1">
      <c r="B34" s="646" t="s">
        <v>39</v>
      </c>
      <c r="C34" s="646"/>
      <c r="D34" s="646"/>
      <c r="E34" s="646"/>
      <c r="F34" s="646"/>
      <c r="G34" s="646"/>
    </row>
    <row r="35" spans="2:7" ht="22.05" customHeight="1">
      <c r="B35" s="470" t="s">
        <v>40</v>
      </c>
      <c r="C35" s="471"/>
      <c r="D35" s="470" t="s">
        <v>41</v>
      </c>
      <c r="E35" s="471"/>
      <c r="F35" s="470" t="s">
        <v>42</v>
      </c>
      <c r="G35" s="471"/>
    </row>
    <row r="36" spans="2:7" ht="19.05" customHeight="1">
      <c r="B36" s="470" t="s">
        <v>43</v>
      </c>
      <c r="C36" s="471"/>
      <c r="D36" s="470" t="s">
        <v>44</v>
      </c>
      <c r="E36" s="471"/>
      <c r="F36" s="470" t="s">
        <v>45</v>
      </c>
      <c r="G36" s="471"/>
    </row>
    <row r="37" spans="2:7" ht="19.05" customHeight="1"/>
    <row r="38" spans="2:7" ht="19.95" customHeight="1">
      <c r="B38" s="646" t="s">
        <v>46</v>
      </c>
      <c r="C38" s="646"/>
      <c r="D38" s="646"/>
      <c r="E38" s="646"/>
      <c r="F38" s="646"/>
      <c r="G38" s="646"/>
    </row>
    <row r="39" spans="2:7">
      <c r="B39" s="470" t="s">
        <v>47</v>
      </c>
      <c r="C39" s="471"/>
      <c r="D39" s="470" t="s">
        <v>2718</v>
      </c>
      <c r="E39" s="471"/>
      <c r="F39" s="470" t="s">
        <v>2719</v>
      </c>
      <c r="G39" s="471"/>
    </row>
    <row r="40" spans="2:7" ht="18" customHeight="1">
      <c r="B40" s="470" t="s">
        <v>2720</v>
      </c>
      <c r="C40" s="471"/>
      <c r="D40" s="471"/>
      <c r="E40" s="471"/>
      <c r="F40" s="471"/>
      <c r="G40" s="471"/>
    </row>
    <row r="41" spans="2:7" ht="18" customHeight="1"/>
    <row r="42" spans="2:7" ht="19.95" customHeight="1">
      <c r="B42" s="646" t="s">
        <v>2721</v>
      </c>
      <c r="C42" s="646"/>
      <c r="D42" s="646"/>
      <c r="E42" s="646"/>
      <c r="F42" s="646"/>
      <c r="G42" s="646"/>
    </row>
    <row r="43" spans="2:7">
      <c r="B43" s="474" t="s">
        <v>49</v>
      </c>
      <c r="C43" s="471"/>
      <c r="D43" s="474" t="s">
        <v>53</v>
      </c>
      <c r="E43" s="471"/>
      <c r="F43" s="474" t="s">
        <v>54</v>
      </c>
      <c r="G43" s="471"/>
    </row>
    <row r="44" spans="2:7" ht="18" customHeight="1">
      <c r="B44" s="474" t="s">
        <v>50</v>
      </c>
      <c r="C44" s="471"/>
      <c r="D44" s="474" t="s">
        <v>66</v>
      </c>
      <c r="E44" s="471"/>
      <c r="F44" s="474" t="s">
        <v>51</v>
      </c>
      <c r="G44" s="471"/>
    </row>
    <row r="45" spans="2:7">
      <c r="B45" s="474" t="s">
        <v>52</v>
      </c>
      <c r="C45" s="471"/>
      <c r="D45" s="473"/>
      <c r="E45" s="471"/>
      <c r="F45" s="473"/>
      <c r="G45" s="471"/>
    </row>
    <row r="46" spans="2:7" ht="18" customHeight="1"/>
    <row r="47" spans="2:7" ht="19.95" customHeight="1">
      <c r="B47" s="646" t="s">
        <v>2722</v>
      </c>
      <c r="C47" s="646"/>
      <c r="D47" s="646"/>
      <c r="E47" s="646"/>
      <c r="F47" s="646"/>
      <c r="G47" s="646"/>
    </row>
    <row r="48" spans="2:7" ht="18" customHeight="1">
      <c r="B48" s="472" t="s">
        <v>55</v>
      </c>
      <c r="C48" s="471"/>
      <c r="D48" s="471"/>
      <c r="E48" s="471"/>
      <c r="F48" s="117"/>
      <c r="G48" s="471"/>
    </row>
    <row r="49" spans="2:7">
      <c r="B49" s="117"/>
    </row>
    <row r="51" spans="2:7" ht="19.95" customHeight="1">
      <c r="B51" s="646" t="s">
        <v>2723</v>
      </c>
      <c r="C51" s="646"/>
      <c r="D51" s="646"/>
      <c r="E51" s="646"/>
      <c r="F51" s="646"/>
      <c r="G51" s="646"/>
    </row>
    <row r="52" spans="2:7">
      <c r="B52" s="470" t="s">
        <v>2724</v>
      </c>
      <c r="C52" s="471"/>
      <c r="D52" s="470" t="s">
        <v>2725</v>
      </c>
      <c r="E52" s="471"/>
      <c r="F52" s="471"/>
      <c r="G52" s="471"/>
    </row>
    <row r="54" spans="2:7" ht="19.95" customHeight="1">
      <c r="B54" s="641" t="s">
        <v>2726</v>
      </c>
      <c r="C54" s="641"/>
      <c r="D54" s="641"/>
      <c r="E54" s="641"/>
      <c r="F54" s="641"/>
      <c r="G54" s="641"/>
    </row>
    <row r="56" spans="2:7">
      <c r="B56" t="s">
        <v>3132</v>
      </c>
      <c r="C56" t="s">
        <v>3133</v>
      </c>
    </row>
    <row r="57" spans="2:7">
      <c r="B57" t="s">
        <v>3134</v>
      </c>
      <c r="C57" t="s">
        <v>3135</v>
      </c>
    </row>
    <row r="58" spans="2:7">
      <c r="B58" t="s">
        <v>3136</v>
      </c>
      <c r="C58" t="s">
        <v>3137</v>
      </c>
    </row>
    <row r="59" spans="2:7">
      <c r="B59" t="s">
        <v>3138</v>
      </c>
      <c r="C59" t="s">
        <v>3139</v>
      </c>
    </row>
    <row r="60" spans="2:7">
      <c r="B60" t="s">
        <v>3140</v>
      </c>
      <c r="C60" t="s">
        <v>3141</v>
      </c>
    </row>
    <row r="61" spans="2:7">
      <c r="B61" t="s">
        <v>3142</v>
      </c>
      <c r="C61" t="s">
        <v>3143</v>
      </c>
    </row>
    <row r="62" spans="2:7">
      <c r="B62" t="s">
        <v>3133</v>
      </c>
      <c r="C62" t="s">
        <v>3133</v>
      </c>
    </row>
    <row r="63" spans="2:7">
      <c r="B63" t="s">
        <v>3144</v>
      </c>
      <c r="C63" t="s">
        <v>3145</v>
      </c>
    </row>
    <row r="64" spans="2:7">
      <c r="B64" t="s">
        <v>3133</v>
      </c>
      <c r="C64" t="s">
        <v>3146</v>
      </c>
    </row>
    <row r="65" spans="2:3">
      <c r="B65" t="s">
        <v>3133</v>
      </c>
      <c r="C65" t="s">
        <v>3147</v>
      </c>
    </row>
  </sheetData>
  <mergeCells count="23">
    <mergeCell ref="B47:G47"/>
    <mergeCell ref="B51:G51"/>
    <mergeCell ref="B1:G1"/>
    <mergeCell ref="B3:G3"/>
    <mergeCell ref="B18:G18"/>
    <mergeCell ref="B21:G21"/>
    <mergeCell ref="B31:G31"/>
    <mergeCell ref="B54:G54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6:G16"/>
    <mergeCell ref="B34:G34"/>
    <mergeCell ref="B38:G38"/>
    <mergeCell ref="B42:G42"/>
  </mergeCells>
  <hyperlinks>
    <hyperlink ref="B4" location="'อัปเดตราคาอลู'!A1" tooltip="ไปที่ อัปเดตราคาอลู" display="'อัปเดตราคาอลู'!A1" xr:uid="{1E5E2B85-DAA6-4488-899D-ABCC35A92CA4}"/>
    <hyperlink ref="B5" location="'ราคาสี'!A1" tooltip="ไปที่ ราคาสี" display="'ราคาสี'!A1" xr:uid="{B9EBC07F-33B0-4279-A97E-B65D3BA61898}"/>
    <hyperlink ref="B8" location="'ราคาออโต้'!A1" tooltip="ไปที่ ราคาออโต้" display="'ราคาออโต้'!A1" xr:uid="{9AE445B1-920A-4864-9152-ED104DD5E04F}"/>
    <hyperlink ref="B9" location="'ราคามุ้ง'!A1" tooltip="ไปที่ ราคามุ้ง" display="'ราคามุ้ง'!A1" xr:uid="{88854C04-44D5-42C2-9B90-9061AB6E902C}"/>
    <hyperlink ref="B10" location="'ราคาเหล็ก'!A1" tooltip="ไปที่ ราคาเหล็ก" display="'ราคาเหล็ก'!A1" xr:uid="{BA275BA5-3240-4C7C-9CB5-E6BA314A1AC1}"/>
    <hyperlink ref="B11" location="'ราคางานเสริม'!A1" tooltip="ไปที่ ราคางานเสริม" display="'ราคางานเสริม'!A1" xr:uid="{FF2A6591-C60A-44F4-A2B7-86A93C5B7BB1}"/>
    <hyperlink ref="B12" location="'ค่าแรง'!A1" tooltip="ไปที่ ค่าแรง" display="'ค่าแรง'!A1" xr:uid="{9805DE87-25A3-438E-9340-7291986C4384}"/>
    <hyperlink ref="B13" location="'น้ำหนักโปรไฟล์'!A1" tooltip="ไปที่ น้ำหนักโปรไฟล์" display="'น้ำหนักโปรไฟล์'!A1" xr:uid="{3D93409E-E8DA-4965-BD61-5857ADE85C37}"/>
    <hyperlink ref="B14" location="'ชีทอุปกรณ์'!A1" tooltip="ไปที่ ชีทอุปกรณ์" display="'ชีทอุปกรณ์'!A1" xr:uid="{0A49D216-FD59-40E1-B3EE-112E7FA06A21}"/>
    <hyperlink ref="B16" location="'บันทึกราคาขึ้น'!A1" tooltip="ไปที่ บันทึกราคาขึ้น" display="'บันทึกราคาขึ้น'!A1" xr:uid="{E56F6B3F-613E-4563-99BA-BFEB78290215}"/>
    <hyperlink ref="B19" location="'หน้าตารางรวม'!A1" tooltip="ไปที่ หน้าตารางรวม" display="'หน้าตารางรวม'!A1" xr:uid="{DDAF0878-B7B1-4298-BB86-957EDAC62747}"/>
    <hyperlink ref="D19" location="'สรุปงานเสริม'!A1" tooltip="ไปที่ สรุปงานเสริม" display="'สรุปงานเสริม'!A1" xr:uid="{901E78A5-1F56-499C-817C-B8FC484B9A7A}"/>
    <hyperlink ref="F19" location="'สรุปค่าแรง'!A1" tooltip="ไปที่ สรุปค่าแรง" display="'สรุปค่าแรง'!A1" xr:uid="{8710103B-E975-4051-9442-68307F73A0BA}"/>
    <hyperlink ref="B22" location="'คิดทุน SMS'!A1" tooltip="ไปที่ คิดทุน SMS" display="'คิดทุน SMS'!A1" xr:uid="{D8C6AE21-2E35-4893-94D1-98B638FF13FC}"/>
    <hyperlink ref="D22" location="'คิดทุน ยูโร'!A1" tooltip="ไปที่ คิดทุน ยูโร" display="'คิดทุน ยูโร'!A1" xr:uid="{7B5CD775-9F33-4B6B-9E64-9C11EA1CB240}"/>
    <hyperlink ref="F22" location="'คิดทุน SlimLux'!A1" tooltip="ไปที่ คิดทุน SlimLux" display="'คิดทุน SlimLux'!A1" xr:uid="{B01CD275-5387-4C28-AD5D-38E2D69E8D08}"/>
    <hyperlink ref="B23" location="'คิดทุน Velora'!A1" tooltip="ไปที่ คิดทุน Velora" display="'คิดทุน Velora'!A1" xr:uid="{860A373D-A764-4260-B4C1-85225FD4C702}"/>
    <hyperlink ref="D23" location="'คิดทุน E-series'!A1" tooltip="ไปที่ คิดทุน E-series" display="'คิดทุน E-series'!A1" xr:uid="{2901B320-FBFA-4A50-BF8E-66AA3161CF38}"/>
    <hyperlink ref="F23" location="'คิดทุน PC Door'!A1" tooltip="ไปที่ คิดทุน PC Door" display="'คิดทุน PC Door'!A1" xr:uid="{56976017-A4A0-4646-9AB6-6D040A077B38}"/>
    <hyperlink ref="B24" location="'คิดทุน บานเปิด'!A1" tooltip="ไปที่ คิดทุน บานเปิด" display="'คิดทุน บานเปิด'!A1" xr:uid="{9C82EE68-C047-4FFD-9BBB-6A7134FA4EF5}"/>
    <hyperlink ref="D24" location="'คิดทุน กระทุ้ง'!A1" tooltip="ไปที่ คิดทุน กระทุ้ง" display="'คิดทุน กระทุ้ง'!A1" xr:uid="{F304DFD0-47AA-4B2F-9C1E-E5077DE101D5}"/>
    <hyperlink ref="F24" location="'คิดทุน บานยก'!A1" tooltip="ไปที่ คิดทุน บานยก" display="'คิดทุน บานยก'!A1" xr:uid="{A46576FF-82AC-4A39-B8EF-6B83976B027E}"/>
    <hyperlink ref="B25" location="'คิดทุน บานหมุน'!A1" tooltip="ไปที่ คิดทุน บานหมุน" display="'คิดทุน บานหมุน'!A1" xr:uid="{B051136C-399D-48D1-BEF0-7D469FB0F589}"/>
    <hyperlink ref="D25" location="'คิดทุน บานเลื่อนรางบน'!A1" tooltip="ไปที่ คิดทุน บานเลื่อนรางบน" display="'คิดทุน บานเลื่อนรางบน'!A1" xr:uid="{FEE75FBD-108A-4CF6-AE51-40AFD8EB1FA9}"/>
    <hyperlink ref="F25" location="'คิดทุน บานระแนงเลื่อน'!A1" tooltip="ไปที่ คิดทุน บานระแนงเลื่อน" display="'คิดทุน บานระแนงเลื่อน'!A1" xr:uid="{2F5ABCEB-A4F5-4E77-88FD-A6B28A645BF6}"/>
    <hyperlink ref="B26" location="'คิดทุน เฟี้ยม'!A1" tooltip="ไปที่ คิดทุน เฟี้ยม" display="'คิดทุน เฟี้ยม'!A1" xr:uid="{8C226F5D-8591-4EF7-AE73-1BB11A6D9F2C}"/>
    <hyperlink ref="D26" location="'คิดทุน เฟี้ยมยูโร'!A1" tooltip="ไปที่ คิดทุน เฟี้ยมยูโร" display="'คิดทุน เฟี้ยมยูโร'!A1" xr:uid="{1DF22649-E7A4-4636-8BBE-D47F3F0EAF84}"/>
    <hyperlink ref="F26" location="'คิดทุน เฟี้ยมยก'!A1" tooltip="ไปที่ คิดทุน เฟี้ยมยก" display="'คิดทุน เฟี้ยมยก'!A1" xr:uid="{71998BCE-4EFF-4786-918B-30B9657516FC}"/>
    <hyperlink ref="B27" location="'คิดทุน ติดตาย'!A1" tooltip="ไปที่ คิดทุน ติดตาย" display="'คิดทุน ติดตาย'!A1" xr:uid="{4E887E88-3623-491B-A21E-953D54611644}"/>
    <hyperlink ref="D27" location="'คิดทุน บานโซลิด'!A1" tooltip="ไปที่ คิดทุน บานโซลิด" display="'คิดทุน บานโซลิด'!A1" xr:uid="{AA0BC89E-B36B-4160-AACA-EB446AA36A3B}"/>
    <hyperlink ref="F27" location="'คิดทุน บานเปลือย'!A1" tooltip="ไปที่ คิดทุน บานเปลือย" display="'คิดทุน บานเปลือย'!A1" xr:uid="{DC2CEF53-5C19-45DA-85C5-F9914E849500}"/>
    <hyperlink ref="B28" location="'คิดทุน บานตู้ Futuretech'!A1" tooltip="ไปที่ คิดทุน บานตู้ Futuretech" display="'คิดทุน บานตู้ Futuretech'!A1" xr:uid="{632FF993-B5B9-454C-82B3-610D50FE4A52}"/>
    <hyperlink ref="D28" location="'คิดทุน ชุด Shower'!A1" tooltip="ไปที่ คิดทุน ชุด Shower" display="'คิดทุน ชุด Shower'!A1" xr:uid="{BC5E3228-F129-4424-BB5F-BFBFCAAE9460}"/>
    <hyperlink ref="F28" location="'คิดทุน ราวกันตก'!A1" tooltip="ไปที่ คิดทุน ราวกันตก" display="'คิดทุน ราวกันตก'!A1" xr:uid="{DBB62E5D-8698-4B6B-9535-232905422101}"/>
    <hyperlink ref="B32" location="'คิดทุน ตายดัดโค้ง'!A1" tooltip="ไปที่ คิดทุน ตายดัดโค้ง" display="'คิดทุน ตายดัดโค้ง'!A1" xr:uid="{3F037992-4B12-441E-9931-92808A9C60AE}"/>
    <hyperlink ref="D32" location="'คิดทุน เปิดดัดโค้ง'!A1" tooltip="ไปที่ คิดทุน เปิดดัดโค้ง" display="'คิดทุน เปิดดัดโค้ง'!A1" xr:uid="{FD06333A-E233-4599-A491-9127B20D2FFE}"/>
    <hyperlink ref="B35" location="'คิดทุน ระแนง'!A1" tooltip="ไปที่ คิดทุน ระแนง" display="'คิดทุน ระแนง'!A1" xr:uid="{EDC5CC42-829C-4966-9D08-E97A999944F8}"/>
    <hyperlink ref="D35" location="'คิดทุน ระแนงสลับ'!A1" tooltip="ไปที่ คิดทุน ระแนงสลับ" display="'คิดทุน ระแนงสลับ'!A1" xr:uid="{71F37047-BFA0-4FAA-8CEC-D1E32BC295B0}"/>
    <hyperlink ref="F35" location="'ระแนงสลับ_ประตู'!A1" tooltip="ไปที่ ระแนงสลับ_ประตู" display="'ระแนงสลับ_ประตู'!A1" xr:uid="{C8FFA113-16A1-4C49-9EBD-CBBBFC7ACFC3}"/>
    <hyperlink ref="B36" location="'คิดทุน ประตูรั้ว'!A1" tooltip="ไปที่ คิดทุน ประตูรั้ว" display="'คิดทุน ประตูรั้ว'!A1" xr:uid="{29F5ACCC-C282-4035-B3DC-0F879BB96376}"/>
    <hyperlink ref="D36" location="'คิดทุน บานเกล็ด'!A1" tooltip="ไปที่ คิดทุน บานเกล็ด" display="'คิดทุน บานเกล็ด'!A1" xr:uid="{B4C93DC1-9870-4FC1-B95D-7F5713A49349}"/>
    <hyperlink ref="F36" location="'คิดทุน ระแนงหมุน'!A1" tooltip="ไปที่ คิดทุน ระแนงหมุน" display="'คิดทุน ระแนงหมุน'!A1" xr:uid="{5CEFB067-E7D2-4F3B-9377-15A81151B075}"/>
    <hyperlink ref="B39" location="'คิดทุน หลังคา (รวม)'!A1" tooltip="ไปที่ คิดทุน หลังคา (รวม)" display="'คิดทุน หลังคา (รวม)'!A1" xr:uid="{A052F9C0-B4ED-4A85-AA07-3C3EDD62358E}"/>
    <hyperlink ref="D39" location="'คิดทุน หลังคา'!A1" tooltip="ไปที่ คิดทุน หลังคา" display="'คิดทุน หลังคา'!A1" xr:uid="{D1F0E459-BF89-4E08-9A39-6F22E4EC31A2}"/>
    <hyperlink ref="F39" location="'คิดทุน หลังคาจั่ว'!A1" tooltip="ไปที่ คิดทุน หลังคาจั่ว" display="'คิดทุน หลังคาจั่ว'!A1" xr:uid="{4322B1EB-AB16-45EE-AE8D-E105CFA55012}"/>
    <hyperlink ref="B40" location="'คิดทุน หลังคาเลื่อน'!A1" tooltip="ไปที่ คิดทุน หลังคาเลื่อน" display="'คิดทุน หลังคาเลื่อน'!A1" xr:uid="{C3B7B07C-8CBF-4A64-A625-057E736F1A5C}"/>
    <hyperlink ref="B52" location="'SlimLux_ตัด'!A1" tooltip="ไปที่ SlimLux_ตัด" display="'SlimLux_ตัด'!A1" xr:uid="{FF9CD06F-BF94-42E6-8476-E30ACC27A845}"/>
    <hyperlink ref="D52" location="'Velora_ตัด'!A1" tooltip="ไปที่ Velora_ตัด" display="'Velora_ตัด'!A1" xr:uid="{B4027264-ED1F-4F8A-AE0F-92DA4895B068}"/>
    <hyperlink ref="B6" location="'ราคากระจก'!A1" display="▶ ราคากระจก" xr:uid="{DF328F9E-4709-41CB-B3A8-54A9506FE421}"/>
    <hyperlink ref="B48" location="'เช็กขนาดกระจก'!A1" display="▶ เช็กขนาดกระจก" xr:uid="{2A7B2A60-4651-4340-B0D6-6E4513A5E944}"/>
    <hyperlink ref="B7" location="'ราคาหลังคา'!A1" display="▶ ราคาหลังคา" xr:uid="{180A886E-F635-4BF6-A785-614EA0ADAEAA}"/>
    <hyperlink ref="B15" location="'ราคาฝ้าไม้เทียม'!A1" display="▶ ราคาฝ้าไม้เทียม" xr:uid="{6ECA7D17-0BBA-4987-A298-16CA0BCCC655}"/>
    <hyperlink ref="B43" location="'ฝ้ายิปซัม'!A1" display="▶ ฝ้ายิปซัม" xr:uid="{84689739-9A7A-4852-AAD1-7E31B414E1CB}"/>
    <hyperlink ref="D43" location="'คิดทุนฝ้าไม้เทียม'!A1" display="▶ ฝ้าไม้เทียม" xr:uid="{1CBC8605-6656-48A9-B283-4DCADAEC9BDC}"/>
    <hyperlink ref="F43" location="'สีฝ้าไม้เทียม'!A1" display="▶ สีฝ้าไม้เทียม" xr:uid="{5BA07D4E-F7D2-4A73-95D2-5A081BDA9570}"/>
    <hyperlink ref="B44" location="'สมาร์ทบอร์ด'!A1" display="▶ สมาร์ทบอร์ด" xr:uid="{98D41272-242A-4722-B35F-43B713A13097}"/>
    <hyperlink ref="D44" location="'คิดทุน สมาร์ทบอร์ดพื้น'!A1" display="▶ สมาร์ทบอร์ดพื้น" xr:uid="{EE4B4B6B-A540-4F85-90E3-70DC0109006A}"/>
    <hyperlink ref="F44" location="'ไอโซวอล'!A1" display="▶ ไอโซวอล" xr:uid="{1425A647-DA22-412C-B7F1-68D441985827}"/>
    <hyperlink ref="B45" location="'งานไฟ'!A1" display="▶ งานไฟ" xr:uid="{53D4C719-65C8-4860-A248-44D840FB1FA1}"/>
    <hyperlink ref="B29" location="'คิดทุน YKK'!A1" display="▶ YKK / Tostem (บานสำเร็จ)" xr:uid="{6DD049FC-F1C8-44BE-A074-054D5879845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23"/>
  <sheetViews>
    <sheetView workbookViewId="0">
      <selection activeCell="G1" sqref="G1"/>
    </sheetView>
  </sheetViews>
  <sheetFormatPr defaultRowHeight="14.4"/>
  <cols>
    <col min="1" max="1" width="24" customWidth="1"/>
    <col min="2" max="2" width="16.88671875" customWidth="1"/>
    <col min="3" max="3" width="24" customWidth="1"/>
    <col min="4" max="4" width="62.77734375" customWidth="1"/>
    <col min="6" max="6" width="18" customWidth="1"/>
    <col min="7" max="7" width="8.5546875" customWidth="1"/>
  </cols>
  <sheetData>
    <row r="1" spans="1:8" ht="15.6">
      <c r="A1" s="301" t="s">
        <v>67</v>
      </c>
      <c r="B1" s="243"/>
      <c r="G1" s="580" t="s">
        <v>68</v>
      </c>
      <c r="H1" s="294"/>
    </row>
    <row r="2" spans="1:8">
      <c r="A2" s="390" t="s">
        <v>2777</v>
      </c>
      <c r="B2" s="581" t="s">
        <v>3121</v>
      </c>
      <c r="C2" t="s">
        <v>2778</v>
      </c>
    </row>
    <row r="3" spans="1:8">
      <c r="A3" s="175" t="s">
        <v>69</v>
      </c>
      <c r="B3" s="175" t="s">
        <v>70</v>
      </c>
      <c r="C3" s="175" t="s">
        <v>71</v>
      </c>
      <c r="D3" s="175" t="s">
        <v>72</v>
      </c>
      <c r="F3" t="s">
        <v>73</v>
      </c>
    </row>
    <row r="4" spans="1:8">
      <c r="A4" t="s">
        <v>74</v>
      </c>
      <c r="B4" s="601">
        <v>187</v>
      </c>
      <c r="C4">
        <f>B4/F4</f>
        <v>1</v>
      </c>
      <c r="D4" t="s">
        <v>2730</v>
      </c>
      <c r="F4">
        <v>187</v>
      </c>
    </row>
    <row r="5" spans="1:8">
      <c r="A5" t="s">
        <v>75</v>
      </c>
      <c r="B5" s="601">
        <v>187</v>
      </c>
      <c r="C5">
        <f>B5/F5</f>
        <v>1</v>
      </c>
      <c r="D5" t="s">
        <v>2729</v>
      </c>
      <c r="F5">
        <v>187</v>
      </c>
    </row>
    <row r="6" spans="1:8">
      <c r="A6" t="s">
        <v>76</v>
      </c>
      <c r="B6" s="601">
        <v>164</v>
      </c>
      <c r="C6">
        <f>B6/F6</f>
        <v>1</v>
      </c>
      <c r="D6" t="s">
        <v>2728</v>
      </c>
      <c r="F6">
        <v>164</v>
      </c>
      <c r="G6" s="488" t="s">
        <v>3119</v>
      </c>
    </row>
    <row r="7" spans="1:8">
      <c r="A7" t="s">
        <v>77</v>
      </c>
      <c r="B7" s="601">
        <v>230</v>
      </c>
      <c r="C7">
        <f>B7/F7</f>
        <v>1</v>
      </c>
      <c r="D7" t="s">
        <v>2732</v>
      </c>
      <c r="F7">
        <v>230</v>
      </c>
      <c r="G7" s="488" t="s">
        <v>3120</v>
      </c>
    </row>
    <row r="8" spans="1:8">
      <c r="A8" t="s">
        <v>78</v>
      </c>
      <c r="B8" s="601">
        <v>188</v>
      </c>
      <c r="C8">
        <f>B8/F8</f>
        <v>1</v>
      </c>
      <c r="D8" t="s">
        <v>2731</v>
      </c>
      <c r="F8">
        <v>188</v>
      </c>
    </row>
    <row r="10" spans="1:8">
      <c r="A10" t="s">
        <v>79</v>
      </c>
    </row>
    <row r="12" spans="1:8">
      <c r="A12" t="s">
        <v>80</v>
      </c>
    </row>
    <row r="13" spans="1:8">
      <c r="A13" t="s">
        <v>81</v>
      </c>
      <c r="B13">
        <v>100</v>
      </c>
      <c r="C13" s="244" t="s">
        <v>82</v>
      </c>
    </row>
    <row r="14" spans="1:8">
      <c r="A14" t="s">
        <v>83</v>
      </c>
      <c r="B14">
        <v>173</v>
      </c>
      <c r="C14" s="244" t="s">
        <v>84</v>
      </c>
    </row>
    <row r="15" spans="1:8">
      <c r="A15" t="s">
        <v>85</v>
      </c>
      <c r="B15">
        <v>190</v>
      </c>
      <c r="C15" s="244" t="s">
        <v>86</v>
      </c>
    </row>
    <row r="16" spans="1:8">
      <c r="A16" t="s">
        <v>87</v>
      </c>
      <c r="B16">
        <v>112.5</v>
      </c>
      <c r="C16" s="244" t="s">
        <v>88</v>
      </c>
    </row>
    <row r="17" spans="1:6">
      <c r="A17" t="s">
        <v>1135</v>
      </c>
      <c r="B17">
        <v>2000</v>
      </c>
      <c r="C17" t="s">
        <v>2748</v>
      </c>
    </row>
    <row r="18" spans="1:6">
      <c r="A18" t="s">
        <v>89</v>
      </c>
      <c r="B18">
        <v>200</v>
      </c>
      <c r="C18" t="s">
        <v>90</v>
      </c>
    </row>
    <row r="19" spans="1:6">
      <c r="A19" s="245" t="s">
        <v>91</v>
      </c>
    </row>
    <row r="20" spans="1:6">
      <c r="A20" t="s">
        <v>92</v>
      </c>
      <c r="B20" s="601">
        <v>277</v>
      </c>
      <c r="C20" s="246">
        <f>B20/F20</f>
        <v>1</v>
      </c>
      <c r="D20" s="244" t="s">
        <v>93</v>
      </c>
      <c r="F20">
        <v>277</v>
      </c>
    </row>
    <row r="22" spans="1:6" ht="22.05" customHeight="1">
      <c r="A22" s="302" t="s">
        <v>94</v>
      </c>
      <c r="B22" s="300">
        <v>1.3</v>
      </c>
      <c r="C22" t="s">
        <v>95</v>
      </c>
    </row>
    <row r="23" spans="1:6">
      <c r="A23" t="s">
        <v>2869</v>
      </c>
      <c r="B23" s="440">
        <v>1.2</v>
      </c>
      <c r="C23" t="s">
        <v>2870</v>
      </c>
    </row>
  </sheetData>
  <hyperlinks>
    <hyperlink ref="G1" location="'สารบัญ'!A1" display="🏠 สารบัญ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T220"/>
  <sheetViews>
    <sheetView zoomScale="45" workbookViewId="0">
      <selection sqref="A1:J1"/>
    </sheetView>
  </sheetViews>
  <sheetFormatPr defaultRowHeight="14.4"/>
  <cols>
    <col min="1" max="1" width="13.77734375" customWidth="1"/>
    <col min="2" max="2" width="41.6640625" customWidth="1"/>
    <col min="3" max="3" width="18" customWidth="1"/>
    <col min="4" max="4" width="7.44140625" customWidth="1"/>
    <col min="5" max="5" width="10.6640625" customWidth="1"/>
    <col min="6" max="6" width="9.5546875" customWidth="1"/>
    <col min="7" max="7" width="17.21875" customWidth="1"/>
    <col min="8" max="8" width="13.6640625" customWidth="1"/>
    <col min="9" max="9" width="15.5546875" customWidth="1"/>
    <col min="10" max="10" width="16.77734375" customWidth="1"/>
    <col min="11" max="11" width="9" customWidth="1"/>
    <col min="12" max="12" width="42.77734375" customWidth="1"/>
    <col min="13" max="19" width="14.77734375" customWidth="1"/>
    <col min="20" max="20" width="8.77734375" customWidth="1"/>
  </cols>
  <sheetData>
    <row r="1" spans="1:20" ht="15.6">
      <c r="A1" s="649" t="s">
        <v>96</v>
      </c>
      <c r="B1" s="650"/>
      <c r="C1" s="650"/>
      <c r="D1" s="650"/>
      <c r="E1" s="650"/>
      <c r="F1" s="650"/>
      <c r="G1" s="650"/>
      <c r="H1" s="650"/>
      <c r="I1" s="650"/>
      <c r="J1" s="650"/>
      <c r="K1" s="582" t="s">
        <v>2733</v>
      </c>
      <c r="L1" s="441" t="s">
        <v>2975</v>
      </c>
      <c r="M1" s="390" t="s">
        <v>2996</v>
      </c>
    </row>
    <row r="2" spans="1:20">
      <c r="A2" s="96" t="s">
        <v>97</v>
      </c>
      <c r="B2" s="96" t="s">
        <v>98</v>
      </c>
      <c r="C2" s="96" t="s">
        <v>99</v>
      </c>
      <c r="D2" s="96" t="s">
        <v>100</v>
      </c>
      <c r="E2" s="96" t="s">
        <v>81</v>
      </c>
      <c r="F2" s="96" t="s">
        <v>101</v>
      </c>
      <c r="G2" s="96" t="s">
        <v>102</v>
      </c>
      <c r="H2" s="96" t="s">
        <v>103</v>
      </c>
      <c r="I2" s="96" t="s">
        <v>104</v>
      </c>
      <c r="J2" s="96" t="s">
        <v>105</v>
      </c>
      <c r="L2" s="454" t="s">
        <v>2976</v>
      </c>
      <c r="M2" s="460" t="s">
        <v>2997</v>
      </c>
      <c r="N2" s="460" t="s">
        <v>2998</v>
      </c>
      <c r="O2" s="460" t="s">
        <v>2999</v>
      </c>
      <c r="P2" s="460" t="s">
        <v>3000</v>
      </c>
      <c r="Q2" s="460" t="s">
        <v>3001</v>
      </c>
      <c r="R2" s="460" t="s">
        <v>3002</v>
      </c>
      <c r="S2" s="460" t="s">
        <v>3003</v>
      </c>
      <c r="T2" s="460" t="s">
        <v>71</v>
      </c>
    </row>
    <row r="3" spans="1:20">
      <c r="A3" s="98" t="s">
        <v>106</v>
      </c>
      <c r="B3" s="97" t="s">
        <v>107</v>
      </c>
      <c r="C3" s="97" t="s">
        <v>108</v>
      </c>
      <c r="D3" s="100">
        <v>1265</v>
      </c>
      <c r="E3" s="100">
        <v>1375</v>
      </c>
      <c r="F3" s="100">
        <f t="shared" ref="F3:F34" si="0">E3</f>
        <v>1375</v>
      </c>
      <c r="G3" s="100"/>
      <c r="H3" s="100">
        <v>2050</v>
      </c>
      <c r="I3" s="100"/>
      <c r="J3" s="100"/>
      <c r="K3" t="s">
        <v>3006</v>
      </c>
      <c r="L3" t="s">
        <v>74</v>
      </c>
      <c r="M3" s="462">
        <f>IF($D$3="","",ROUND($D$3*mult_sms,0))</f>
        <v>1265</v>
      </c>
      <c r="N3" s="462">
        <f>IF($E$3="","",ROUND($E$3*mult_sms,0))</f>
        <v>1375</v>
      </c>
      <c r="O3" s="462">
        <f>IF($F$3="","",ROUND($F$3*mult_sms,0))</f>
        <v>1375</v>
      </c>
      <c r="P3" s="462" t="str">
        <f>IF($G$3="","",ROUND($G$3*mult_sms,0))</f>
        <v/>
      </c>
      <c r="Q3" s="462">
        <f>IF($H$3="","",ROUND($H$3*mult_wood,0))</f>
        <v>2050</v>
      </c>
      <c r="R3" s="462" t="str">
        <f>IF($I$3="","",ROUND($I$3*mult_wood,0))</f>
        <v/>
      </c>
      <c r="S3" s="462" t="str">
        <f>IF($J$3="","",ROUND($J$3*mult_wood,0))</f>
        <v/>
      </c>
      <c r="T3" s="461">
        <f t="shared" ref="T3:T35" si="1">mult_sms</f>
        <v>1</v>
      </c>
    </row>
    <row r="4" spans="1:20">
      <c r="A4" s="463" t="s">
        <v>109</v>
      </c>
      <c r="B4" s="464" t="s">
        <v>110</v>
      </c>
      <c r="C4" s="464" t="s">
        <v>108</v>
      </c>
      <c r="D4" s="465">
        <v>1205</v>
      </c>
      <c r="E4" s="465">
        <v>1310</v>
      </c>
      <c r="F4" s="465">
        <f t="shared" si="0"/>
        <v>1310</v>
      </c>
      <c r="G4" s="465"/>
      <c r="H4" s="465">
        <v>1925</v>
      </c>
      <c r="I4" s="465"/>
      <c r="J4" s="465"/>
      <c r="K4" s="466"/>
      <c r="L4" s="466" t="s">
        <v>3005</v>
      </c>
      <c r="M4" s="462">
        <f>IF($D$4="","",ROUND($D$4*mult_sms,0))</f>
        <v>1205</v>
      </c>
      <c r="N4" s="462">
        <f>IF($E$4="","",ROUND($E$4*mult_sms,0))</f>
        <v>1310</v>
      </c>
      <c r="O4" s="462">
        <f>IF($F$4="","",ROUND($F$4*mult_sms,0))</f>
        <v>1310</v>
      </c>
      <c r="P4" s="462" t="str">
        <f>IF($G$4="","",ROUND($G$4*mult_sms,0))</f>
        <v/>
      </c>
      <c r="Q4" s="462">
        <f>IF($H$4="","",ROUND($H$4*mult_wood,0))</f>
        <v>1925</v>
      </c>
      <c r="R4" s="462" t="str">
        <f>IF($I$4="","",ROUND($I$4*mult_wood,0))</f>
        <v/>
      </c>
      <c r="S4" s="462" t="str">
        <f>IF($J$4="","",ROUND($J$4*mult_wood,0))</f>
        <v/>
      </c>
      <c r="T4" s="461">
        <f t="shared" si="1"/>
        <v>1</v>
      </c>
    </row>
    <row r="5" spans="1:20">
      <c r="A5" s="98" t="s">
        <v>111</v>
      </c>
      <c r="B5" s="97" t="s">
        <v>112</v>
      </c>
      <c r="C5" s="97" t="s">
        <v>108</v>
      </c>
      <c r="D5" s="100">
        <v>990</v>
      </c>
      <c r="E5" s="100">
        <v>1080</v>
      </c>
      <c r="F5" s="100">
        <f t="shared" si="0"/>
        <v>1080</v>
      </c>
      <c r="G5" s="100"/>
      <c r="H5" s="100">
        <v>1585</v>
      </c>
      <c r="I5" s="100"/>
      <c r="J5" s="100"/>
      <c r="K5" t="s">
        <v>3006</v>
      </c>
      <c r="L5" t="s">
        <v>74</v>
      </c>
      <c r="M5" s="462">
        <f>IF($D$5="","",ROUND($D$5*mult_sms,0))</f>
        <v>990</v>
      </c>
      <c r="N5" s="462">
        <f>IF($E$5="","",ROUND($E$5*mult_sms,0))</f>
        <v>1080</v>
      </c>
      <c r="O5" s="462">
        <f>IF($F$5="","",ROUND($F$5*mult_sms,0))</f>
        <v>1080</v>
      </c>
      <c r="P5" s="462" t="str">
        <f>IF($G$5="","",ROUND($G$5*mult_sms,0))</f>
        <v/>
      </c>
      <c r="Q5" s="462">
        <f>IF($H$5="","",ROUND($H$5*mult_wood,0))</f>
        <v>1585</v>
      </c>
      <c r="R5" s="462" t="str">
        <f>IF($I$5="","",ROUND($I$5*mult_wood,0))</f>
        <v/>
      </c>
      <c r="S5" s="462" t="str">
        <f>IF($J$5="","",ROUND($J$5*mult_wood,0))</f>
        <v/>
      </c>
      <c r="T5" s="461">
        <f t="shared" si="1"/>
        <v>1</v>
      </c>
    </row>
    <row r="6" spans="1:20">
      <c r="A6" s="455" t="s">
        <v>113</v>
      </c>
      <c r="B6" s="456" t="s">
        <v>114</v>
      </c>
      <c r="C6" s="456" t="s">
        <v>108</v>
      </c>
      <c r="D6" s="457">
        <v>870</v>
      </c>
      <c r="E6" s="457">
        <v>950</v>
      </c>
      <c r="F6" s="457">
        <f t="shared" si="0"/>
        <v>950</v>
      </c>
      <c r="G6" s="457"/>
      <c r="H6" s="457">
        <v>1395</v>
      </c>
      <c r="I6" s="457"/>
      <c r="J6" s="457"/>
      <c r="K6" s="458"/>
      <c r="L6" s="458" t="s">
        <v>2977</v>
      </c>
      <c r="M6" s="462">
        <f>IF($D$6="","",ROUND($D$6*mult_sms,0))</f>
        <v>870</v>
      </c>
      <c r="N6" s="462">
        <f>IF($E$6="","",ROUND($E$6*mult_sms,0))</f>
        <v>950</v>
      </c>
      <c r="O6" s="462">
        <f>IF($F$6="","",ROUND($F$6*mult_sms,0))</f>
        <v>950</v>
      </c>
      <c r="P6" s="462" t="str">
        <f>IF($G$6="","",ROUND($G$6*mult_sms,0))</f>
        <v/>
      </c>
      <c r="Q6" s="462">
        <f>IF($H$6="","",ROUND($H$6*mult_wood,0))</f>
        <v>1395</v>
      </c>
      <c r="R6" s="462" t="str">
        <f>IF($I$6="","",ROUND($I$6*mult_wood,0))</f>
        <v/>
      </c>
      <c r="S6" s="462" t="str">
        <f>IF($J$6="","",ROUND($J$6*mult_wood,0))</f>
        <v/>
      </c>
      <c r="T6" s="461">
        <f t="shared" si="1"/>
        <v>1</v>
      </c>
    </row>
    <row r="7" spans="1:20">
      <c r="A7" s="455" t="s">
        <v>115</v>
      </c>
      <c r="B7" s="456" t="s">
        <v>116</v>
      </c>
      <c r="C7" s="456" t="s">
        <v>108</v>
      </c>
      <c r="D7" s="457">
        <v>660</v>
      </c>
      <c r="E7" s="457">
        <v>725</v>
      </c>
      <c r="F7" s="457">
        <f t="shared" si="0"/>
        <v>725</v>
      </c>
      <c r="G7" s="457"/>
      <c r="H7" s="457">
        <v>1065</v>
      </c>
      <c r="I7" s="457"/>
      <c r="J7" s="457"/>
      <c r="K7" s="458"/>
      <c r="L7" s="458" t="s">
        <v>2977</v>
      </c>
      <c r="M7" s="462">
        <f>IF($D$7="","",ROUND($D$7*mult_sms,0))</f>
        <v>660</v>
      </c>
      <c r="N7" s="462">
        <f>IF($E$7="","",ROUND($E$7*mult_sms,0))</f>
        <v>725</v>
      </c>
      <c r="O7" s="462">
        <f>IF($F$7="","",ROUND($F$7*mult_sms,0))</f>
        <v>725</v>
      </c>
      <c r="P7" s="462" t="str">
        <f>IF($G$7="","",ROUND($G$7*mult_sms,0))</f>
        <v/>
      </c>
      <c r="Q7" s="462">
        <f>IF($H$7="","",ROUND($H$7*mult_wood,0))</f>
        <v>1065</v>
      </c>
      <c r="R7" s="462" t="str">
        <f>IF($I$7="","",ROUND($I$7*mult_wood,0))</f>
        <v/>
      </c>
      <c r="S7" s="462" t="str">
        <f>IF($J$7="","",ROUND($J$7*mult_wood,0))</f>
        <v/>
      </c>
      <c r="T7" s="461">
        <f t="shared" si="1"/>
        <v>1</v>
      </c>
    </row>
    <row r="8" spans="1:20">
      <c r="A8" s="455" t="s">
        <v>117</v>
      </c>
      <c r="B8" s="456" t="s">
        <v>118</v>
      </c>
      <c r="C8" s="456" t="s">
        <v>108</v>
      </c>
      <c r="D8" s="457">
        <v>1125</v>
      </c>
      <c r="E8" s="457">
        <v>1225</v>
      </c>
      <c r="F8" s="457">
        <f t="shared" si="0"/>
        <v>1225</v>
      </c>
      <c r="G8" s="457"/>
      <c r="H8" s="457">
        <v>1800</v>
      </c>
      <c r="I8" s="457"/>
      <c r="J8" s="457"/>
      <c r="K8" s="458"/>
      <c r="L8" s="458" t="s">
        <v>2977</v>
      </c>
      <c r="M8" s="462">
        <f>IF($D$8="","",ROUND($D$8*mult_sms,0))</f>
        <v>1125</v>
      </c>
      <c r="N8" s="462">
        <f>IF($E$8="","",ROUND($E$8*mult_sms,0))</f>
        <v>1225</v>
      </c>
      <c r="O8" s="462">
        <f>IF($F$8="","",ROUND($F$8*mult_sms,0))</f>
        <v>1225</v>
      </c>
      <c r="P8" s="462" t="str">
        <f>IF($G$8="","",ROUND($G$8*mult_sms,0))</f>
        <v/>
      </c>
      <c r="Q8" s="462">
        <f>IF($H$8="","",ROUND($H$8*mult_wood,0))</f>
        <v>1800</v>
      </c>
      <c r="R8" s="462" t="str">
        <f>IF($I$8="","",ROUND($I$8*mult_wood,0))</f>
        <v/>
      </c>
      <c r="S8" s="462" t="str">
        <f>IF($J$8="","",ROUND($J$8*mult_wood,0))</f>
        <v/>
      </c>
      <c r="T8" s="461">
        <f t="shared" si="1"/>
        <v>1</v>
      </c>
    </row>
    <row r="9" spans="1:20">
      <c r="A9" s="98" t="s">
        <v>119</v>
      </c>
      <c r="B9" s="97" t="s">
        <v>120</v>
      </c>
      <c r="C9" s="97" t="s">
        <v>108</v>
      </c>
      <c r="D9" s="100">
        <v>690</v>
      </c>
      <c r="E9" s="100">
        <v>750</v>
      </c>
      <c r="F9" s="100">
        <f t="shared" si="0"/>
        <v>750</v>
      </c>
      <c r="G9" s="100"/>
      <c r="H9" s="100">
        <v>1105</v>
      </c>
      <c r="I9" s="100"/>
      <c r="J9" s="100"/>
      <c r="L9" t="s">
        <v>2978</v>
      </c>
      <c r="M9" s="462">
        <f>IF($D$9="","",ROUND($D$9*mult_sms,0))</f>
        <v>690</v>
      </c>
      <c r="N9" s="462">
        <f>IF($E$9="","",ROUND($E$9*mult_sms,0))</f>
        <v>750</v>
      </c>
      <c r="O9" s="462">
        <f>IF($F$9="","",ROUND($F$9*mult_sms,0))</f>
        <v>750</v>
      </c>
      <c r="P9" s="462" t="str">
        <f>IF($G$9="","",ROUND($G$9*mult_sms,0))</f>
        <v/>
      </c>
      <c r="Q9" s="462">
        <f>IF($H$9="","",ROUND($H$9*mult_wood,0))</f>
        <v>1105</v>
      </c>
      <c r="R9" s="462" t="str">
        <f>IF($I$9="","",ROUND($I$9*mult_wood,0))</f>
        <v/>
      </c>
      <c r="S9" s="462" t="str">
        <f>IF($J$9="","",ROUND($J$9*mult_wood,0))</f>
        <v/>
      </c>
      <c r="T9" s="461">
        <f t="shared" si="1"/>
        <v>1</v>
      </c>
    </row>
    <row r="10" spans="1:20">
      <c r="A10" s="98" t="s">
        <v>121</v>
      </c>
      <c r="B10" s="97" t="s">
        <v>122</v>
      </c>
      <c r="C10" s="97" t="s">
        <v>108</v>
      </c>
      <c r="D10" s="100">
        <v>1235</v>
      </c>
      <c r="E10" s="100">
        <v>1345</v>
      </c>
      <c r="F10" s="100">
        <f t="shared" si="0"/>
        <v>1345</v>
      </c>
      <c r="G10" s="100"/>
      <c r="H10" s="100">
        <v>1975</v>
      </c>
      <c r="I10" s="100"/>
      <c r="J10" s="100"/>
      <c r="L10" t="s">
        <v>2978</v>
      </c>
      <c r="M10" s="462">
        <f>IF($D$10="","",ROUND($D$10*mult_sms,0))</f>
        <v>1235</v>
      </c>
      <c r="N10" s="462">
        <f>IF($E$10="","",ROUND($E$10*mult_sms,0))</f>
        <v>1345</v>
      </c>
      <c r="O10" s="462">
        <f>IF($F$10="","",ROUND($F$10*mult_sms,0))</f>
        <v>1345</v>
      </c>
      <c r="P10" s="462" t="str">
        <f>IF($G$10="","",ROUND($G$10*mult_sms,0))</f>
        <v/>
      </c>
      <c r="Q10" s="462">
        <f>IF($H$10="","",ROUND($H$10*mult_wood,0))</f>
        <v>1975</v>
      </c>
      <c r="R10" s="462" t="str">
        <f>IF($I$10="","",ROUND($I$10*mult_wood,0))</f>
        <v/>
      </c>
      <c r="S10" s="462" t="str">
        <f>IF($J$10="","",ROUND($J$10*mult_wood,0))</f>
        <v/>
      </c>
      <c r="T10" s="461">
        <f t="shared" si="1"/>
        <v>1</v>
      </c>
    </row>
    <row r="11" spans="1:20">
      <c r="A11" s="98" t="s">
        <v>123</v>
      </c>
      <c r="B11" s="97" t="s">
        <v>124</v>
      </c>
      <c r="C11" s="97" t="s">
        <v>108</v>
      </c>
      <c r="D11" s="100">
        <v>175</v>
      </c>
      <c r="E11" s="100">
        <v>190</v>
      </c>
      <c r="F11" s="100">
        <f t="shared" si="0"/>
        <v>190</v>
      </c>
      <c r="G11" s="100"/>
      <c r="H11" s="100">
        <v>280</v>
      </c>
      <c r="I11" s="100"/>
      <c r="J11" s="100"/>
      <c r="L11" t="s">
        <v>2978</v>
      </c>
      <c r="M11" s="462">
        <f>IF($D$11="","",ROUND($D$11*mult_sms,0))</f>
        <v>175</v>
      </c>
      <c r="N11" s="462">
        <f>IF($E$11="","",ROUND($E$11*mult_sms,0))</f>
        <v>190</v>
      </c>
      <c r="O11" s="462">
        <f>IF($F$11="","",ROUND($F$11*mult_sms,0))</f>
        <v>190</v>
      </c>
      <c r="P11" s="462" t="str">
        <f>IF($G$11="","",ROUND($G$11*mult_sms,0))</f>
        <v/>
      </c>
      <c r="Q11" s="462">
        <f>IF($H$11="","",ROUND($H$11*mult_wood,0))</f>
        <v>280</v>
      </c>
      <c r="R11" s="462" t="str">
        <f>IF($I$11="","",ROUND($I$11*mult_wood,0))</f>
        <v/>
      </c>
      <c r="S11" s="462" t="str">
        <f>IF($J$11="","",ROUND($J$11*mult_wood,0))</f>
        <v/>
      </c>
      <c r="T11" s="461">
        <f t="shared" si="1"/>
        <v>1</v>
      </c>
    </row>
    <row r="12" spans="1:20">
      <c r="A12" s="455" t="s">
        <v>125</v>
      </c>
      <c r="B12" s="456" t="s">
        <v>126</v>
      </c>
      <c r="C12" s="456" t="s">
        <v>108</v>
      </c>
      <c r="D12" s="457">
        <v>185</v>
      </c>
      <c r="E12" s="457">
        <v>200</v>
      </c>
      <c r="F12" s="457">
        <f t="shared" si="0"/>
        <v>200</v>
      </c>
      <c r="G12" s="457"/>
      <c r="H12" s="457">
        <v>295</v>
      </c>
      <c r="I12" s="457"/>
      <c r="J12" s="457"/>
      <c r="K12" s="458"/>
      <c r="L12" s="458" t="s">
        <v>2977</v>
      </c>
      <c r="M12" s="462">
        <f>IF($D$12="","",ROUND($D$12*mult_sms,0))</f>
        <v>185</v>
      </c>
      <c r="N12" s="462">
        <f>IF($E$12="","",ROUND($E$12*mult_sms,0))</f>
        <v>200</v>
      </c>
      <c r="O12" s="462">
        <f>IF($F$12="","",ROUND($F$12*mult_sms,0))</f>
        <v>200</v>
      </c>
      <c r="P12" s="462" t="str">
        <f>IF($G$12="","",ROUND($G$12*mult_sms,0))</f>
        <v/>
      </c>
      <c r="Q12" s="462">
        <f>IF($H$12="","",ROUND($H$12*mult_wood,0))</f>
        <v>295</v>
      </c>
      <c r="R12" s="462" t="str">
        <f>IF($I$12="","",ROUND($I$12*mult_wood,0))</f>
        <v/>
      </c>
      <c r="S12" s="462" t="str">
        <f>IF($J$12="","",ROUND($J$12*mult_wood,0))</f>
        <v/>
      </c>
      <c r="T12" s="461">
        <f t="shared" si="1"/>
        <v>1</v>
      </c>
    </row>
    <row r="13" spans="1:20">
      <c r="A13" s="98" t="s">
        <v>127</v>
      </c>
      <c r="B13" s="97" t="s">
        <v>128</v>
      </c>
      <c r="C13" s="97" t="s">
        <v>108</v>
      </c>
      <c r="D13" s="100">
        <v>2070</v>
      </c>
      <c r="E13" s="100">
        <v>2255</v>
      </c>
      <c r="F13" s="100">
        <f t="shared" si="0"/>
        <v>2255</v>
      </c>
      <c r="G13" s="100"/>
      <c r="H13" s="100">
        <v>3424</v>
      </c>
      <c r="I13" s="100"/>
      <c r="J13" s="100"/>
      <c r="L13" t="s">
        <v>2978</v>
      </c>
      <c r="M13" s="462">
        <f>IF($D$13="","",ROUND($D$13*mult_sms,0))</f>
        <v>2070</v>
      </c>
      <c r="N13" s="462">
        <f>IF($E$13="","",ROUND($E$13*mult_sms,0))</f>
        <v>2255</v>
      </c>
      <c r="O13" s="462">
        <f>IF($F$13="","",ROUND($F$13*mult_sms,0))</f>
        <v>2255</v>
      </c>
      <c r="P13" s="462" t="str">
        <f>IF($G$13="","",ROUND($G$13*mult_sms,0))</f>
        <v/>
      </c>
      <c r="Q13" s="462">
        <f>IF($H$13="","",ROUND($H$13*mult_wood,0))</f>
        <v>3424</v>
      </c>
      <c r="R13" s="462" t="str">
        <f>IF($I$13="","",ROUND($I$13*mult_wood,0))</f>
        <v/>
      </c>
      <c r="S13" s="462" t="str">
        <f>IF($J$13="","",ROUND($J$13*mult_wood,0))</f>
        <v/>
      </c>
      <c r="T13" s="461">
        <f t="shared" si="1"/>
        <v>1</v>
      </c>
    </row>
    <row r="14" spans="1:20">
      <c r="A14" s="455" t="s">
        <v>129</v>
      </c>
      <c r="B14" s="456" t="s">
        <v>130</v>
      </c>
      <c r="C14" s="456" t="s">
        <v>108</v>
      </c>
      <c r="D14" s="457">
        <v>310</v>
      </c>
      <c r="E14" s="457">
        <v>340</v>
      </c>
      <c r="F14" s="457">
        <f t="shared" si="0"/>
        <v>340</v>
      </c>
      <c r="G14" s="457"/>
      <c r="H14" s="457">
        <v>495</v>
      </c>
      <c r="I14" s="457"/>
      <c r="J14" s="457"/>
      <c r="K14" s="458"/>
      <c r="L14" s="458" t="s">
        <v>2977</v>
      </c>
      <c r="M14" s="462">
        <f>IF($D$14="","",ROUND($D$14*mult_sms,0))</f>
        <v>310</v>
      </c>
      <c r="N14" s="462">
        <f>IF($E$14="","",ROUND($E$14*mult_sms,0))</f>
        <v>340</v>
      </c>
      <c r="O14" s="462">
        <f>IF($F$14="","",ROUND($F$14*mult_sms,0))</f>
        <v>340</v>
      </c>
      <c r="P14" s="462" t="str">
        <f>IF($G$14="","",ROUND($G$14*mult_sms,0))</f>
        <v/>
      </c>
      <c r="Q14" s="462">
        <f>IF($H$14="","",ROUND($H$14*mult_wood,0))</f>
        <v>495</v>
      </c>
      <c r="R14" s="462" t="str">
        <f>IF($I$14="","",ROUND($I$14*mult_wood,0))</f>
        <v/>
      </c>
      <c r="S14" s="462" t="str">
        <f>IF($J$14="","",ROUND($J$14*mult_wood,0))</f>
        <v/>
      </c>
      <c r="T14" s="461">
        <f t="shared" si="1"/>
        <v>1</v>
      </c>
    </row>
    <row r="15" spans="1:20">
      <c r="A15" s="455" t="s">
        <v>131</v>
      </c>
      <c r="B15" s="456" t="s">
        <v>132</v>
      </c>
      <c r="C15" s="456" t="s">
        <v>108</v>
      </c>
      <c r="D15" s="457">
        <v>240</v>
      </c>
      <c r="E15" s="457">
        <v>260</v>
      </c>
      <c r="F15" s="457">
        <f t="shared" si="0"/>
        <v>260</v>
      </c>
      <c r="G15" s="457"/>
      <c r="H15" s="457">
        <v>380</v>
      </c>
      <c r="I15" s="457"/>
      <c r="J15" s="457"/>
      <c r="K15" s="458"/>
      <c r="L15" s="458" t="s">
        <v>2977</v>
      </c>
      <c r="M15" s="462">
        <f>IF($D$15="","",ROUND($D$15*mult_sms,0))</f>
        <v>240</v>
      </c>
      <c r="N15" s="462">
        <f>IF($E$15="","",ROUND($E$15*mult_sms,0))</f>
        <v>260</v>
      </c>
      <c r="O15" s="462">
        <f>IF($F$15="","",ROUND($F$15*mult_sms,0))</f>
        <v>260</v>
      </c>
      <c r="P15" s="462" t="str">
        <f>IF($G$15="","",ROUND($G$15*mult_sms,0))</f>
        <v/>
      </c>
      <c r="Q15" s="462">
        <f>IF($H$15="","",ROUND($H$15*mult_wood,0))</f>
        <v>380</v>
      </c>
      <c r="R15" s="462" t="str">
        <f>IF($I$15="","",ROUND($I$15*mult_wood,0))</f>
        <v/>
      </c>
      <c r="S15" s="462" t="str">
        <f>IF($J$15="","",ROUND($J$15*mult_wood,0))</f>
        <v/>
      </c>
      <c r="T15" s="461">
        <f t="shared" si="1"/>
        <v>1</v>
      </c>
    </row>
    <row r="16" spans="1:20">
      <c r="A16" s="98" t="s">
        <v>133</v>
      </c>
      <c r="B16" s="97" t="s">
        <v>134</v>
      </c>
      <c r="C16" s="97" t="s">
        <v>108</v>
      </c>
      <c r="D16" s="100">
        <v>825</v>
      </c>
      <c r="E16" s="100">
        <v>895</v>
      </c>
      <c r="F16" s="100">
        <f t="shared" si="0"/>
        <v>895</v>
      </c>
      <c r="G16" s="100"/>
      <c r="H16" s="100">
        <v>1320</v>
      </c>
      <c r="I16" s="100"/>
      <c r="J16" s="100"/>
      <c r="L16" t="s">
        <v>2978</v>
      </c>
      <c r="M16" s="462">
        <f>IF($D$16="","",ROUND($D$16*mult_sms,0))</f>
        <v>825</v>
      </c>
      <c r="N16" s="462">
        <f>IF($E$16="","",ROUND($E$16*mult_sms,0))</f>
        <v>895</v>
      </c>
      <c r="O16" s="462">
        <f>IF($F$16="","",ROUND($F$16*mult_sms,0))</f>
        <v>895</v>
      </c>
      <c r="P16" s="462" t="str">
        <f>IF($G$16="","",ROUND($G$16*mult_sms,0))</f>
        <v/>
      </c>
      <c r="Q16" s="462">
        <f>IF($H$16="","",ROUND($H$16*mult_wood,0))</f>
        <v>1320</v>
      </c>
      <c r="R16" s="462" t="str">
        <f>IF($I$16="","",ROUND($I$16*mult_wood,0))</f>
        <v/>
      </c>
      <c r="S16" s="462" t="str">
        <f>IF($J$16="","",ROUND($J$16*mult_wood,0))</f>
        <v/>
      </c>
      <c r="T16" s="461">
        <f t="shared" si="1"/>
        <v>1</v>
      </c>
    </row>
    <row r="17" spans="1:20">
      <c r="A17" s="98" t="s">
        <v>135</v>
      </c>
      <c r="B17" s="97" t="s">
        <v>136</v>
      </c>
      <c r="C17" s="97" t="s">
        <v>108</v>
      </c>
      <c r="D17" s="100">
        <v>145</v>
      </c>
      <c r="E17" s="100">
        <v>155</v>
      </c>
      <c r="F17" s="100">
        <f t="shared" si="0"/>
        <v>155</v>
      </c>
      <c r="G17" s="100"/>
      <c r="H17" s="100">
        <v>230</v>
      </c>
      <c r="I17" s="100"/>
      <c r="J17" s="100"/>
      <c r="L17" t="s">
        <v>2978</v>
      </c>
      <c r="M17" s="462">
        <f>IF($D$17="","",ROUND($D$17*mult_sms,0))</f>
        <v>145</v>
      </c>
      <c r="N17" s="462">
        <f>IF($E$17="","",ROUND($E$17*mult_sms,0))</f>
        <v>155</v>
      </c>
      <c r="O17" s="462">
        <f>IF($F$17="","",ROUND($F$17*mult_sms,0))</f>
        <v>155</v>
      </c>
      <c r="P17" s="462" t="str">
        <f>IF($G$17="","",ROUND($G$17*mult_sms,0))</f>
        <v/>
      </c>
      <c r="Q17" s="462">
        <f>IF($H$17="","",ROUND($H$17*mult_wood,0))</f>
        <v>230</v>
      </c>
      <c r="R17" s="462" t="str">
        <f>IF($I$17="","",ROUND($I$17*mult_wood,0))</f>
        <v/>
      </c>
      <c r="S17" s="462" t="str">
        <f>IF($J$17="","",ROUND($J$17*mult_wood,0))</f>
        <v/>
      </c>
      <c r="T17" s="461">
        <f t="shared" si="1"/>
        <v>1</v>
      </c>
    </row>
    <row r="18" spans="1:20">
      <c r="A18" s="98" t="s">
        <v>137</v>
      </c>
      <c r="B18" s="97" t="s">
        <v>138</v>
      </c>
      <c r="C18" s="97" t="s">
        <v>108</v>
      </c>
      <c r="D18" s="100">
        <v>885</v>
      </c>
      <c r="E18" s="100">
        <v>965</v>
      </c>
      <c r="F18" s="100">
        <f t="shared" si="0"/>
        <v>965</v>
      </c>
      <c r="G18" s="100"/>
      <c r="H18" s="100">
        <v>1458</v>
      </c>
      <c r="I18" s="100"/>
      <c r="J18" s="100"/>
      <c r="L18" t="s">
        <v>2979</v>
      </c>
      <c r="M18" s="462">
        <f>IF($D$18="","",ROUND($D$18*mult_sms,0))</f>
        <v>885</v>
      </c>
      <c r="N18" s="462">
        <f>IF($E$18="","",ROUND($E$18*mult_sms,0))</f>
        <v>965</v>
      </c>
      <c r="O18" s="462">
        <f>IF($F$18="","",ROUND($F$18*mult_sms,0))</f>
        <v>965</v>
      </c>
      <c r="P18" s="462" t="str">
        <f>IF($G$18="","",ROUND($G$18*mult_sms,0))</f>
        <v/>
      </c>
      <c r="Q18" s="462">
        <f>IF($H$18="","",ROUND($H$18*mult_wood,0))</f>
        <v>1458</v>
      </c>
      <c r="R18" s="462" t="str">
        <f>IF($I$18="","",ROUND($I$18*mult_wood,0))</f>
        <v/>
      </c>
      <c r="S18" s="462" t="str">
        <f>IF($J$18="","",ROUND($J$18*mult_wood,0))</f>
        <v/>
      </c>
      <c r="T18" s="461">
        <f t="shared" si="1"/>
        <v>1</v>
      </c>
    </row>
    <row r="19" spans="1:20">
      <c r="A19" s="455" t="s">
        <v>139</v>
      </c>
      <c r="B19" s="456" t="s">
        <v>140</v>
      </c>
      <c r="C19" s="456" t="s">
        <v>108</v>
      </c>
      <c r="D19" s="457">
        <v>1550</v>
      </c>
      <c r="E19" s="457">
        <v>1690</v>
      </c>
      <c r="F19" s="457">
        <f t="shared" si="0"/>
        <v>1690</v>
      </c>
      <c r="G19" s="457"/>
      <c r="H19" s="457">
        <v>2480</v>
      </c>
      <c r="I19" s="457"/>
      <c r="J19" s="457"/>
      <c r="K19" s="458"/>
      <c r="L19" s="458" t="s">
        <v>2977</v>
      </c>
      <c r="M19" s="462">
        <f>IF($D$19="","",ROUND($D$19*mult_sms,0))</f>
        <v>1550</v>
      </c>
      <c r="N19" s="462">
        <f>IF($E$19="","",ROUND($E$19*mult_sms,0))</f>
        <v>1690</v>
      </c>
      <c r="O19" s="462">
        <f>IF($F$19="","",ROUND($F$19*mult_sms,0))</f>
        <v>1690</v>
      </c>
      <c r="P19" s="462" t="str">
        <f>IF($G$19="","",ROUND($G$19*mult_sms,0))</f>
        <v/>
      </c>
      <c r="Q19" s="462">
        <f>IF($H$19="","",ROUND($H$19*mult_wood,0))</f>
        <v>2480</v>
      </c>
      <c r="R19" s="462" t="str">
        <f>IF($I$19="","",ROUND($I$19*mult_wood,0))</f>
        <v/>
      </c>
      <c r="S19" s="462" t="str">
        <f>IF($J$19="","",ROUND($J$19*mult_wood,0))</f>
        <v/>
      </c>
      <c r="T19" s="461">
        <f t="shared" si="1"/>
        <v>1</v>
      </c>
    </row>
    <row r="20" spans="1:20">
      <c r="A20" s="98" t="s">
        <v>141</v>
      </c>
      <c r="B20" s="97" t="s">
        <v>142</v>
      </c>
      <c r="C20" s="97" t="s">
        <v>108</v>
      </c>
      <c r="D20" s="100">
        <v>1060</v>
      </c>
      <c r="E20" s="100">
        <v>1155</v>
      </c>
      <c r="F20" s="100">
        <f t="shared" si="0"/>
        <v>1155</v>
      </c>
      <c r="G20" s="100"/>
      <c r="H20" s="100">
        <v>1700</v>
      </c>
      <c r="I20" s="100"/>
      <c r="J20" s="100"/>
      <c r="L20" t="s">
        <v>2978</v>
      </c>
      <c r="M20" s="462">
        <f>IF($D$20="","",ROUND($D$20*mult_sms,0))</f>
        <v>1060</v>
      </c>
      <c r="N20" s="462">
        <f>IF($E$20="","",ROUND($E$20*mult_sms,0))</f>
        <v>1155</v>
      </c>
      <c r="O20" s="462">
        <f>IF($F$20="","",ROUND($F$20*mult_sms,0))</f>
        <v>1155</v>
      </c>
      <c r="P20" s="462" t="str">
        <f>IF($G$20="","",ROUND($G$20*mult_sms,0))</f>
        <v/>
      </c>
      <c r="Q20" s="462">
        <f>IF($H$20="","",ROUND($H$20*mult_wood,0))</f>
        <v>1700</v>
      </c>
      <c r="R20" s="462" t="str">
        <f>IF($I$20="","",ROUND($I$20*mult_wood,0))</f>
        <v/>
      </c>
      <c r="S20" s="462" t="str">
        <f>IF($J$20="","",ROUND($J$20*mult_wood,0))</f>
        <v/>
      </c>
      <c r="T20" s="461">
        <f t="shared" si="1"/>
        <v>1</v>
      </c>
    </row>
    <row r="21" spans="1:20">
      <c r="A21" s="98" t="s">
        <v>143</v>
      </c>
      <c r="B21" s="97" t="s">
        <v>144</v>
      </c>
      <c r="C21" s="97" t="s">
        <v>108</v>
      </c>
      <c r="D21" s="100">
        <v>1465</v>
      </c>
      <c r="E21" s="100">
        <v>1595</v>
      </c>
      <c r="F21" s="100">
        <f t="shared" si="0"/>
        <v>1595</v>
      </c>
      <c r="G21" s="100"/>
      <c r="H21" s="100">
        <v>1955</v>
      </c>
      <c r="I21" s="100"/>
      <c r="J21" s="100"/>
      <c r="K21" t="s">
        <v>3006</v>
      </c>
      <c r="L21" t="s">
        <v>659</v>
      </c>
      <c r="M21" s="462">
        <f>IF($D$21="","",ROUND($D$21*mult_sms,0))</f>
        <v>1465</v>
      </c>
      <c r="N21" s="462">
        <f>IF($E$21="","",ROUND($E$21*mult_sms,0))</f>
        <v>1595</v>
      </c>
      <c r="O21" s="462">
        <f>IF($F$21="","",ROUND($F$21*mult_sms,0))</f>
        <v>1595</v>
      </c>
      <c r="P21" s="462" t="str">
        <f>IF($G$21="","",ROUND($G$21*mult_sms,0))</f>
        <v/>
      </c>
      <c r="Q21" s="462">
        <f>IF($H$21="","",ROUND($H$21*mult_wood,0))</f>
        <v>1955</v>
      </c>
      <c r="R21" s="462" t="str">
        <f>IF($I$21="","",ROUND($I$21*mult_wood,0))</f>
        <v/>
      </c>
      <c r="S21" s="462" t="str">
        <f>IF($J$21="","",ROUND($J$21*mult_wood,0))</f>
        <v/>
      </c>
      <c r="T21" s="461">
        <f t="shared" si="1"/>
        <v>1</v>
      </c>
    </row>
    <row r="22" spans="1:20">
      <c r="A22" s="98" t="s">
        <v>145</v>
      </c>
      <c r="B22" s="97" t="s">
        <v>146</v>
      </c>
      <c r="C22" s="97" t="s">
        <v>108</v>
      </c>
      <c r="D22" s="100">
        <v>1030</v>
      </c>
      <c r="E22" s="100">
        <v>1120</v>
      </c>
      <c r="F22" s="100">
        <f t="shared" si="0"/>
        <v>1120</v>
      </c>
      <c r="G22" s="100"/>
      <c r="H22" s="100">
        <v>1451</v>
      </c>
      <c r="I22" s="100"/>
      <c r="J22" s="100"/>
      <c r="L22" t="s">
        <v>659</v>
      </c>
      <c r="M22" s="462">
        <f>IF($D$22="","",ROUND($D$22*mult_sms,0))</f>
        <v>1030</v>
      </c>
      <c r="N22" s="462">
        <f>IF($E$22="","",ROUND($E$22*mult_sms,0))</f>
        <v>1120</v>
      </c>
      <c r="O22" s="462">
        <f>IF($F$22="","",ROUND($F$22*mult_sms,0))</f>
        <v>1120</v>
      </c>
      <c r="P22" s="462" t="str">
        <f>IF($G$22="","",ROUND($G$22*mult_sms,0))</f>
        <v/>
      </c>
      <c r="Q22" s="462">
        <f>IF($H$22="","",ROUND($H$22*mult_wood,0))</f>
        <v>1451</v>
      </c>
      <c r="R22" s="462" t="str">
        <f>IF($I$22="","",ROUND($I$22*mult_wood,0))</f>
        <v/>
      </c>
      <c r="S22" s="462" t="str">
        <f>IF($J$22="","",ROUND($J$22*mult_wood,0))</f>
        <v/>
      </c>
      <c r="T22" s="461">
        <f t="shared" si="1"/>
        <v>1</v>
      </c>
    </row>
    <row r="23" spans="1:20">
      <c r="A23" s="455" t="s">
        <v>147</v>
      </c>
      <c r="B23" s="456" t="s">
        <v>148</v>
      </c>
      <c r="C23" s="456" t="s">
        <v>108</v>
      </c>
      <c r="D23" s="457">
        <v>305</v>
      </c>
      <c r="E23" s="457">
        <v>330</v>
      </c>
      <c r="F23" s="457">
        <f t="shared" si="0"/>
        <v>330</v>
      </c>
      <c r="G23" s="457"/>
      <c r="H23" s="457">
        <v>485</v>
      </c>
      <c r="I23" s="457"/>
      <c r="J23" s="457"/>
      <c r="K23" s="458"/>
      <c r="L23" s="458" t="s">
        <v>2977</v>
      </c>
      <c r="M23" s="462">
        <f>IF($D$23="","",ROUND($D$23*mult_sms,0))</f>
        <v>305</v>
      </c>
      <c r="N23" s="462">
        <f>IF($E$23="","",ROUND($E$23*mult_sms,0))</f>
        <v>330</v>
      </c>
      <c r="O23" s="462">
        <f>IF($F$23="","",ROUND($F$23*mult_sms,0))</f>
        <v>330</v>
      </c>
      <c r="P23" s="462" t="str">
        <f>IF($G$23="","",ROUND($G$23*mult_sms,0))</f>
        <v/>
      </c>
      <c r="Q23" s="462">
        <f>IF($H$23="","",ROUND($H$23*mult_wood,0))</f>
        <v>485</v>
      </c>
      <c r="R23" s="462" t="str">
        <f>IF($I$23="","",ROUND($I$23*mult_wood,0))</f>
        <v/>
      </c>
      <c r="S23" s="462" t="str">
        <f>IF($J$23="","",ROUND($J$23*mult_wood,0))</f>
        <v/>
      </c>
      <c r="T23" s="461">
        <f t="shared" si="1"/>
        <v>1</v>
      </c>
    </row>
    <row r="24" spans="1:20">
      <c r="A24" s="98" t="s">
        <v>149</v>
      </c>
      <c r="B24" s="97" t="s">
        <v>150</v>
      </c>
      <c r="C24" s="97" t="s">
        <v>108</v>
      </c>
      <c r="D24" s="100">
        <v>2105</v>
      </c>
      <c r="E24" s="100">
        <v>2290</v>
      </c>
      <c r="F24" s="100">
        <f t="shared" si="0"/>
        <v>2290</v>
      </c>
      <c r="G24" s="100"/>
      <c r="H24" s="100">
        <v>3590</v>
      </c>
      <c r="I24" s="100"/>
      <c r="J24" s="100"/>
      <c r="L24" t="s">
        <v>2980</v>
      </c>
      <c r="M24" s="462">
        <f>IF($D$24="","",ROUND($D$24*mult_sms,0))</f>
        <v>2105</v>
      </c>
      <c r="N24" s="462">
        <f>IF($E$24="","",ROUND($E$24*mult_sms,0))</f>
        <v>2290</v>
      </c>
      <c r="O24" s="462">
        <f>IF($F$24="","",ROUND($F$24*mult_sms,0))</f>
        <v>2290</v>
      </c>
      <c r="P24" s="462" t="str">
        <f>IF($G$24="","",ROUND($G$24*mult_sms,0))</f>
        <v/>
      </c>
      <c r="Q24" s="462">
        <f>IF($H$24="","",ROUND($H$24*mult_wood,0))</f>
        <v>3590</v>
      </c>
      <c r="R24" s="462" t="str">
        <f>IF($I$24="","",ROUND($I$24*mult_wood,0))</f>
        <v/>
      </c>
      <c r="S24" s="462" t="str">
        <f>IF($J$24="","",ROUND($J$24*mult_wood,0))</f>
        <v/>
      </c>
      <c r="T24" s="461">
        <f t="shared" si="1"/>
        <v>1</v>
      </c>
    </row>
    <row r="25" spans="1:20">
      <c r="A25" s="98" t="s">
        <v>151</v>
      </c>
      <c r="B25" s="97" t="s">
        <v>152</v>
      </c>
      <c r="C25" s="97" t="s">
        <v>108</v>
      </c>
      <c r="D25" s="100">
        <v>320</v>
      </c>
      <c r="E25" s="100">
        <v>345</v>
      </c>
      <c r="F25" s="100">
        <f t="shared" si="0"/>
        <v>345</v>
      </c>
      <c r="G25" s="100"/>
      <c r="H25" s="100">
        <v>550</v>
      </c>
      <c r="I25" s="100"/>
      <c r="J25" s="100"/>
      <c r="L25" t="s">
        <v>2980</v>
      </c>
      <c r="M25" s="462">
        <f>IF($D$25="","",ROUND($D$25*mult_sms,0))</f>
        <v>320</v>
      </c>
      <c r="N25" s="462">
        <f>IF($E$25="","",ROUND($E$25*mult_sms,0))</f>
        <v>345</v>
      </c>
      <c r="O25" s="462">
        <f>IF($F$25="","",ROUND($F$25*mult_sms,0))</f>
        <v>345</v>
      </c>
      <c r="P25" s="462" t="str">
        <f>IF($G$25="","",ROUND($G$25*mult_sms,0))</f>
        <v/>
      </c>
      <c r="Q25" s="462">
        <f>IF($H$25="","",ROUND($H$25*mult_wood,0))</f>
        <v>550</v>
      </c>
      <c r="R25" s="462" t="str">
        <f>IF($I$25="","",ROUND($I$25*mult_wood,0))</f>
        <v/>
      </c>
      <c r="S25" s="462" t="str">
        <f>IF($J$25="","",ROUND($J$25*mult_wood,0))</f>
        <v/>
      </c>
      <c r="T25" s="461">
        <f t="shared" si="1"/>
        <v>1</v>
      </c>
    </row>
    <row r="26" spans="1:20">
      <c r="A26" s="98" t="s">
        <v>153</v>
      </c>
      <c r="B26" s="97" t="s">
        <v>154</v>
      </c>
      <c r="C26" s="97" t="s">
        <v>108</v>
      </c>
      <c r="D26" s="100">
        <v>1455</v>
      </c>
      <c r="E26" s="100">
        <v>1585</v>
      </c>
      <c r="F26" s="100">
        <f t="shared" si="0"/>
        <v>1585</v>
      </c>
      <c r="G26" s="100"/>
      <c r="H26" s="100">
        <v>2505</v>
      </c>
      <c r="I26" s="100"/>
      <c r="J26" s="100"/>
      <c r="L26" t="s">
        <v>2980</v>
      </c>
      <c r="M26" s="462">
        <f>IF($D$26="","",ROUND($D$26*mult_sms,0))</f>
        <v>1455</v>
      </c>
      <c r="N26" s="462">
        <f>IF($E$26="","",ROUND($E$26*mult_sms,0))</f>
        <v>1585</v>
      </c>
      <c r="O26" s="462">
        <f>IF($F$26="","",ROUND($F$26*mult_sms,0))</f>
        <v>1585</v>
      </c>
      <c r="P26" s="462" t="str">
        <f>IF($G$26="","",ROUND($G$26*mult_sms,0))</f>
        <v/>
      </c>
      <c r="Q26" s="462">
        <f>IF($H$26="","",ROUND($H$26*mult_wood,0))</f>
        <v>2505</v>
      </c>
      <c r="R26" s="462" t="str">
        <f>IF($I$26="","",ROUND($I$26*mult_wood,0))</f>
        <v/>
      </c>
      <c r="S26" s="462" t="str">
        <f>IF($J$26="","",ROUND($J$26*mult_wood,0))</f>
        <v/>
      </c>
      <c r="T26" s="461">
        <f t="shared" si="1"/>
        <v>1</v>
      </c>
    </row>
    <row r="27" spans="1:20">
      <c r="A27" s="98" t="s">
        <v>155</v>
      </c>
      <c r="B27" s="97" t="s">
        <v>156</v>
      </c>
      <c r="C27" s="97" t="s">
        <v>108</v>
      </c>
      <c r="D27" s="100">
        <v>570</v>
      </c>
      <c r="E27" s="100">
        <v>620</v>
      </c>
      <c r="F27" s="100">
        <f t="shared" si="0"/>
        <v>620</v>
      </c>
      <c r="G27" s="100"/>
      <c r="H27" s="100">
        <v>965</v>
      </c>
      <c r="I27" s="100"/>
      <c r="J27" s="100"/>
      <c r="L27" t="s">
        <v>2980</v>
      </c>
      <c r="M27" s="462">
        <f>IF($D$27="","",ROUND($D$27*mult_sms,0))</f>
        <v>570</v>
      </c>
      <c r="N27" s="462">
        <f>IF($E$27="","",ROUND($E$27*mult_sms,0))</f>
        <v>620</v>
      </c>
      <c r="O27" s="462">
        <f>IF($F$27="","",ROUND($F$27*mult_sms,0))</f>
        <v>620</v>
      </c>
      <c r="P27" s="462" t="str">
        <f>IF($G$27="","",ROUND($G$27*mult_sms,0))</f>
        <v/>
      </c>
      <c r="Q27" s="462">
        <f>IF($H$27="","",ROUND($H$27*mult_wood,0))</f>
        <v>965</v>
      </c>
      <c r="R27" s="462" t="str">
        <f>IF($I$27="","",ROUND($I$27*mult_wood,0))</f>
        <v/>
      </c>
      <c r="S27" s="462" t="str">
        <f>IF($J$27="","",ROUND($J$27*mult_wood,0))</f>
        <v/>
      </c>
      <c r="T27" s="461">
        <f t="shared" si="1"/>
        <v>1</v>
      </c>
    </row>
    <row r="28" spans="1:20">
      <c r="A28" s="98" t="s">
        <v>157</v>
      </c>
      <c r="B28" s="97" t="s">
        <v>158</v>
      </c>
      <c r="C28" s="97" t="s">
        <v>108</v>
      </c>
      <c r="D28" s="100">
        <v>1000</v>
      </c>
      <c r="E28" s="100">
        <v>1085</v>
      </c>
      <c r="F28" s="100">
        <f t="shared" si="0"/>
        <v>1085</v>
      </c>
      <c r="G28" s="100"/>
      <c r="H28" s="100">
        <v>1746</v>
      </c>
      <c r="I28" s="100"/>
      <c r="J28" s="100"/>
      <c r="L28" t="s">
        <v>2980</v>
      </c>
      <c r="M28" s="462">
        <f>IF($D$28="","",ROUND($D$28*mult_sms,0))</f>
        <v>1000</v>
      </c>
      <c r="N28" s="462">
        <f>IF($E$28="","",ROUND($E$28*mult_sms,0))</f>
        <v>1085</v>
      </c>
      <c r="O28" s="462">
        <f>IF($F$28="","",ROUND($F$28*mult_sms,0))</f>
        <v>1085</v>
      </c>
      <c r="P28" s="462" t="str">
        <f>IF($G$28="","",ROUND($G$28*mult_sms,0))</f>
        <v/>
      </c>
      <c r="Q28" s="462">
        <f>IF($H$28="","",ROUND($H$28*mult_wood,0))</f>
        <v>1746</v>
      </c>
      <c r="R28" s="462" t="str">
        <f>IF($I$28="","",ROUND($I$28*mult_wood,0))</f>
        <v/>
      </c>
      <c r="S28" s="462" t="str">
        <f>IF($J$28="","",ROUND($J$28*mult_wood,0))</f>
        <v/>
      </c>
      <c r="T28" s="461">
        <f t="shared" si="1"/>
        <v>1</v>
      </c>
    </row>
    <row r="29" spans="1:20">
      <c r="A29" s="98" t="s">
        <v>159</v>
      </c>
      <c r="B29" s="97" t="s">
        <v>160</v>
      </c>
      <c r="C29" s="97" t="s">
        <v>108</v>
      </c>
      <c r="D29" s="100">
        <v>280</v>
      </c>
      <c r="E29" s="100">
        <v>305</v>
      </c>
      <c r="F29" s="100">
        <f t="shared" si="0"/>
        <v>305</v>
      </c>
      <c r="G29" s="100"/>
      <c r="H29" s="100">
        <v>500</v>
      </c>
      <c r="I29" s="100"/>
      <c r="J29" s="100"/>
      <c r="L29" t="s">
        <v>2980</v>
      </c>
      <c r="M29" s="462">
        <f>IF($D$29="","",ROUND($D$29*mult_sms,0))</f>
        <v>280</v>
      </c>
      <c r="N29" s="462">
        <f>IF($E$29="","",ROUND($E$29*mult_sms,0))</f>
        <v>305</v>
      </c>
      <c r="O29" s="462">
        <f>IF($F$29="","",ROUND($F$29*mult_sms,0))</f>
        <v>305</v>
      </c>
      <c r="P29" s="462" t="str">
        <f>IF($G$29="","",ROUND($G$29*mult_sms,0))</f>
        <v/>
      </c>
      <c r="Q29" s="462">
        <f>IF($H$29="","",ROUND($H$29*mult_wood,0))</f>
        <v>500</v>
      </c>
      <c r="R29" s="462" t="str">
        <f>IF($I$29="","",ROUND($I$29*mult_wood,0))</f>
        <v/>
      </c>
      <c r="S29" s="462" t="str">
        <f>IF($J$29="","",ROUND($J$29*mult_wood,0))</f>
        <v/>
      </c>
      <c r="T29" s="461">
        <f t="shared" si="1"/>
        <v>1</v>
      </c>
    </row>
    <row r="30" spans="1:20">
      <c r="A30" s="98" t="s">
        <v>161</v>
      </c>
      <c r="B30" s="97" t="s">
        <v>162</v>
      </c>
      <c r="C30" s="97" t="s">
        <v>108</v>
      </c>
      <c r="D30" s="100">
        <v>1210</v>
      </c>
      <c r="E30" s="100">
        <v>1320</v>
      </c>
      <c r="F30" s="100">
        <f t="shared" si="0"/>
        <v>1320</v>
      </c>
      <c r="G30" s="100"/>
      <c r="H30" s="100">
        <v>1940</v>
      </c>
      <c r="I30" s="100"/>
      <c r="J30" s="100"/>
      <c r="L30" t="s">
        <v>2980</v>
      </c>
      <c r="M30" s="462">
        <f>IF($D$30="","",ROUND($D$30*mult_sms,0))</f>
        <v>1210</v>
      </c>
      <c r="N30" s="462">
        <f>IF($E$30="","",ROUND($E$30*mult_sms,0))</f>
        <v>1320</v>
      </c>
      <c r="O30" s="462">
        <f>IF($F$30="","",ROUND($F$30*mult_sms,0))</f>
        <v>1320</v>
      </c>
      <c r="P30" s="462" t="str">
        <f>IF($G$30="","",ROUND($G$30*mult_sms,0))</f>
        <v/>
      </c>
      <c r="Q30" s="462">
        <f>IF($H$30="","",ROUND($H$30*mult_wood,0))</f>
        <v>1940</v>
      </c>
      <c r="R30" s="462" t="str">
        <f>IF($I$30="","",ROUND($I$30*mult_wood,0))</f>
        <v/>
      </c>
      <c r="S30" s="462" t="str">
        <f>IF($J$30="","",ROUND($J$30*mult_wood,0))</f>
        <v/>
      </c>
      <c r="T30" s="461">
        <f t="shared" si="1"/>
        <v>1</v>
      </c>
    </row>
    <row r="31" spans="1:20">
      <c r="A31" s="98" t="s">
        <v>163</v>
      </c>
      <c r="B31" s="97" t="s">
        <v>164</v>
      </c>
      <c r="C31" s="97" t="s">
        <v>108</v>
      </c>
      <c r="D31" s="100">
        <v>265</v>
      </c>
      <c r="E31" s="100">
        <v>285</v>
      </c>
      <c r="F31" s="100">
        <f t="shared" si="0"/>
        <v>285</v>
      </c>
      <c r="G31" s="100"/>
      <c r="H31" s="100">
        <v>460</v>
      </c>
      <c r="I31" s="100"/>
      <c r="J31" s="100"/>
      <c r="L31" t="s">
        <v>2980</v>
      </c>
      <c r="M31" s="462">
        <f>IF($D$31="","",ROUND($D$31*mult_sms,0))</f>
        <v>265</v>
      </c>
      <c r="N31" s="462">
        <f>IF($E$31="","",ROUND($E$31*mult_sms,0))</f>
        <v>285</v>
      </c>
      <c r="O31" s="462">
        <f>IF($F$31="","",ROUND($F$31*mult_sms,0))</f>
        <v>285</v>
      </c>
      <c r="P31" s="462" t="str">
        <f>IF($G$31="","",ROUND($G$31*mult_sms,0))</f>
        <v/>
      </c>
      <c r="Q31" s="462">
        <f>IF($H$31="","",ROUND($H$31*mult_wood,0))</f>
        <v>460</v>
      </c>
      <c r="R31" s="462" t="str">
        <f>IF($I$31="","",ROUND($I$31*mult_wood,0))</f>
        <v/>
      </c>
      <c r="S31" s="462" t="str">
        <f>IF($J$31="","",ROUND($J$31*mult_wood,0))</f>
        <v/>
      </c>
      <c r="T31" s="461">
        <f t="shared" si="1"/>
        <v>1</v>
      </c>
    </row>
    <row r="32" spans="1:20">
      <c r="A32" s="98" t="s">
        <v>165</v>
      </c>
      <c r="B32" s="97" t="s">
        <v>166</v>
      </c>
      <c r="C32" s="97" t="s">
        <v>108</v>
      </c>
      <c r="D32" s="100">
        <v>270</v>
      </c>
      <c r="E32" s="100">
        <v>295</v>
      </c>
      <c r="F32" s="100">
        <f t="shared" si="0"/>
        <v>295</v>
      </c>
      <c r="G32" s="100"/>
      <c r="H32" s="100">
        <v>460</v>
      </c>
      <c r="I32" s="100"/>
      <c r="J32" s="100"/>
      <c r="L32" t="s">
        <v>2980</v>
      </c>
      <c r="M32" s="462">
        <f>IF($D$32="","",ROUND($D$32*mult_sms,0))</f>
        <v>270</v>
      </c>
      <c r="N32" s="462">
        <f>IF($E$32="","",ROUND($E$32*mult_sms,0))</f>
        <v>295</v>
      </c>
      <c r="O32" s="462">
        <f>IF($F$32="","",ROUND($F$32*mult_sms,0))</f>
        <v>295</v>
      </c>
      <c r="P32" s="462" t="str">
        <f>IF($G$32="","",ROUND($G$32*mult_sms,0))</f>
        <v/>
      </c>
      <c r="Q32" s="462">
        <f>IF($H$32="","",ROUND($H$32*mult_wood,0))</f>
        <v>460</v>
      </c>
      <c r="R32" s="462" t="str">
        <f>IF($I$32="","",ROUND($I$32*mult_wood,0))</f>
        <v/>
      </c>
      <c r="S32" s="462" t="str">
        <f>IF($J$32="","",ROUND($J$32*mult_wood,0))</f>
        <v/>
      </c>
      <c r="T32" s="461">
        <f t="shared" si="1"/>
        <v>1</v>
      </c>
    </row>
    <row r="33" spans="1:20">
      <c r="A33" s="98" t="s">
        <v>167</v>
      </c>
      <c r="B33" s="97" t="s">
        <v>168</v>
      </c>
      <c r="C33" s="97" t="s">
        <v>108</v>
      </c>
      <c r="D33" s="100">
        <v>305</v>
      </c>
      <c r="E33" s="100">
        <v>330</v>
      </c>
      <c r="F33" s="100">
        <f t="shared" si="0"/>
        <v>330</v>
      </c>
      <c r="G33" s="100"/>
      <c r="H33" s="100">
        <v>485</v>
      </c>
      <c r="I33" s="100"/>
      <c r="J33" s="100"/>
      <c r="L33" t="s">
        <v>2981</v>
      </c>
      <c r="M33" s="462">
        <f>IF($D$33="","",ROUND($D$33*mult_sms,0))</f>
        <v>305</v>
      </c>
      <c r="N33" s="462">
        <f>IF($E$33="","",ROUND($E$33*mult_sms,0))</f>
        <v>330</v>
      </c>
      <c r="O33" s="462">
        <f>IF($F$33="","",ROUND($F$33*mult_sms,0))</f>
        <v>330</v>
      </c>
      <c r="P33" s="462" t="str">
        <f>IF($G$33="","",ROUND($G$33*mult_sms,0))</f>
        <v/>
      </c>
      <c r="Q33" s="462">
        <f>IF($H$33="","",ROUND($H$33*mult_wood,0))</f>
        <v>485</v>
      </c>
      <c r="R33" s="462" t="str">
        <f>IF($I$33="","",ROUND($I$33*mult_wood,0))</f>
        <v/>
      </c>
      <c r="S33" s="462" t="str">
        <f>IF($J$33="","",ROUND($J$33*mult_wood,0))</f>
        <v/>
      </c>
      <c r="T33" s="461">
        <f t="shared" si="1"/>
        <v>1</v>
      </c>
    </row>
    <row r="34" spans="1:20">
      <c r="A34" s="98" t="s">
        <v>169</v>
      </c>
      <c r="B34" s="97" t="s">
        <v>170</v>
      </c>
      <c r="C34" s="97" t="s">
        <v>108</v>
      </c>
      <c r="D34" s="100">
        <v>905</v>
      </c>
      <c r="E34" s="100">
        <v>985</v>
      </c>
      <c r="F34" s="100">
        <f t="shared" si="0"/>
        <v>985</v>
      </c>
      <c r="G34" s="100"/>
      <c r="H34" s="100">
        <v>1445</v>
      </c>
      <c r="I34" s="100"/>
      <c r="J34" s="100"/>
      <c r="L34" t="s">
        <v>2980</v>
      </c>
      <c r="M34" s="462">
        <f>IF($D$34="","",ROUND($D$34*mult_sms,0))</f>
        <v>905</v>
      </c>
      <c r="N34" s="462">
        <f>IF($E$34="","",ROUND($E$34*mult_sms,0))</f>
        <v>985</v>
      </c>
      <c r="O34" s="462">
        <f>IF($F$34="","",ROUND($F$34*mult_sms,0))</f>
        <v>985</v>
      </c>
      <c r="P34" s="462" t="str">
        <f>IF($G$34="","",ROUND($G$34*mult_sms,0))</f>
        <v/>
      </c>
      <c r="Q34" s="462">
        <f>IF($H$34="","",ROUND($H$34*mult_wood,0))</f>
        <v>1445</v>
      </c>
      <c r="R34" s="462" t="str">
        <f>IF($I$34="","",ROUND($I$34*mult_wood,0))</f>
        <v/>
      </c>
      <c r="S34" s="462" t="str">
        <f>IF($J$34="","",ROUND($J$34*mult_wood,0))</f>
        <v/>
      </c>
      <c r="T34" s="461">
        <f t="shared" si="1"/>
        <v>1</v>
      </c>
    </row>
    <row r="35" spans="1:20">
      <c r="A35" s="455" t="s">
        <v>171</v>
      </c>
      <c r="B35" s="456" t="s">
        <v>172</v>
      </c>
      <c r="C35" s="456" t="s">
        <v>108</v>
      </c>
      <c r="D35" s="457">
        <v>625</v>
      </c>
      <c r="E35" s="457">
        <v>680</v>
      </c>
      <c r="F35" s="457">
        <f t="shared" ref="F35:F66" si="2">E35</f>
        <v>680</v>
      </c>
      <c r="G35" s="457"/>
      <c r="H35" s="457">
        <v>1000</v>
      </c>
      <c r="I35" s="457"/>
      <c r="J35" s="457"/>
      <c r="K35" s="458"/>
      <c r="L35" s="458" t="s">
        <v>2977</v>
      </c>
      <c r="M35" s="462">
        <f>IF($D$35="","",ROUND($D$35*mult_sms,0))</f>
        <v>625</v>
      </c>
      <c r="N35" s="462">
        <f>IF($E$35="","",ROUND($E$35*mult_sms,0))</f>
        <v>680</v>
      </c>
      <c r="O35" s="462">
        <f>IF($F$35="","",ROUND($F$35*mult_sms,0))</f>
        <v>680</v>
      </c>
      <c r="P35" s="462" t="str">
        <f>IF($G$35="","",ROUND($G$35*mult_sms,0))</f>
        <v/>
      </c>
      <c r="Q35" s="462">
        <f>IF($H$35="","",ROUND($H$35*mult_wood,0))</f>
        <v>1000</v>
      </c>
      <c r="R35" s="462" t="str">
        <f>IF($I$35="","",ROUND($I$35*mult_wood,0))</f>
        <v/>
      </c>
      <c r="S35" s="462" t="str">
        <f>IF($J$35="","",ROUND($J$35*mult_wood,0))</f>
        <v/>
      </c>
      <c r="T35" s="461">
        <f t="shared" si="1"/>
        <v>1</v>
      </c>
    </row>
    <row r="36" spans="1:20">
      <c r="A36" s="455" t="s">
        <v>173</v>
      </c>
      <c r="B36" s="456" t="s">
        <v>174</v>
      </c>
      <c r="C36" s="456" t="s">
        <v>175</v>
      </c>
      <c r="D36" s="457">
        <v>2450</v>
      </c>
      <c r="E36" s="457">
        <v>2610</v>
      </c>
      <c r="F36" s="457">
        <f t="shared" si="2"/>
        <v>2610</v>
      </c>
      <c r="G36" s="457">
        <v>2665</v>
      </c>
      <c r="H36" s="457">
        <v>3576</v>
      </c>
      <c r="I36" s="457">
        <v>3685</v>
      </c>
      <c r="J36" s="457">
        <v>3685</v>
      </c>
      <c r="K36" s="458" t="s">
        <v>2959</v>
      </c>
      <c r="L36" s="458" t="s">
        <v>2977</v>
      </c>
      <c r="M36" s="462">
        <f>IF($D$36="","",ROUND($D$36*mult_euro,0))</f>
        <v>2450</v>
      </c>
      <c r="N36" s="462">
        <f>IF($E$36="","",ROUND($E$36*mult_euro,0))</f>
        <v>2610</v>
      </c>
      <c r="O36" s="462">
        <f>IF($F$36="","",ROUND($F$36*mult_euro,0))</f>
        <v>2610</v>
      </c>
      <c r="P36" s="462">
        <f>IF($G$36="","",ROUND($G$36*mult_euro,0))</f>
        <v>2665</v>
      </c>
      <c r="Q36" s="462">
        <f>IF($H$36="","",ROUND($H$36*mult_wood,0))</f>
        <v>3576</v>
      </c>
      <c r="R36" s="462">
        <f>IF($I$36="","",ROUND($I$36*mult_wood,0))</f>
        <v>3685</v>
      </c>
      <c r="S36" s="462">
        <f>IF($J$36="","",ROUND($J$36*mult_wood,0))</f>
        <v>3685</v>
      </c>
      <c r="T36" s="461">
        <f t="shared" ref="T36:T67" si="3">mult_euro</f>
        <v>1</v>
      </c>
    </row>
    <row r="37" spans="1:20">
      <c r="A37" s="98" t="s">
        <v>176</v>
      </c>
      <c r="B37" s="97" t="s">
        <v>177</v>
      </c>
      <c r="C37" s="97" t="s">
        <v>175</v>
      </c>
      <c r="D37" s="100">
        <v>2765</v>
      </c>
      <c r="E37" s="100">
        <v>2950</v>
      </c>
      <c r="F37" s="100">
        <f t="shared" si="2"/>
        <v>2950</v>
      </c>
      <c r="G37" s="100">
        <v>3010</v>
      </c>
      <c r="H37" s="100">
        <v>4005</v>
      </c>
      <c r="I37" s="100">
        <v>4165</v>
      </c>
      <c r="J37" s="100">
        <v>4165</v>
      </c>
      <c r="K37" t="s">
        <v>2965</v>
      </c>
      <c r="L37" t="s">
        <v>2982</v>
      </c>
      <c r="M37" s="462">
        <f>IF($D$37="","",ROUND($D$37*mult_euro,0))</f>
        <v>2765</v>
      </c>
      <c r="N37" s="462">
        <f>IF($E$37="","",ROUND($E$37*mult_euro,0))</f>
        <v>2950</v>
      </c>
      <c r="O37" s="462">
        <f>IF($F$37="","",ROUND($F$37*mult_euro,0))</f>
        <v>2950</v>
      </c>
      <c r="P37" s="462">
        <f>IF($G$37="","",ROUND($G$37*mult_euro,0))</f>
        <v>3010</v>
      </c>
      <c r="Q37" s="462">
        <f>IF($H$37="","",ROUND($H$37*mult_wood,0))</f>
        <v>4005</v>
      </c>
      <c r="R37" s="462">
        <f>IF($I$37="","",ROUND($I$37*mult_wood,0))</f>
        <v>4165</v>
      </c>
      <c r="S37" s="462">
        <f>IF($J$37="","",ROUND($J$37*mult_wood,0))</f>
        <v>4165</v>
      </c>
      <c r="T37" s="461">
        <f t="shared" si="3"/>
        <v>1</v>
      </c>
    </row>
    <row r="38" spans="1:20">
      <c r="A38" s="463" t="s">
        <v>178</v>
      </c>
      <c r="B38" s="464" t="s">
        <v>179</v>
      </c>
      <c r="C38" s="464" t="s">
        <v>175</v>
      </c>
      <c r="D38" s="465">
        <v>1530</v>
      </c>
      <c r="E38" s="465">
        <v>1630</v>
      </c>
      <c r="F38" s="465">
        <f t="shared" si="2"/>
        <v>1630</v>
      </c>
      <c r="G38" s="465">
        <v>1665</v>
      </c>
      <c r="H38" s="465">
        <v>2250</v>
      </c>
      <c r="I38" s="465">
        <v>2300</v>
      </c>
      <c r="J38" s="465">
        <v>2300</v>
      </c>
      <c r="K38" s="466" t="s">
        <v>2965</v>
      </c>
      <c r="L38" s="466" t="s">
        <v>3025</v>
      </c>
      <c r="M38" s="462">
        <f>IF($D$38="","",ROUND($D$38*mult_euro,0))</f>
        <v>1530</v>
      </c>
      <c r="N38" s="462">
        <f>IF($E$38="","",ROUND($E$38*mult_euro,0))</f>
        <v>1630</v>
      </c>
      <c r="O38" s="462">
        <f>IF($F$38="","",ROUND($F$38*mult_euro,0))</f>
        <v>1630</v>
      </c>
      <c r="P38" s="462">
        <f>IF($G$38="","",ROUND($G$38*mult_euro,0))</f>
        <v>1665</v>
      </c>
      <c r="Q38" s="462">
        <f>IF($H$38="","",ROUND($H$38*mult_wood,0))</f>
        <v>2250</v>
      </c>
      <c r="R38" s="462">
        <f>IF($I$38="","",ROUND($I$38*mult_wood,0))</f>
        <v>2300</v>
      </c>
      <c r="S38" s="462">
        <f>IF($J$38="","",ROUND($J$38*mult_wood,0))</f>
        <v>2300</v>
      </c>
      <c r="T38" s="461">
        <f t="shared" si="3"/>
        <v>1</v>
      </c>
    </row>
    <row r="39" spans="1:20">
      <c r="A39" s="455" t="s">
        <v>180</v>
      </c>
      <c r="B39" s="456" t="s">
        <v>181</v>
      </c>
      <c r="C39" s="456" t="s">
        <v>175</v>
      </c>
      <c r="D39" s="457">
        <v>1030</v>
      </c>
      <c r="E39" s="457">
        <v>1095</v>
      </c>
      <c r="F39" s="457">
        <f t="shared" si="2"/>
        <v>1095</v>
      </c>
      <c r="G39" s="457">
        <v>1120</v>
      </c>
      <c r="H39" s="457">
        <v>1485</v>
      </c>
      <c r="I39" s="457">
        <v>1550</v>
      </c>
      <c r="J39" s="457">
        <v>1550</v>
      </c>
      <c r="K39" s="458" t="s">
        <v>2965</v>
      </c>
      <c r="L39" s="458" t="s">
        <v>2977</v>
      </c>
      <c r="M39" s="462">
        <f>IF($D$39="","",ROUND($D$39*mult_euro,0))</f>
        <v>1030</v>
      </c>
      <c r="N39" s="462">
        <f>IF($E$39="","",ROUND($E$39*mult_euro,0))</f>
        <v>1095</v>
      </c>
      <c r="O39" s="462">
        <f>IF($F$39="","",ROUND($F$39*mult_euro,0))</f>
        <v>1095</v>
      </c>
      <c r="P39" s="462">
        <f>IF($G$39="","",ROUND($G$39*mult_euro,0))</f>
        <v>1120</v>
      </c>
      <c r="Q39" s="462">
        <f>IF($H$39="","",ROUND($H$39*mult_wood,0))</f>
        <v>1485</v>
      </c>
      <c r="R39" s="462">
        <f>IF($I$39="","",ROUND($I$39*mult_wood,0))</f>
        <v>1550</v>
      </c>
      <c r="S39" s="462">
        <f>IF($J$39="","",ROUND($J$39*mult_wood,0))</f>
        <v>1550</v>
      </c>
      <c r="T39" s="461">
        <f t="shared" si="3"/>
        <v>1</v>
      </c>
    </row>
    <row r="40" spans="1:20">
      <c r="A40" s="455" t="s">
        <v>182</v>
      </c>
      <c r="B40" s="456" t="s">
        <v>183</v>
      </c>
      <c r="C40" s="456" t="s">
        <v>175</v>
      </c>
      <c r="D40" s="457">
        <v>1220</v>
      </c>
      <c r="E40" s="457">
        <v>1300</v>
      </c>
      <c r="F40" s="457">
        <f t="shared" si="2"/>
        <v>1300</v>
      </c>
      <c r="G40" s="457">
        <v>1325</v>
      </c>
      <c r="H40" s="457">
        <v>1795</v>
      </c>
      <c r="I40" s="457">
        <v>1835</v>
      </c>
      <c r="J40" s="457">
        <v>1835</v>
      </c>
      <c r="K40" s="458" t="s">
        <v>2965</v>
      </c>
      <c r="L40" s="458" t="s">
        <v>2977</v>
      </c>
      <c r="M40" s="462">
        <f>IF($D$40="","",ROUND($D$40*mult_euro,0))</f>
        <v>1220</v>
      </c>
      <c r="N40" s="462">
        <f>IF($E$40="","",ROUND($E$40*mult_euro,0))</f>
        <v>1300</v>
      </c>
      <c r="O40" s="462">
        <f>IF($F$40="","",ROUND($F$40*mult_euro,0))</f>
        <v>1300</v>
      </c>
      <c r="P40" s="462">
        <f>IF($G$40="","",ROUND($G$40*mult_euro,0))</f>
        <v>1325</v>
      </c>
      <c r="Q40" s="462">
        <f>IF($H$40="","",ROUND($H$40*mult_wood,0))</f>
        <v>1795</v>
      </c>
      <c r="R40" s="462">
        <f>IF($I$40="","",ROUND($I$40*mult_wood,0))</f>
        <v>1835</v>
      </c>
      <c r="S40" s="462">
        <f>IF($J$40="","",ROUND($J$40*mult_wood,0))</f>
        <v>1835</v>
      </c>
      <c r="T40" s="461">
        <f t="shared" si="3"/>
        <v>1</v>
      </c>
    </row>
    <row r="41" spans="1:20">
      <c r="A41" s="98" t="s">
        <v>184</v>
      </c>
      <c r="B41" s="97" t="s">
        <v>185</v>
      </c>
      <c r="C41" s="97" t="s">
        <v>175</v>
      </c>
      <c r="D41" s="100">
        <v>1005</v>
      </c>
      <c r="E41" s="100">
        <v>1070</v>
      </c>
      <c r="F41" s="100">
        <f t="shared" si="2"/>
        <v>1070</v>
      </c>
      <c r="G41" s="100">
        <v>1090</v>
      </c>
      <c r="H41" s="100">
        <v>1640</v>
      </c>
      <c r="I41" s="100">
        <v>1510</v>
      </c>
      <c r="J41" s="100">
        <v>1510</v>
      </c>
      <c r="K41" t="s">
        <v>2959</v>
      </c>
      <c r="L41" t="s">
        <v>2982</v>
      </c>
      <c r="M41" s="462">
        <f>IF($D$41="","",ROUND($D$41*mult_euro,0))</f>
        <v>1005</v>
      </c>
      <c r="N41" s="462">
        <f>IF($E$41="","",ROUND($E$41*mult_euro,0))</f>
        <v>1070</v>
      </c>
      <c r="O41" s="462">
        <f>IF($F$41="","",ROUND($F$41*mult_euro,0))</f>
        <v>1070</v>
      </c>
      <c r="P41" s="462">
        <f>IF($G$41="","",ROUND($G$41*mult_euro,0))</f>
        <v>1090</v>
      </c>
      <c r="Q41" s="462">
        <f>IF($H$41="","",ROUND($H$41*mult_wood,0))</f>
        <v>1640</v>
      </c>
      <c r="R41" s="462">
        <f>IF($I$41="","",ROUND($I$41*mult_wood,0))</f>
        <v>1510</v>
      </c>
      <c r="S41" s="462">
        <f>IF($J$41="","",ROUND($J$41*mult_wood,0))</f>
        <v>1510</v>
      </c>
      <c r="T41" s="461">
        <f t="shared" si="3"/>
        <v>1</v>
      </c>
    </row>
    <row r="42" spans="1:20">
      <c r="A42" s="455" t="s">
        <v>186</v>
      </c>
      <c r="B42" s="456" t="s">
        <v>187</v>
      </c>
      <c r="C42" s="456" t="s">
        <v>175</v>
      </c>
      <c r="D42" s="457">
        <v>1110</v>
      </c>
      <c r="E42" s="457">
        <v>1185</v>
      </c>
      <c r="F42" s="457">
        <f t="shared" si="2"/>
        <v>1185</v>
      </c>
      <c r="G42" s="457">
        <v>1210</v>
      </c>
      <c r="H42" s="457">
        <v>1635</v>
      </c>
      <c r="I42" s="457">
        <v>1670</v>
      </c>
      <c r="J42" s="457">
        <v>1670</v>
      </c>
      <c r="K42" s="458" t="s">
        <v>2965</v>
      </c>
      <c r="L42" s="458" t="s">
        <v>2977</v>
      </c>
      <c r="M42" s="462">
        <f>IF($D$42="","",ROUND($D$42*mult_euro,0))</f>
        <v>1110</v>
      </c>
      <c r="N42" s="462">
        <f>IF($E$42="","",ROUND($E$42*mult_euro,0))</f>
        <v>1185</v>
      </c>
      <c r="O42" s="462">
        <f>IF($F$42="","",ROUND($F$42*mult_euro,0))</f>
        <v>1185</v>
      </c>
      <c r="P42" s="462">
        <f>IF($G$42="","",ROUND($G$42*mult_euro,0))</f>
        <v>1210</v>
      </c>
      <c r="Q42" s="462">
        <f>IF($H$42="","",ROUND($H$42*mult_wood,0))</f>
        <v>1635</v>
      </c>
      <c r="R42" s="462">
        <f>IF($I$42="","",ROUND($I$42*mult_wood,0))</f>
        <v>1670</v>
      </c>
      <c r="S42" s="462">
        <f>IF($J$42="","",ROUND($J$42*mult_wood,0))</f>
        <v>1670</v>
      </c>
      <c r="T42" s="461">
        <f t="shared" si="3"/>
        <v>1</v>
      </c>
    </row>
    <row r="43" spans="1:20">
      <c r="A43" s="463" t="s">
        <v>188</v>
      </c>
      <c r="B43" s="464" t="s">
        <v>189</v>
      </c>
      <c r="C43" s="464" t="s">
        <v>175</v>
      </c>
      <c r="D43" s="465">
        <v>690</v>
      </c>
      <c r="E43" s="465">
        <v>735</v>
      </c>
      <c r="F43" s="465">
        <f t="shared" si="2"/>
        <v>735</v>
      </c>
      <c r="G43" s="465">
        <v>750</v>
      </c>
      <c r="H43" s="465">
        <v>1030</v>
      </c>
      <c r="I43" s="465">
        <v>1040</v>
      </c>
      <c r="J43" s="465">
        <v>1040</v>
      </c>
      <c r="K43" s="466" t="s">
        <v>2965</v>
      </c>
      <c r="L43" s="466" t="s">
        <v>3025</v>
      </c>
      <c r="M43" s="462">
        <f>IF($D$43="","",ROUND($D$43*mult_euro,0))</f>
        <v>690</v>
      </c>
      <c r="N43" s="462">
        <f>IF($E$43="","",ROUND($E$43*mult_euro,0))</f>
        <v>735</v>
      </c>
      <c r="O43" s="462">
        <f>IF($F$43="","",ROUND($F$43*mult_euro,0))</f>
        <v>735</v>
      </c>
      <c r="P43" s="462">
        <f>IF($G$43="","",ROUND($G$43*mult_euro,0))</f>
        <v>750</v>
      </c>
      <c r="Q43" s="462">
        <f>IF($H$43="","",ROUND($H$43*mult_wood,0))</f>
        <v>1030</v>
      </c>
      <c r="R43" s="462">
        <f>IF($I$43="","",ROUND($I$43*mult_wood,0))</f>
        <v>1040</v>
      </c>
      <c r="S43" s="462">
        <f>IF($J$43="","",ROUND($J$43*mult_wood,0))</f>
        <v>1040</v>
      </c>
      <c r="T43" s="461">
        <f t="shared" si="3"/>
        <v>1</v>
      </c>
    </row>
    <row r="44" spans="1:20">
      <c r="A44" s="98" t="s">
        <v>190</v>
      </c>
      <c r="B44" s="97" t="s">
        <v>191</v>
      </c>
      <c r="C44" s="97" t="s">
        <v>175</v>
      </c>
      <c r="D44" s="100">
        <v>300</v>
      </c>
      <c r="E44" s="100">
        <v>320</v>
      </c>
      <c r="F44" s="100">
        <f t="shared" si="2"/>
        <v>320</v>
      </c>
      <c r="G44" s="100">
        <v>325</v>
      </c>
      <c r="H44" s="100">
        <v>561</v>
      </c>
      <c r="I44" s="100">
        <v>450</v>
      </c>
      <c r="J44" s="100">
        <v>450</v>
      </c>
      <c r="K44" t="s">
        <v>2959</v>
      </c>
      <c r="L44" t="s">
        <v>2982</v>
      </c>
      <c r="M44" s="462">
        <f>IF($D$44="","",ROUND($D$44*mult_euro,0))</f>
        <v>300</v>
      </c>
      <c r="N44" s="462">
        <f>IF($E$44="","",ROUND($E$44*mult_euro,0))</f>
        <v>320</v>
      </c>
      <c r="O44" s="462">
        <f>IF($F$44="","",ROUND($F$44*mult_euro,0))</f>
        <v>320</v>
      </c>
      <c r="P44" s="462">
        <f>IF($G$44="","",ROUND($G$44*mult_euro,0))</f>
        <v>325</v>
      </c>
      <c r="Q44" s="462">
        <f>IF($H$44="","",ROUND($H$44*mult_wood,0))</f>
        <v>561</v>
      </c>
      <c r="R44" s="462">
        <f>IF($I$44="","",ROUND($I$44*mult_wood,0))</f>
        <v>450</v>
      </c>
      <c r="S44" s="462">
        <f>IF($J$44="","",ROUND($J$44*mult_wood,0))</f>
        <v>450</v>
      </c>
      <c r="T44" s="461">
        <f t="shared" si="3"/>
        <v>1</v>
      </c>
    </row>
    <row r="45" spans="1:20">
      <c r="A45" s="455" t="s">
        <v>192</v>
      </c>
      <c r="B45" s="456" t="s">
        <v>193</v>
      </c>
      <c r="C45" s="456" t="s">
        <v>175</v>
      </c>
      <c r="D45" s="457">
        <v>335</v>
      </c>
      <c r="E45" s="457">
        <v>360</v>
      </c>
      <c r="F45" s="457">
        <f t="shared" si="2"/>
        <v>360</v>
      </c>
      <c r="G45" s="457">
        <v>365</v>
      </c>
      <c r="H45" s="457">
        <v>480</v>
      </c>
      <c r="I45" s="457">
        <v>505</v>
      </c>
      <c r="J45" s="457">
        <v>505</v>
      </c>
      <c r="K45" s="458" t="s">
        <v>2965</v>
      </c>
      <c r="L45" s="458" t="s">
        <v>2977</v>
      </c>
      <c r="M45" s="462">
        <f>IF($D$45="","",ROUND($D$45*mult_euro,0))</f>
        <v>335</v>
      </c>
      <c r="N45" s="462">
        <f>IF($E$45="","",ROUND($E$45*mult_euro,0))</f>
        <v>360</v>
      </c>
      <c r="O45" s="462">
        <f>IF($F$45="","",ROUND($F$45*mult_euro,0))</f>
        <v>360</v>
      </c>
      <c r="P45" s="462">
        <f>IF($G$45="","",ROUND($G$45*mult_euro,0))</f>
        <v>365</v>
      </c>
      <c r="Q45" s="462">
        <f>IF($H$45="","",ROUND($H$45*mult_wood,0))</f>
        <v>480</v>
      </c>
      <c r="R45" s="462">
        <f>IF($I$45="","",ROUND($I$45*mult_wood,0))</f>
        <v>505</v>
      </c>
      <c r="S45" s="462">
        <f>IF($J$45="","",ROUND($J$45*mult_wood,0))</f>
        <v>505</v>
      </c>
      <c r="T45" s="461">
        <f t="shared" si="3"/>
        <v>1</v>
      </c>
    </row>
    <row r="46" spans="1:20">
      <c r="A46" s="455" t="s">
        <v>194</v>
      </c>
      <c r="B46" s="456" t="s">
        <v>195</v>
      </c>
      <c r="C46" s="456" t="s">
        <v>175</v>
      </c>
      <c r="D46" s="457">
        <v>1255</v>
      </c>
      <c r="E46" s="457">
        <v>1340</v>
      </c>
      <c r="F46" s="457">
        <f t="shared" si="2"/>
        <v>1340</v>
      </c>
      <c r="G46" s="457">
        <v>1365</v>
      </c>
      <c r="H46" s="457">
        <v>1755</v>
      </c>
      <c r="I46" s="457">
        <v>1890</v>
      </c>
      <c r="J46" s="457">
        <v>1890</v>
      </c>
      <c r="K46" s="458" t="s">
        <v>2965</v>
      </c>
      <c r="L46" s="458" t="s">
        <v>2977</v>
      </c>
      <c r="M46" s="462">
        <f>IF($D$46="","",ROUND($D$46*mult_euro,0))</f>
        <v>1255</v>
      </c>
      <c r="N46" s="462">
        <f>IF($E$46="","",ROUND($E$46*mult_euro,0))</f>
        <v>1340</v>
      </c>
      <c r="O46" s="462">
        <f>IF($F$46="","",ROUND($F$46*mult_euro,0))</f>
        <v>1340</v>
      </c>
      <c r="P46" s="462">
        <f>IF($G$46="","",ROUND($G$46*mult_euro,0))</f>
        <v>1365</v>
      </c>
      <c r="Q46" s="462">
        <f>IF($H$46="","",ROUND($H$46*mult_wood,0))</f>
        <v>1755</v>
      </c>
      <c r="R46" s="462">
        <f>IF($I$46="","",ROUND($I$46*mult_wood,0))</f>
        <v>1890</v>
      </c>
      <c r="S46" s="462">
        <f>IF($J$46="","",ROUND($J$46*mult_wood,0))</f>
        <v>1890</v>
      </c>
      <c r="T46" s="461">
        <f t="shared" si="3"/>
        <v>1</v>
      </c>
    </row>
    <row r="47" spans="1:20">
      <c r="A47" s="98" t="s">
        <v>196</v>
      </c>
      <c r="B47" s="97" t="s">
        <v>197</v>
      </c>
      <c r="C47" s="97" t="s">
        <v>175</v>
      </c>
      <c r="D47" s="100">
        <v>1530</v>
      </c>
      <c r="E47" s="100">
        <v>1630</v>
      </c>
      <c r="F47" s="100">
        <f t="shared" si="2"/>
        <v>1630</v>
      </c>
      <c r="G47" s="100">
        <v>1665</v>
      </c>
      <c r="H47" s="100">
        <v>2170</v>
      </c>
      <c r="I47" s="100">
        <v>2300</v>
      </c>
      <c r="J47" s="100">
        <v>2300</v>
      </c>
      <c r="K47" t="s">
        <v>2965</v>
      </c>
      <c r="L47" t="s">
        <v>2982</v>
      </c>
      <c r="M47" s="462">
        <f>IF($D$47="","",ROUND($D$47*mult_euro,0))</f>
        <v>1530</v>
      </c>
      <c r="N47" s="462">
        <f>IF($E$47="","",ROUND($E$47*mult_euro,0))</f>
        <v>1630</v>
      </c>
      <c r="O47" s="462">
        <f>IF($F$47="","",ROUND($F$47*mult_euro,0))</f>
        <v>1630</v>
      </c>
      <c r="P47" s="462">
        <f>IF($G$47="","",ROUND($G$47*mult_euro,0))</f>
        <v>1665</v>
      </c>
      <c r="Q47" s="462">
        <f>IF($H$47="","",ROUND($H$47*mult_wood,0))</f>
        <v>2170</v>
      </c>
      <c r="R47" s="462">
        <f>IF($I$47="","",ROUND($I$47*mult_wood,0))</f>
        <v>2300</v>
      </c>
      <c r="S47" s="462">
        <f>IF($J$47="","",ROUND($J$47*mult_wood,0))</f>
        <v>2300</v>
      </c>
      <c r="T47" s="461">
        <f t="shared" si="3"/>
        <v>1</v>
      </c>
    </row>
    <row r="48" spans="1:20">
      <c r="A48" s="463" t="s">
        <v>198</v>
      </c>
      <c r="B48" s="464" t="s">
        <v>199</v>
      </c>
      <c r="C48" s="464" t="s">
        <v>175</v>
      </c>
      <c r="D48" s="465">
        <v>1190</v>
      </c>
      <c r="E48" s="465">
        <v>1270</v>
      </c>
      <c r="F48" s="465">
        <f t="shared" si="2"/>
        <v>1270</v>
      </c>
      <c r="G48" s="465">
        <v>1295</v>
      </c>
      <c r="H48" s="465">
        <v>1700</v>
      </c>
      <c r="I48" s="465">
        <v>1795</v>
      </c>
      <c r="J48" s="465">
        <v>1795</v>
      </c>
      <c r="K48" s="466" t="s">
        <v>2965</v>
      </c>
      <c r="L48" s="466" t="s">
        <v>3037</v>
      </c>
      <c r="M48" s="462">
        <f>IF($D$48="","",ROUND($D$48*mult_euro,0))</f>
        <v>1190</v>
      </c>
      <c r="N48" s="462">
        <f>IF($E$48="","",ROUND($E$48*mult_euro,0))</f>
        <v>1270</v>
      </c>
      <c r="O48" s="462">
        <f>IF($F$48="","",ROUND($F$48*mult_euro,0))</f>
        <v>1270</v>
      </c>
      <c r="P48" s="462">
        <f>IF($G$48="","",ROUND($G$48*mult_euro,0))</f>
        <v>1295</v>
      </c>
      <c r="Q48" s="462">
        <f>IF($H$48="","",ROUND($H$48*mult_wood,0))</f>
        <v>1700</v>
      </c>
      <c r="R48" s="462">
        <f>IF($I$48="","",ROUND($I$48*mult_wood,0))</f>
        <v>1795</v>
      </c>
      <c r="S48" s="462">
        <f>IF($J$48="","",ROUND($J$48*mult_wood,0))</f>
        <v>1795</v>
      </c>
      <c r="T48" s="461">
        <f t="shared" si="3"/>
        <v>1</v>
      </c>
    </row>
    <row r="49" spans="1:20">
      <c r="A49" s="455" t="s">
        <v>200</v>
      </c>
      <c r="B49" s="456" t="s">
        <v>201</v>
      </c>
      <c r="C49" s="456" t="s">
        <v>175</v>
      </c>
      <c r="D49" s="457">
        <v>300</v>
      </c>
      <c r="E49" s="457">
        <v>320</v>
      </c>
      <c r="F49" s="457">
        <f t="shared" si="2"/>
        <v>320</v>
      </c>
      <c r="G49" s="457">
        <v>325</v>
      </c>
      <c r="H49" s="457">
        <v>455</v>
      </c>
      <c r="I49" s="457">
        <v>450</v>
      </c>
      <c r="J49" s="457">
        <v>450</v>
      </c>
      <c r="K49" s="458" t="s">
        <v>2965</v>
      </c>
      <c r="L49" s="458" t="s">
        <v>2977</v>
      </c>
      <c r="M49" s="462">
        <f>IF($D$49="","",ROUND($D$49*mult_euro,0))</f>
        <v>300</v>
      </c>
      <c r="N49" s="462">
        <f>IF($E$49="","",ROUND($E$49*mult_euro,0))</f>
        <v>320</v>
      </c>
      <c r="O49" s="462">
        <f>IF($F$49="","",ROUND($F$49*mult_euro,0))</f>
        <v>320</v>
      </c>
      <c r="P49" s="462">
        <f>IF($G$49="","",ROUND($G$49*mult_euro,0))</f>
        <v>325</v>
      </c>
      <c r="Q49" s="462">
        <f>IF($H$49="","",ROUND($H$49*mult_wood,0))</f>
        <v>455</v>
      </c>
      <c r="R49" s="462">
        <f>IF($I$49="","",ROUND($I$49*mult_wood,0))</f>
        <v>450</v>
      </c>
      <c r="S49" s="462">
        <f>IF($J$49="","",ROUND($J$49*mult_wood,0))</f>
        <v>450</v>
      </c>
      <c r="T49" s="461">
        <f t="shared" si="3"/>
        <v>1</v>
      </c>
    </row>
    <row r="50" spans="1:20">
      <c r="A50" s="98" t="s">
        <v>202</v>
      </c>
      <c r="B50" s="97" t="s">
        <v>203</v>
      </c>
      <c r="C50" s="97" t="s">
        <v>175</v>
      </c>
      <c r="D50" s="100">
        <v>535</v>
      </c>
      <c r="E50" s="100">
        <v>570</v>
      </c>
      <c r="F50" s="100">
        <f t="shared" si="2"/>
        <v>570</v>
      </c>
      <c r="G50" s="100">
        <v>585</v>
      </c>
      <c r="H50" s="100">
        <v>813</v>
      </c>
      <c r="I50" s="100">
        <v>810</v>
      </c>
      <c r="J50" s="100">
        <v>810</v>
      </c>
      <c r="K50" t="s">
        <v>2959</v>
      </c>
      <c r="L50" t="s">
        <v>2982</v>
      </c>
      <c r="M50" s="462">
        <f>IF($D$50="","",ROUND($D$50*mult_euro,0))</f>
        <v>535</v>
      </c>
      <c r="N50" s="462">
        <f>IF($E$50="","",ROUND($E$50*mult_euro,0))</f>
        <v>570</v>
      </c>
      <c r="O50" s="462">
        <f>IF($F$50="","",ROUND($F$50*mult_euro,0))</f>
        <v>570</v>
      </c>
      <c r="P50" s="462">
        <f>IF($G$50="","",ROUND($G$50*mult_euro,0))</f>
        <v>585</v>
      </c>
      <c r="Q50" s="462">
        <f>IF($H$50="","",ROUND($H$50*mult_wood,0))</f>
        <v>813</v>
      </c>
      <c r="R50" s="462">
        <f>IF($I$50="","",ROUND($I$50*mult_wood,0))</f>
        <v>810</v>
      </c>
      <c r="S50" s="462">
        <f>IF($J$50="","",ROUND($J$50*mult_wood,0))</f>
        <v>810</v>
      </c>
      <c r="T50" s="461">
        <f t="shared" si="3"/>
        <v>1</v>
      </c>
    </row>
    <row r="51" spans="1:20">
      <c r="A51" s="455" t="s">
        <v>204</v>
      </c>
      <c r="B51" s="456" t="s">
        <v>205</v>
      </c>
      <c r="C51" s="456" t="s">
        <v>175</v>
      </c>
      <c r="D51" s="457">
        <v>435</v>
      </c>
      <c r="E51" s="457">
        <v>465</v>
      </c>
      <c r="F51" s="457">
        <f t="shared" si="2"/>
        <v>465</v>
      </c>
      <c r="G51" s="457">
        <v>475</v>
      </c>
      <c r="H51" s="457">
        <v>630</v>
      </c>
      <c r="I51" s="457">
        <v>660</v>
      </c>
      <c r="J51" s="457">
        <v>660</v>
      </c>
      <c r="K51" s="458" t="s">
        <v>2965</v>
      </c>
      <c r="L51" s="458" t="s">
        <v>2977</v>
      </c>
      <c r="M51" s="462">
        <f>IF($D$51="","",ROUND($D$51*mult_euro,0))</f>
        <v>435</v>
      </c>
      <c r="N51" s="462">
        <f>IF($E$51="","",ROUND($E$51*mult_euro,0))</f>
        <v>465</v>
      </c>
      <c r="O51" s="462">
        <f>IF($F$51="","",ROUND($F$51*mult_euro,0))</f>
        <v>465</v>
      </c>
      <c r="P51" s="462">
        <f>IF($G$51="","",ROUND($G$51*mult_euro,0))</f>
        <v>475</v>
      </c>
      <c r="Q51" s="462">
        <f>IF($H$51="","",ROUND($H$51*mult_wood,0))</f>
        <v>630</v>
      </c>
      <c r="R51" s="462">
        <f>IF($I$51="","",ROUND($I$51*mult_wood,0))</f>
        <v>660</v>
      </c>
      <c r="S51" s="462">
        <f>IF($J$51="","",ROUND($J$51*mult_wood,0))</f>
        <v>660</v>
      </c>
      <c r="T51" s="461">
        <f t="shared" si="3"/>
        <v>1</v>
      </c>
    </row>
    <row r="52" spans="1:20">
      <c r="A52" s="98" t="s">
        <v>206</v>
      </c>
      <c r="B52" s="97" t="s">
        <v>207</v>
      </c>
      <c r="C52" s="97" t="s">
        <v>175</v>
      </c>
      <c r="D52" s="100">
        <v>520</v>
      </c>
      <c r="E52" s="100">
        <v>555</v>
      </c>
      <c r="F52" s="100">
        <f t="shared" si="2"/>
        <v>555</v>
      </c>
      <c r="G52" s="100">
        <v>565</v>
      </c>
      <c r="H52" s="100">
        <v>725</v>
      </c>
      <c r="I52" s="100">
        <v>780</v>
      </c>
      <c r="J52" s="100">
        <v>780</v>
      </c>
      <c r="K52" t="s">
        <v>2965</v>
      </c>
      <c r="L52" t="s">
        <v>2982</v>
      </c>
      <c r="M52" s="462">
        <f>IF($D$52="","",ROUND($D$52*mult_euro,0))</f>
        <v>520</v>
      </c>
      <c r="N52" s="462">
        <f>IF($E$52="","",ROUND($E$52*mult_euro,0))</f>
        <v>555</v>
      </c>
      <c r="O52" s="462">
        <f>IF($F$52="","",ROUND($F$52*mult_euro,0))</f>
        <v>555</v>
      </c>
      <c r="P52" s="462">
        <f>IF($G$52="","",ROUND($G$52*mult_euro,0))</f>
        <v>565</v>
      </c>
      <c r="Q52" s="462">
        <f>IF($H$52="","",ROUND($H$52*mult_wood,0))</f>
        <v>725</v>
      </c>
      <c r="R52" s="462">
        <f>IF($I$52="","",ROUND($I$52*mult_wood,0))</f>
        <v>780</v>
      </c>
      <c r="S52" s="462">
        <f>IF($J$52="","",ROUND($J$52*mult_wood,0))</f>
        <v>780</v>
      </c>
      <c r="T52" s="461">
        <f t="shared" si="3"/>
        <v>1</v>
      </c>
    </row>
    <row r="53" spans="1:20">
      <c r="A53" s="455" t="s">
        <v>208</v>
      </c>
      <c r="B53" s="456" t="s">
        <v>209</v>
      </c>
      <c r="C53" s="456" t="s">
        <v>175</v>
      </c>
      <c r="D53" s="457">
        <v>675</v>
      </c>
      <c r="E53" s="457">
        <v>720</v>
      </c>
      <c r="F53" s="457">
        <f t="shared" si="2"/>
        <v>720</v>
      </c>
      <c r="G53" s="457">
        <v>735</v>
      </c>
      <c r="H53" s="457">
        <v>990</v>
      </c>
      <c r="I53" s="457">
        <v>1015</v>
      </c>
      <c r="J53" s="457">
        <v>1015</v>
      </c>
      <c r="K53" s="458" t="s">
        <v>2965</v>
      </c>
      <c r="L53" s="458" t="s">
        <v>2977</v>
      </c>
      <c r="M53" s="462">
        <f>IF($D$53="","",ROUND($D$53*mult_euro,0))</f>
        <v>675</v>
      </c>
      <c r="N53" s="462">
        <f>IF($E$53="","",ROUND($E$53*mult_euro,0))</f>
        <v>720</v>
      </c>
      <c r="O53" s="462">
        <f>IF($F$53="","",ROUND($F$53*mult_euro,0))</f>
        <v>720</v>
      </c>
      <c r="P53" s="462">
        <f>IF($G$53="","",ROUND($G$53*mult_euro,0))</f>
        <v>735</v>
      </c>
      <c r="Q53" s="462">
        <f>IF($H$53="","",ROUND($H$53*mult_wood,0))</f>
        <v>990</v>
      </c>
      <c r="R53" s="462">
        <f>IF($I$53="","",ROUND($I$53*mult_wood,0))</f>
        <v>1015</v>
      </c>
      <c r="S53" s="462">
        <f>IF($J$53="","",ROUND($J$53*mult_wood,0))</f>
        <v>1015</v>
      </c>
      <c r="T53" s="461">
        <f t="shared" si="3"/>
        <v>1</v>
      </c>
    </row>
    <row r="54" spans="1:20">
      <c r="A54" s="455" t="s">
        <v>210</v>
      </c>
      <c r="B54" s="456" t="s">
        <v>211</v>
      </c>
      <c r="C54" s="456" t="s">
        <v>175</v>
      </c>
      <c r="D54" s="457">
        <v>830</v>
      </c>
      <c r="E54" s="457">
        <v>885</v>
      </c>
      <c r="F54" s="457">
        <f t="shared" si="2"/>
        <v>885</v>
      </c>
      <c r="G54" s="457">
        <v>900</v>
      </c>
      <c r="H54" s="457">
        <v>1190</v>
      </c>
      <c r="I54" s="457">
        <v>1245</v>
      </c>
      <c r="J54" s="457">
        <v>1245</v>
      </c>
      <c r="K54" s="458" t="s">
        <v>2965</v>
      </c>
      <c r="L54" s="458" t="s">
        <v>2977</v>
      </c>
      <c r="M54" s="462">
        <f>IF($D$54="","",ROUND($D$54*mult_euro,0))</f>
        <v>830</v>
      </c>
      <c r="N54" s="462">
        <f>IF($E$54="","",ROUND($E$54*mult_euro,0))</f>
        <v>885</v>
      </c>
      <c r="O54" s="462">
        <f>IF($F$54="","",ROUND($F$54*mult_euro,0))</f>
        <v>885</v>
      </c>
      <c r="P54" s="462">
        <f>IF($G$54="","",ROUND($G$54*mult_euro,0))</f>
        <v>900</v>
      </c>
      <c r="Q54" s="462">
        <f>IF($H$54="","",ROUND($H$54*mult_wood,0))</f>
        <v>1190</v>
      </c>
      <c r="R54" s="462">
        <f>IF($I$54="","",ROUND($I$54*mult_wood,0))</f>
        <v>1245</v>
      </c>
      <c r="S54" s="462">
        <f>IF($J$54="","",ROUND($J$54*mult_wood,0))</f>
        <v>1245</v>
      </c>
      <c r="T54" s="461">
        <f t="shared" si="3"/>
        <v>1</v>
      </c>
    </row>
    <row r="55" spans="1:20">
      <c r="A55" s="455" t="s">
        <v>212</v>
      </c>
      <c r="B55" s="456" t="s">
        <v>213</v>
      </c>
      <c r="C55" s="456" t="s">
        <v>175</v>
      </c>
      <c r="D55" s="457">
        <v>825</v>
      </c>
      <c r="E55" s="457">
        <v>880</v>
      </c>
      <c r="F55" s="457">
        <f t="shared" si="2"/>
        <v>880</v>
      </c>
      <c r="G55" s="457">
        <v>890</v>
      </c>
      <c r="H55" s="457">
        <v>1205</v>
      </c>
      <c r="I55" s="457">
        <v>1240</v>
      </c>
      <c r="J55" s="457">
        <v>1235</v>
      </c>
      <c r="K55" s="458"/>
      <c r="L55" s="458" t="s">
        <v>2977</v>
      </c>
      <c r="M55" s="462">
        <f>IF($D$55="","",ROUND($D$55*mult_euro,0))</f>
        <v>825</v>
      </c>
      <c r="N55" s="462">
        <f>IF($E$55="","",ROUND($E$55*mult_euro,0))</f>
        <v>880</v>
      </c>
      <c r="O55" s="462">
        <f>IF($F$55="","",ROUND($F$55*mult_euro,0))</f>
        <v>880</v>
      </c>
      <c r="P55" s="462">
        <f>IF($G$55="","",ROUND($G$55*mult_euro,0))</f>
        <v>890</v>
      </c>
      <c r="Q55" s="462">
        <f>IF($H$55="","",ROUND($H$55*mult_wood,0))</f>
        <v>1205</v>
      </c>
      <c r="R55" s="462">
        <f>IF($I$55="","",ROUND($I$55*mult_wood,0))</f>
        <v>1240</v>
      </c>
      <c r="S55" s="462">
        <f>IF($J$55="","",ROUND($J$55*mult_wood,0))</f>
        <v>1235</v>
      </c>
      <c r="T55" s="461">
        <f t="shared" si="3"/>
        <v>1</v>
      </c>
    </row>
    <row r="56" spans="1:20">
      <c r="A56" s="455" t="s">
        <v>214</v>
      </c>
      <c r="B56" s="456" t="s">
        <v>215</v>
      </c>
      <c r="C56" s="456" t="s">
        <v>175</v>
      </c>
      <c r="D56" s="457">
        <v>440</v>
      </c>
      <c r="E56" s="457">
        <v>470</v>
      </c>
      <c r="F56" s="457">
        <f t="shared" si="2"/>
        <v>470</v>
      </c>
      <c r="G56" s="457">
        <v>475</v>
      </c>
      <c r="H56" s="457">
        <v>630</v>
      </c>
      <c r="I56" s="457">
        <v>660</v>
      </c>
      <c r="J56" s="457">
        <v>660</v>
      </c>
      <c r="K56" s="458"/>
      <c r="L56" s="458" t="s">
        <v>2977</v>
      </c>
      <c r="M56" s="462">
        <f>IF($D$56="","",ROUND($D$56*mult_euro,0))</f>
        <v>440</v>
      </c>
      <c r="N56" s="462">
        <f>IF($E$56="","",ROUND($E$56*mult_euro,0))</f>
        <v>470</v>
      </c>
      <c r="O56" s="462">
        <f>IF($F$56="","",ROUND($F$56*mult_euro,0))</f>
        <v>470</v>
      </c>
      <c r="P56" s="462">
        <f>IF($G$56="","",ROUND($G$56*mult_euro,0))</f>
        <v>475</v>
      </c>
      <c r="Q56" s="462">
        <f>IF($H$56="","",ROUND($H$56*mult_wood,0))</f>
        <v>630</v>
      </c>
      <c r="R56" s="462">
        <f>IF($I$56="","",ROUND($I$56*mult_wood,0))</f>
        <v>660</v>
      </c>
      <c r="S56" s="462">
        <f>IF($J$56="","",ROUND($J$56*mult_wood,0))</f>
        <v>660</v>
      </c>
      <c r="T56" s="461">
        <f t="shared" si="3"/>
        <v>1</v>
      </c>
    </row>
    <row r="57" spans="1:20">
      <c r="A57" s="98" t="s">
        <v>216</v>
      </c>
      <c r="B57" s="97" t="s">
        <v>217</v>
      </c>
      <c r="C57" s="97" t="s">
        <v>175</v>
      </c>
      <c r="D57" s="100">
        <v>1300</v>
      </c>
      <c r="E57" s="100">
        <v>1385</v>
      </c>
      <c r="F57" s="100">
        <f t="shared" si="2"/>
        <v>1385</v>
      </c>
      <c r="G57" s="100">
        <v>1415</v>
      </c>
      <c r="H57" s="100">
        <v>1190</v>
      </c>
      <c r="I57" s="100">
        <v>1960</v>
      </c>
      <c r="J57" s="100">
        <v>1960</v>
      </c>
      <c r="K57" t="s">
        <v>2965</v>
      </c>
      <c r="L57" t="s">
        <v>2982</v>
      </c>
      <c r="M57" s="462">
        <f>IF($D$57="","",ROUND($D$57*mult_euro,0))</f>
        <v>1300</v>
      </c>
      <c r="N57" s="462">
        <f>IF($E$57="","",ROUND($E$57*mult_euro,0))</f>
        <v>1385</v>
      </c>
      <c r="O57" s="462">
        <f>IF($F$57="","",ROUND($F$57*mult_euro,0))</f>
        <v>1385</v>
      </c>
      <c r="P57" s="462">
        <f>IF($G$57="","",ROUND($G$57*mult_euro,0))</f>
        <v>1415</v>
      </c>
      <c r="Q57" s="462">
        <f>IF($H$57="","",ROUND($H$57*mult_wood,0))</f>
        <v>1190</v>
      </c>
      <c r="R57" s="462">
        <f>IF($I$57="","",ROUND($I$57*mult_wood,0))</f>
        <v>1960</v>
      </c>
      <c r="S57" s="462">
        <f>IF($J$57="","",ROUND($J$57*mult_wood,0))</f>
        <v>1960</v>
      </c>
      <c r="T57" s="461">
        <f t="shared" si="3"/>
        <v>1</v>
      </c>
    </row>
    <row r="58" spans="1:20">
      <c r="A58" s="98" t="s">
        <v>218</v>
      </c>
      <c r="B58" s="97" t="s">
        <v>219</v>
      </c>
      <c r="C58" s="97" t="s">
        <v>175</v>
      </c>
      <c r="D58" s="100">
        <v>2175</v>
      </c>
      <c r="E58" s="100">
        <v>2320</v>
      </c>
      <c r="F58" s="100">
        <f t="shared" si="2"/>
        <v>2320</v>
      </c>
      <c r="G58" s="100">
        <v>2365</v>
      </c>
      <c r="H58" s="100">
        <v>3105</v>
      </c>
      <c r="I58" s="100">
        <v>3275</v>
      </c>
      <c r="J58" s="100">
        <v>3275</v>
      </c>
      <c r="K58" t="s">
        <v>2965</v>
      </c>
      <c r="L58" t="s">
        <v>2982</v>
      </c>
      <c r="M58" s="462">
        <f>IF($D$58="","",ROUND($D$58*mult_euro,0))</f>
        <v>2175</v>
      </c>
      <c r="N58" s="462">
        <f>IF($E$58="","",ROUND($E$58*mult_euro,0))</f>
        <v>2320</v>
      </c>
      <c r="O58" s="462">
        <f>IF($F$58="","",ROUND($F$58*mult_euro,0))</f>
        <v>2320</v>
      </c>
      <c r="P58" s="462">
        <f>IF($G$58="","",ROUND($G$58*mult_euro,0))</f>
        <v>2365</v>
      </c>
      <c r="Q58" s="462">
        <f>IF($H$58="","",ROUND($H$58*mult_wood,0))</f>
        <v>3105</v>
      </c>
      <c r="R58" s="462">
        <f>IF($I$58="","",ROUND($I$58*mult_wood,0))</f>
        <v>3275</v>
      </c>
      <c r="S58" s="462">
        <f>IF($J$58="","",ROUND($J$58*mult_wood,0))</f>
        <v>3275</v>
      </c>
      <c r="T58" s="461">
        <f t="shared" si="3"/>
        <v>1</v>
      </c>
    </row>
    <row r="59" spans="1:20">
      <c r="A59" s="455" t="s">
        <v>220</v>
      </c>
      <c r="B59" s="456" t="s">
        <v>221</v>
      </c>
      <c r="C59" s="456" t="s">
        <v>175</v>
      </c>
      <c r="D59" s="457">
        <v>755</v>
      </c>
      <c r="E59" s="457">
        <v>805</v>
      </c>
      <c r="F59" s="457">
        <f t="shared" si="2"/>
        <v>805</v>
      </c>
      <c r="G59" s="457">
        <v>820</v>
      </c>
      <c r="H59" s="457">
        <v>1060</v>
      </c>
      <c r="I59" s="457">
        <v>1135</v>
      </c>
      <c r="J59" s="457">
        <v>1135</v>
      </c>
      <c r="K59" s="458" t="s">
        <v>2965</v>
      </c>
      <c r="L59" s="458" t="s">
        <v>2977</v>
      </c>
      <c r="M59" s="462">
        <f>IF($D$59="","",ROUND($D$59*mult_euro,0))</f>
        <v>755</v>
      </c>
      <c r="N59" s="462">
        <f>IF($E$59="","",ROUND($E$59*mult_euro,0))</f>
        <v>805</v>
      </c>
      <c r="O59" s="462">
        <f>IF($F$59="","",ROUND($F$59*mult_euro,0))</f>
        <v>805</v>
      </c>
      <c r="P59" s="462">
        <f>IF($G$59="","",ROUND($G$59*mult_euro,0))</f>
        <v>820</v>
      </c>
      <c r="Q59" s="462">
        <f>IF($H$59="","",ROUND($H$59*mult_wood,0))</f>
        <v>1060</v>
      </c>
      <c r="R59" s="462">
        <f>IF($I$59="","",ROUND($I$59*mult_wood,0))</f>
        <v>1135</v>
      </c>
      <c r="S59" s="462">
        <f>IF($J$59="","",ROUND($J$59*mult_wood,0))</f>
        <v>1135</v>
      </c>
      <c r="T59" s="461">
        <f t="shared" si="3"/>
        <v>1</v>
      </c>
    </row>
    <row r="60" spans="1:20">
      <c r="A60" s="455" t="s">
        <v>222</v>
      </c>
      <c r="B60" s="456" t="s">
        <v>223</v>
      </c>
      <c r="C60" s="456" t="s">
        <v>175</v>
      </c>
      <c r="D60" s="457">
        <v>840</v>
      </c>
      <c r="E60" s="457">
        <v>900</v>
      </c>
      <c r="F60" s="457">
        <f t="shared" si="2"/>
        <v>900</v>
      </c>
      <c r="G60" s="457">
        <v>910</v>
      </c>
      <c r="H60" s="457">
        <v>1230</v>
      </c>
      <c r="I60" s="457">
        <v>1270</v>
      </c>
      <c r="J60" s="457">
        <v>1260</v>
      </c>
      <c r="K60" s="458"/>
      <c r="L60" s="458" t="s">
        <v>2977</v>
      </c>
      <c r="M60" s="462">
        <f>IF($D$60="","",ROUND($D$60*mult_euro,0))</f>
        <v>840</v>
      </c>
      <c r="N60" s="462">
        <f>IF($E$60="","",ROUND($E$60*mult_euro,0))</f>
        <v>900</v>
      </c>
      <c r="O60" s="462">
        <f>IF($F$60="","",ROUND($F$60*mult_euro,0))</f>
        <v>900</v>
      </c>
      <c r="P60" s="462">
        <f>IF($G$60="","",ROUND($G$60*mult_euro,0))</f>
        <v>910</v>
      </c>
      <c r="Q60" s="462">
        <f>IF($H$60="","",ROUND($H$60*mult_wood,0))</f>
        <v>1230</v>
      </c>
      <c r="R60" s="462">
        <f>IF($I$60="","",ROUND($I$60*mult_wood,0))</f>
        <v>1270</v>
      </c>
      <c r="S60" s="462">
        <f>IF($J$60="","",ROUND($J$60*mult_wood,0))</f>
        <v>1260</v>
      </c>
      <c r="T60" s="461">
        <f t="shared" si="3"/>
        <v>1</v>
      </c>
    </row>
    <row r="61" spans="1:20">
      <c r="A61" s="98" t="s">
        <v>224</v>
      </c>
      <c r="B61" s="97" t="s">
        <v>225</v>
      </c>
      <c r="C61" s="97" t="s">
        <v>175</v>
      </c>
      <c r="D61" s="100">
        <v>95</v>
      </c>
      <c r="E61" s="100">
        <v>105</v>
      </c>
      <c r="F61" s="100">
        <f t="shared" si="2"/>
        <v>105</v>
      </c>
      <c r="G61" s="100">
        <v>115</v>
      </c>
      <c r="H61" s="100">
        <v>180</v>
      </c>
      <c r="I61" s="100">
        <v>130</v>
      </c>
      <c r="J61" s="100">
        <v>125</v>
      </c>
      <c r="L61" t="s">
        <v>2982</v>
      </c>
      <c r="M61" s="462">
        <f>IF($D$61="","",ROUND($D$61*mult_euro,0))</f>
        <v>95</v>
      </c>
      <c r="N61" s="462">
        <f>IF($E$61="","",ROUND($E$61*mult_euro,0))</f>
        <v>105</v>
      </c>
      <c r="O61" s="462">
        <f>IF($F$61="","",ROUND($F$61*mult_euro,0))</f>
        <v>105</v>
      </c>
      <c r="P61" s="462">
        <f>IF($G$61="","",ROUND($G$61*mult_euro,0))</f>
        <v>115</v>
      </c>
      <c r="Q61" s="462">
        <f>IF($H$61="","",ROUND($H$61*mult_wood,0))</f>
        <v>180</v>
      </c>
      <c r="R61" s="462">
        <f>IF($I$61="","",ROUND($I$61*mult_wood,0))</f>
        <v>130</v>
      </c>
      <c r="S61" s="462">
        <f>IF($J$61="","",ROUND($J$61*mult_wood,0))</f>
        <v>125</v>
      </c>
      <c r="T61" s="461">
        <f t="shared" si="3"/>
        <v>1</v>
      </c>
    </row>
    <row r="62" spans="1:20">
      <c r="A62" s="98" t="s">
        <v>226</v>
      </c>
      <c r="B62" s="97" t="s">
        <v>227</v>
      </c>
      <c r="C62" s="97" t="s">
        <v>175</v>
      </c>
      <c r="D62" s="100">
        <v>100</v>
      </c>
      <c r="E62" s="100">
        <v>110</v>
      </c>
      <c r="F62" s="100">
        <f t="shared" si="2"/>
        <v>110</v>
      </c>
      <c r="G62" s="100">
        <v>115</v>
      </c>
      <c r="H62" s="100">
        <v>170</v>
      </c>
      <c r="I62" s="100">
        <v>135</v>
      </c>
      <c r="J62" s="100">
        <v>130</v>
      </c>
      <c r="L62" t="s">
        <v>2982</v>
      </c>
      <c r="M62" s="462">
        <f>IF($D$62="","",ROUND($D$62*mult_euro,0))</f>
        <v>100</v>
      </c>
      <c r="N62" s="462">
        <f>IF($E$62="","",ROUND($E$62*mult_euro,0))</f>
        <v>110</v>
      </c>
      <c r="O62" s="462">
        <f>IF($F$62="","",ROUND($F$62*mult_euro,0))</f>
        <v>110</v>
      </c>
      <c r="P62" s="462">
        <f>IF($G$62="","",ROUND($G$62*mult_euro,0))</f>
        <v>115</v>
      </c>
      <c r="Q62" s="462">
        <f>IF($H$62="","",ROUND($H$62*mult_wood,0))</f>
        <v>170</v>
      </c>
      <c r="R62" s="462">
        <f>IF($I$62="","",ROUND($I$62*mult_wood,0))</f>
        <v>135</v>
      </c>
      <c r="S62" s="462">
        <f>IF($J$62="","",ROUND($J$62*mult_wood,0))</f>
        <v>130</v>
      </c>
      <c r="T62" s="461">
        <f t="shared" si="3"/>
        <v>1</v>
      </c>
    </row>
    <row r="63" spans="1:20">
      <c r="A63" s="98" t="s">
        <v>228</v>
      </c>
      <c r="B63" s="97" t="s">
        <v>229</v>
      </c>
      <c r="C63" s="97" t="s">
        <v>175</v>
      </c>
      <c r="D63" s="100">
        <v>150</v>
      </c>
      <c r="E63" s="100"/>
      <c r="F63" s="100">
        <f t="shared" si="2"/>
        <v>0</v>
      </c>
      <c r="G63" s="100"/>
      <c r="H63" s="100"/>
      <c r="I63" s="100"/>
      <c r="J63" s="100"/>
      <c r="L63" t="s">
        <v>2982</v>
      </c>
      <c r="M63" s="462">
        <f>IF($D$63="","",ROUND($D$63*mult_euro,0))</f>
        <v>150</v>
      </c>
      <c r="N63" s="462" t="str">
        <f>IF($E$63="","",ROUND($E$63*mult_euro,0))</f>
        <v/>
      </c>
      <c r="O63" s="462">
        <f>IF($F$63="","",ROUND($F$63*mult_euro,0))</f>
        <v>0</v>
      </c>
      <c r="P63" s="462" t="str">
        <f>IF($G$63="","",ROUND($G$63*mult_euro,0))</f>
        <v/>
      </c>
      <c r="Q63" s="462" t="str">
        <f>IF($H$63="","",ROUND($H$63*mult_wood,0))</f>
        <v/>
      </c>
      <c r="R63" s="462" t="str">
        <f>IF($I$63="","",ROUND($I$63*mult_wood,0))</f>
        <v/>
      </c>
      <c r="S63" s="462" t="str">
        <f>IF($J$63="","",ROUND($J$63*mult_wood,0))</f>
        <v/>
      </c>
      <c r="T63" s="461">
        <f t="shared" si="3"/>
        <v>1</v>
      </c>
    </row>
    <row r="64" spans="1:20">
      <c r="A64" s="455" t="s">
        <v>230</v>
      </c>
      <c r="B64" s="456" t="s">
        <v>231</v>
      </c>
      <c r="C64" s="456" t="s">
        <v>175</v>
      </c>
      <c r="D64" s="457">
        <v>175</v>
      </c>
      <c r="E64" s="457">
        <v>185</v>
      </c>
      <c r="F64" s="457">
        <f t="shared" si="2"/>
        <v>185</v>
      </c>
      <c r="G64" s="457">
        <v>190</v>
      </c>
      <c r="H64" s="457">
        <v>270</v>
      </c>
      <c r="I64" s="457">
        <v>260</v>
      </c>
      <c r="J64" s="457">
        <v>260</v>
      </c>
      <c r="K64" s="458"/>
      <c r="L64" s="458" t="s">
        <v>2977</v>
      </c>
      <c r="M64" s="462">
        <f>IF($D$64="","",ROUND($D$64*mult_euro,0))</f>
        <v>175</v>
      </c>
      <c r="N64" s="462">
        <f>IF($E$64="","",ROUND($E$64*mult_euro,0))</f>
        <v>185</v>
      </c>
      <c r="O64" s="462">
        <f>IF($F$64="","",ROUND($F$64*mult_euro,0))</f>
        <v>185</v>
      </c>
      <c r="P64" s="462">
        <f>IF($G$64="","",ROUND($G$64*mult_euro,0))</f>
        <v>190</v>
      </c>
      <c r="Q64" s="462">
        <f>IF($H$64="","",ROUND($H$64*mult_wood,0))</f>
        <v>270</v>
      </c>
      <c r="R64" s="462">
        <f>IF($I$64="","",ROUND($I$64*mult_wood,0))</f>
        <v>260</v>
      </c>
      <c r="S64" s="462">
        <f>IF($J$64="","",ROUND($J$64*mult_wood,0))</f>
        <v>260</v>
      </c>
      <c r="T64" s="461">
        <f t="shared" si="3"/>
        <v>1</v>
      </c>
    </row>
    <row r="65" spans="1:20">
      <c r="A65" s="455" t="s">
        <v>232</v>
      </c>
      <c r="B65" s="456" t="s">
        <v>233</v>
      </c>
      <c r="C65" s="456" t="s">
        <v>175</v>
      </c>
      <c r="D65" s="457">
        <v>500</v>
      </c>
      <c r="E65" s="457">
        <v>535</v>
      </c>
      <c r="F65" s="457">
        <f t="shared" si="2"/>
        <v>535</v>
      </c>
      <c r="G65" s="457">
        <v>545</v>
      </c>
      <c r="H65" s="457">
        <v>853</v>
      </c>
      <c r="I65" s="457">
        <v>755</v>
      </c>
      <c r="J65" s="457">
        <v>755</v>
      </c>
      <c r="K65" s="458" t="s">
        <v>2959</v>
      </c>
      <c r="L65" s="458" t="s">
        <v>2977</v>
      </c>
      <c r="M65" s="462">
        <f>IF($D$65="","",ROUND($D$65*mult_euro,0))</f>
        <v>500</v>
      </c>
      <c r="N65" s="462">
        <f>IF($E$65="","",ROUND($E$65*mult_euro,0))</f>
        <v>535</v>
      </c>
      <c r="O65" s="462">
        <f>IF($F$65="","",ROUND($F$65*mult_euro,0))</f>
        <v>535</v>
      </c>
      <c r="P65" s="462">
        <f>IF($G$65="","",ROUND($G$65*mult_euro,0))</f>
        <v>545</v>
      </c>
      <c r="Q65" s="462">
        <f>IF($H$65="","",ROUND($H$65*mult_wood,0))</f>
        <v>853</v>
      </c>
      <c r="R65" s="462">
        <f>IF($I$65="","",ROUND($I$65*mult_wood,0))</f>
        <v>755</v>
      </c>
      <c r="S65" s="462">
        <f>IF($J$65="","",ROUND($J$65*mult_wood,0))</f>
        <v>755</v>
      </c>
      <c r="T65" s="461">
        <f t="shared" si="3"/>
        <v>1</v>
      </c>
    </row>
    <row r="66" spans="1:20">
      <c r="A66" s="98" t="s">
        <v>234</v>
      </c>
      <c r="B66" s="97" t="s">
        <v>235</v>
      </c>
      <c r="C66" s="97" t="s">
        <v>175</v>
      </c>
      <c r="D66" s="100">
        <v>220</v>
      </c>
      <c r="E66" s="100">
        <v>235</v>
      </c>
      <c r="F66" s="100">
        <f t="shared" si="2"/>
        <v>235</v>
      </c>
      <c r="G66" s="100">
        <v>240</v>
      </c>
      <c r="H66" s="100">
        <v>295</v>
      </c>
      <c r="I66" s="100">
        <v>335</v>
      </c>
      <c r="J66" s="100">
        <v>335</v>
      </c>
      <c r="K66" t="s">
        <v>2965</v>
      </c>
      <c r="L66" t="s">
        <v>2982</v>
      </c>
      <c r="M66" s="462">
        <f>IF($D$66="","",ROUND($D$66*mult_euro,0))</f>
        <v>220</v>
      </c>
      <c r="N66" s="462">
        <f>IF($E$66="","",ROUND($E$66*mult_euro,0))</f>
        <v>235</v>
      </c>
      <c r="O66" s="462">
        <f>IF($F$66="","",ROUND($F$66*mult_euro,0))</f>
        <v>235</v>
      </c>
      <c r="P66" s="462">
        <f>IF($G$66="","",ROUND($G$66*mult_euro,0))</f>
        <v>240</v>
      </c>
      <c r="Q66" s="462">
        <f>IF($H$66="","",ROUND($H$66*mult_wood,0))</f>
        <v>295</v>
      </c>
      <c r="R66" s="462">
        <f>IF($I$66="","",ROUND($I$66*mult_wood,0))</f>
        <v>335</v>
      </c>
      <c r="S66" s="462">
        <f>IF($J$66="","",ROUND($J$66*mult_wood,0))</f>
        <v>335</v>
      </c>
      <c r="T66" s="461">
        <f t="shared" si="3"/>
        <v>1</v>
      </c>
    </row>
    <row r="67" spans="1:20">
      <c r="A67" s="455" t="s">
        <v>236</v>
      </c>
      <c r="B67" s="456" t="s">
        <v>235</v>
      </c>
      <c r="C67" s="456" t="s">
        <v>175</v>
      </c>
      <c r="D67" s="457">
        <v>175</v>
      </c>
      <c r="E67" s="457">
        <v>185</v>
      </c>
      <c r="F67" s="457">
        <f t="shared" ref="F67:F98" si="4">E67</f>
        <v>185</v>
      </c>
      <c r="G67" s="457">
        <v>190</v>
      </c>
      <c r="H67" s="457">
        <v>255</v>
      </c>
      <c r="I67" s="457">
        <v>260</v>
      </c>
      <c r="J67" s="457">
        <v>260</v>
      </c>
      <c r="K67" s="458"/>
      <c r="L67" s="458" t="s">
        <v>2977</v>
      </c>
      <c r="M67" s="462">
        <f>IF($D$67="","",ROUND($D$67*mult_euro,0))</f>
        <v>175</v>
      </c>
      <c r="N67" s="462">
        <f>IF($E$67="","",ROUND($E$67*mult_euro,0))</f>
        <v>185</v>
      </c>
      <c r="O67" s="462">
        <f>IF($F$67="","",ROUND($F$67*mult_euro,0))</f>
        <v>185</v>
      </c>
      <c r="P67" s="462">
        <f>IF($G$67="","",ROUND($G$67*mult_euro,0))</f>
        <v>190</v>
      </c>
      <c r="Q67" s="462">
        <f>IF($H$67="","",ROUND($H$67*mult_wood,0))</f>
        <v>255</v>
      </c>
      <c r="R67" s="462">
        <f>IF($I$67="","",ROUND($I$67*mult_wood,0))</f>
        <v>260</v>
      </c>
      <c r="S67" s="462">
        <f>IF($J$67="","",ROUND($J$67*mult_wood,0))</f>
        <v>260</v>
      </c>
      <c r="T67" s="461">
        <f t="shared" si="3"/>
        <v>1</v>
      </c>
    </row>
    <row r="68" spans="1:20">
      <c r="A68" s="463" t="s">
        <v>237</v>
      </c>
      <c r="B68" s="464" t="s">
        <v>235</v>
      </c>
      <c r="C68" s="464" t="s">
        <v>175</v>
      </c>
      <c r="D68" s="465">
        <v>175</v>
      </c>
      <c r="E68" s="465">
        <v>185</v>
      </c>
      <c r="F68" s="465">
        <f t="shared" si="4"/>
        <v>185</v>
      </c>
      <c r="G68" s="465">
        <v>190</v>
      </c>
      <c r="H68" s="465">
        <v>255</v>
      </c>
      <c r="I68" s="465">
        <v>260</v>
      </c>
      <c r="J68" s="465">
        <v>260</v>
      </c>
      <c r="K68" s="466"/>
      <c r="L68" s="466" t="s">
        <v>3027</v>
      </c>
      <c r="M68" s="462">
        <f>IF($D$68="","",ROUND($D$68*mult_euro,0))</f>
        <v>175</v>
      </c>
      <c r="N68" s="462">
        <f>IF($E$68="","",ROUND($E$68*mult_euro,0))</f>
        <v>185</v>
      </c>
      <c r="O68" s="462">
        <f>IF($F$68="","",ROUND($F$68*mult_euro,0))</f>
        <v>185</v>
      </c>
      <c r="P68" s="462">
        <f>IF($G$68="","",ROUND($G$68*mult_euro,0))</f>
        <v>190</v>
      </c>
      <c r="Q68" s="462">
        <f>IF($H$68="","",ROUND($H$68*mult_wood,0))</f>
        <v>255</v>
      </c>
      <c r="R68" s="462">
        <f>IF($I$68="","",ROUND($I$68*mult_wood,0))</f>
        <v>260</v>
      </c>
      <c r="S68" s="462">
        <f>IF($J$68="","",ROUND($J$68*mult_wood,0))</f>
        <v>260</v>
      </c>
      <c r="T68" s="461">
        <f t="shared" ref="T68:T99" si="5">mult_euro</f>
        <v>1</v>
      </c>
    </row>
    <row r="69" spans="1:20">
      <c r="A69" s="455" t="s">
        <v>238</v>
      </c>
      <c r="B69" s="456" t="s">
        <v>239</v>
      </c>
      <c r="C69" s="456" t="s">
        <v>175</v>
      </c>
      <c r="D69" s="457">
        <v>580</v>
      </c>
      <c r="E69" s="457">
        <v>620</v>
      </c>
      <c r="F69" s="457">
        <f t="shared" si="4"/>
        <v>620</v>
      </c>
      <c r="G69" s="457">
        <v>635</v>
      </c>
      <c r="H69" s="457">
        <v>855</v>
      </c>
      <c r="I69" s="457">
        <v>875</v>
      </c>
      <c r="J69" s="457">
        <v>875</v>
      </c>
      <c r="K69" s="458" t="s">
        <v>2965</v>
      </c>
      <c r="L69" s="458" t="s">
        <v>2977</v>
      </c>
      <c r="M69" s="462">
        <f>IF($D$69="","",ROUND($D$69*mult_euro,0))</f>
        <v>580</v>
      </c>
      <c r="N69" s="462">
        <f>IF($E$69="","",ROUND($E$69*mult_euro,0))</f>
        <v>620</v>
      </c>
      <c r="O69" s="462">
        <f>IF($F$69="","",ROUND($F$69*mult_euro,0))</f>
        <v>620</v>
      </c>
      <c r="P69" s="462">
        <f>IF($G$69="","",ROUND($G$69*mult_euro,0))</f>
        <v>635</v>
      </c>
      <c r="Q69" s="462">
        <f>IF($H$69="","",ROUND($H$69*mult_wood,0))</f>
        <v>855</v>
      </c>
      <c r="R69" s="462">
        <f>IF($I$69="","",ROUND($I$69*mult_wood,0))</f>
        <v>875</v>
      </c>
      <c r="S69" s="462">
        <f>IF($J$69="","",ROUND($J$69*mult_wood,0))</f>
        <v>875</v>
      </c>
      <c r="T69" s="461">
        <f t="shared" si="5"/>
        <v>1</v>
      </c>
    </row>
    <row r="70" spans="1:20">
      <c r="A70" s="98" t="s">
        <v>240</v>
      </c>
      <c r="B70" s="97" t="s">
        <v>241</v>
      </c>
      <c r="C70" s="97" t="s">
        <v>175</v>
      </c>
      <c r="D70" s="100">
        <v>375</v>
      </c>
      <c r="E70" s="100">
        <v>400</v>
      </c>
      <c r="F70" s="100">
        <f t="shared" si="4"/>
        <v>400</v>
      </c>
      <c r="G70" s="100">
        <v>405</v>
      </c>
      <c r="H70" s="100">
        <v>560</v>
      </c>
      <c r="I70" s="100">
        <v>560</v>
      </c>
      <c r="J70" s="100">
        <v>560</v>
      </c>
      <c r="K70" t="s">
        <v>2965</v>
      </c>
      <c r="L70" t="s">
        <v>2982</v>
      </c>
      <c r="M70" s="462">
        <f>IF($D$70="","",ROUND($D$70*mult_euro,0))</f>
        <v>375</v>
      </c>
      <c r="N70" s="462">
        <f>IF($E$70="","",ROUND($E$70*mult_euro,0))</f>
        <v>400</v>
      </c>
      <c r="O70" s="462">
        <f>IF($F$70="","",ROUND($F$70*mult_euro,0))</f>
        <v>400</v>
      </c>
      <c r="P70" s="462">
        <f>IF($G$70="","",ROUND($G$70*mult_euro,0))</f>
        <v>405</v>
      </c>
      <c r="Q70" s="462">
        <f>IF($H$70="","",ROUND($H$70*mult_wood,0))</f>
        <v>560</v>
      </c>
      <c r="R70" s="462">
        <f>IF($I$70="","",ROUND($I$70*mult_wood,0))</f>
        <v>560</v>
      </c>
      <c r="S70" s="462">
        <f>IF($J$70="","",ROUND($J$70*mult_wood,0))</f>
        <v>560</v>
      </c>
      <c r="T70" s="461">
        <f t="shared" si="5"/>
        <v>1</v>
      </c>
    </row>
    <row r="71" spans="1:20">
      <c r="A71" s="98" t="s">
        <v>242</v>
      </c>
      <c r="B71" s="97" t="s">
        <v>243</v>
      </c>
      <c r="C71" s="97" t="s">
        <v>175</v>
      </c>
      <c r="D71" s="100">
        <v>370</v>
      </c>
      <c r="E71" s="100">
        <v>390</v>
      </c>
      <c r="F71" s="100">
        <f t="shared" si="4"/>
        <v>390</v>
      </c>
      <c r="G71" s="100">
        <v>400</v>
      </c>
      <c r="H71" s="100">
        <v>560</v>
      </c>
      <c r="I71" s="100">
        <v>555</v>
      </c>
      <c r="J71" s="100">
        <v>555</v>
      </c>
      <c r="K71" t="s">
        <v>2965</v>
      </c>
      <c r="L71" t="s">
        <v>2982</v>
      </c>
      <c r="M71" s="462">
        <f>IF($D$71="","",ROUND($D$71*mult_euro,0))</f>
        <v>370</v>
      </c>
      <c r="N71" s="462">
        <f>IF($E$71="","",ROUND($E$71*mult_euro,0))</f>
        <v>390</v>
      </c>
      <c r="O71" s="462">
        <f>IF($F$71="","",ROUND($F$71*mult_euro,0))</f>
        <v>390</v>
      </c>
      <c r="P71" s="462">
        <f>IF($G$71="","",ROUND($G$71*mult_euro,0))</f>
        <v>400</v>
      </c>
      <c r="Q71" s="462">
        <f>IF($H$71="","",ROUND($H$71*mult_wood,0))</f>
        <v>560</v>
      </c>
      <c r="R71" s="462">
        <f>IF($I$71="","",ROUND($I$71*mult_wood,0))</f>
        <v>555</v>
      </c>
      <c r="S71" s="462">
        <f>IF($J$71="","",ROUND($J$71*mult_wood,0))</f>
        <v>555</v>
      </c>
      <c r="T71" s="461">
        <f t="shared" si="5"/>
        <v>1</v>
      </c>
    </row>
    <row r="72" spans="1:20">
      <c r="A72" s="98" t="s">
        <v>244</v>
      </c>
      <c r="B72" s="97" t="s">
        <v>245</v>
      </c>
      <c r="C72" s="97" t="s">
        <v>175</v>
      </c>
      <c r="D72" s="100">
        <v>1205</v>
      </c>
      <c r="E72" s="100">
        <v>1285</v>
      </c>
      <c r="F72" s="100">
        <f t="shared" si="4"/>
        <v>1285</v>
      </c>
      <c r="G72" s="100">
        <v>1315</v>
      </c>
      <c r="H72" s="100">
        <v>1970</v>
      </c>
      <c r="I72" s="100">
        <v>1815</v>
      </c>
      <c r="J72" s="100">
        <v>1815</v>
      </c>
      <c r="K72" t="s">
        <v>2959</v>
      </c>
      <c r="L72" t="s">
        <v>2983</v>
      </c>
      <c r="M72" s="462">
        <f>IF($D$72="","",ROUND($D$72*mult_euro,0))</f>
        <v>1205</v>
      </c>
      <c r="N72" s="462">
        <f>IF($E$72="","",ROUND($E$72*mult_euro,0))</f>
        <v>1285</v>
      </c>
      <c r="O72" s="462">
        <f>IF($F$72="","",ROUND($F$72*mult_euro,0))</f>
        <v>1285</v>
      </c>
      <c r="P72" s="462">
        <f>IF($G$72="","",ROUND($G$72*mult_euro,0))</f>
        <v>1315</v>
      </c>
      <c r="Q72" s="462">
        <f>IF($H$72="","",ROUND($H$72*mult_wood,0))</f>
        <v>1970</v>
      </c>
      <c r="R72" s="462">
        <f>IF($I$72="","",ROUND($I$72*mult_wood,0))</f>
        <v>1815</v>
      </c>
      <c r="S72" s="462">
        <f>IF($J$72="","",ROUND($J$72*mult_wood,0))</f>
        <v>1815</v>
      </c>
      <c r="T72" s="461">
        <f t="shared" si="5"/>
        <v>1</v>
      </c>
    </row>
    <row r="73" spans="1:20">
      <c r="A73" s="455" t="s">
        <v>246</v>
      </c>
      <c r="B73" s="456" t="s">
        <v>247</v>
      </c>
      <c r="C73" s="456" t="s">
        <v>175</v>
      </c>
      <c r="D73" s="457">
        <v>1505</v>
      </c>
      <c r="E73" s="457">
        <v>1600</v>
      </c>
      <c r="F73" s="457">
        <f t="shared" si="4"/>
        <v>1600</v>
      </c>
      <c r="G73" s="457">
        <v>1635</v>
      </c>
      <c r="H73" s="457">
        <v>2475</v>
      </c>
      <c r="I73" s="457">
        <v>2265</v>
      </c>
      <c r="J73" s="457">
        <v>2265</v>
      </c>
      <c r="K73" s="458" t="s">
        <v>2959</v>
      </c>
      <c r="L73" s="458" t="s">
        <v>2977</v>
      </c>
      <c r="M73" s="462">
        <f>IF($D$73="","",ROUND($D$73*mult_euro,0))</f>
        <v>1505</v>
      </c>
      <c r="N73" s="462">
        <f>IF($E$73="","",ROUND($E$73*mult_euro,0))</f>
        <v>1600</v>
      </c>
      <c r="O73" s="462">
        <f>IF($F$73="","",ROUND($F$73*mult_euro,0))</f>
        <v>1600</v>
      </c>
      <c r="P73" s="462">
        <f>IF($G$73="","",ROUND($G$73*mult_euro,0))</f>
        <v>1635</v>
      </c>
      <c r="Q73" s="462">
        <f>IF($H$73="","",ROUND($H$73*mult_wood,0))</f>
        <v>2475</v>
      </c>
      <c r="R73" s="462">
        <f>IF($I$73="","",ROUND($I$73*mult_wood,0))</f>
        <v>2265</v>
      </c>
      <c r="S73" s="462">
        <f>IF($J$73="","",ROUND($J$73*mult_wood,0))</f>
        <v>2265</v>
      </c>
      <c r="T73" s="461">
        <f t="shared" si="5"/>
        <v>1</v>
      </c>
    </row>
    <row r="74" spans="1:20">
      <c r="A74" s="455" t="s">
        <v>248</v>
      </c>
      <c r="B74" s="456" t="s">
        <v>249</v>
      </c>
      <c r="C74" s="456" t="s">
        <v>175</v>
      </c>
      <c r="D74" s="457">
        <v>1345</v>
      </c>
      <c r="E74" s="457">
        <v>1430</v>
      </c>
      <c r="F74" s="457">
        <f t="shared" si="4"/>
        <v>1430</v>
      </c>
      <c r="G74" s="457">
        <v>1460</v>
      </c>
      <c r="H74" s="457">
        <v>2110</v>
      </c>
      <c r="I74" s="457">
        <v>2020</v>
      </c>
      <c r="J74" s="457">
        <v>2020</v>
      </c>
      <c r="K74" s="458" t="s">
        <v>2959</v>
      </c>
      <c r="L74" s="458" t="s">
        <v>2977</v>
      </c>
      <c r="M74" s="462">
        <f>IF($D$74="","",ROUND($D$74*mult_euro,0))</f>
        <v>1345</v>
      </c>
      <c r="N74" s="462">
        <f>IF($E$74="","",ROUND($E$74*mult_euro,0))</f>
        <v>1430</v>
      </c>
      <c r="O74" s="462">
        <f>IF($F$74="","",ROUND($F$74*mult_euro,0))</f>
        <v>1430</v>
      </c>
      <c r="P74" s="462">
        <f>IF($G$74="","",ROUND($G$74*mult_euro,0))</f>
        <v>1460</v>
      </c>
      <c r="Q74" s="462">
        <f>IF($H$74="","",ROUND($H$74*mult_wood,0))</f>
        <v>2110</v>
      </c>
      <c r="R74" s="462">
        <f>IF($I$74="","",ROUND($I$74*mult_wood,0))</f>
        <v>2020</v>
      </c>
      <c r="S74" s="462">
        <f>IF($J$74="","",ROUND($J$74*mult_wood,0))</f>
        <v>2020</v>
      </c>
      <c r="T74" s="461">
        <f t="shared" si="5"/>
        <v>1</v>
      </c>
    </row>
    <row r="75" spans="1:20">
      <c r="A75" s="455" t="s">
        <v>250</v>
      </c>
      <c r="B75" s="456" t="s">
        <v>251</v>
      </c>
      <c r="C75" s="456" t="s">
        <v>175</v>
      </c>
      <c r="D75" s="457">
        <v>1620</v>
      </c>
      <c r="E75" s="457">
        <v>1725</v>
      </c>
      <c r="F75" s="457">
        <f t="shared" si="4"/>
        <v>1725</v>
      </c>
      <c r="G75" s="457">
        <v>1760</v>
      </c>
      <c r="H75" s="457">
        <v>2385</v>
      </c>
      <c r="I75" s="457">
        <v>2440</v>
      </c>
      <c r="J75" s="457">
        <v>2440</v>
      </c>
      <c r="K75" s="458" t="s">
        <v>2965</v>
      </c>
      <c r="L75" s="458" t="s">
        <v>2977</v>
      </c>
      <c r="M75" s="462">
        <f>IF($D$75="","",ROUND($D$75*mult_euro,0))</f>
        <v>1620</v>
      </c>
      <c r="N75" s="462">
        <f>IF($E$75="","",ROUND($E$75*mult_euro,0))</f>
        <v>1725</v>
      </c>
      <c r="O75" s="462">
        <f>IF($F$75="","",ROUND($F$75*mult_euro,0))</f>
        <v>1725</v>
      </c>
      <c r="P75" s="462">
        <f>IF($G$75="","",ROUND($G$75*mult_euro,0))</f>
        <v>1760</v>
      </c>
      <c r="Q75" s="462">
        <f>IF($H$75="","",ROUND($H$75*mult_wood,0))</f>
        <v>2385</v>
      </c>
      <c r="R75" s="462">
        <f>IF($I$75="","",ROUND($I$75*mult_wood,0))</f>
        <v>2440</v>
      </c>
      <c r="S75" s="462">
        <f>IF($J$75="","",ROUND($J$75*mult_wood,0))</f>
        <v>2440</v>
      </c>
      <c r="T75" s="461">
        <f t="shared" si="5"/>
        <v>1</v>
      </c>
    </row>
    <row r="76" spans="1:20">
      <c r="A76" s="98" t="s">
        <v>252</v>
      </c>
      <c r="B76" s="97" t="s">
        <v>253</v>
      </c>
      <c r="C76" s="97" t="s">
        <v>175</v>
      </c>
      <c r="D76" s="100">
        <v>1475</v>
      </c>
      <c r="E76" s="100">
        <v>1570</v>
      </c>
      <c r="F76" s="100">
        <f t="shared" si="4"/>
        <v>1570</v>
      </c>
      <c r="G76" s="100">
        <v>1605</v>
      </c>
      <c r="H76" s="100">
        <v>2476</v>
      </c>
      <c r="I76" s="100">
        <v>2220</v>
      </c>
      <c r="J76" s="100">
        <v>2220</v>
      </c>
      <c r="K76" t="s">
        <v>2959</v>
      </c>
      <c r="L76" t="s">
        <v>2922</v>
      </c>
      <c r="M76" s="462">
        <f>IF($D$76="","",ROUND($D$76*mult_euro,0))</f>
        <v>1475</v>
      </c>
      <c r="N76" s="462">
        <f>IF($E$76="","",ROUND($E$76*mult_euro,0))</f>
        <v>1570</v>
      </c>
      <c r="O76" s="462">
        <f>IF($F$76="","",ROUND($F$76*mult_euro,0))</f>
        <v>1570</v>
      </c>
      <c r="P76" s="462">
        <f>IF($G$76="","",ROUND($G$76*mult_euro,0))</f>
        <v>1605</v>
      </c>
      <c r="Q76" s="462">
        <f>IF($H$76="","",ROUND($H$76*mult_wood,0))</f>
        <v>2476</v>
      </c>
      <c r="R76" s="462">
        <f>IF($I$76="","",ROUND($I$76*mult_wood,0))</f>
        <v>2220</v>
      </c>
      <c r="S76" s="462">
        <f>IF($J$76="","",ROUND($J$76*mult_wood,0))</f>
        <v>2220</v>
      </c>
      <c r="T76" s="461">
        <f t="shared" si="5"/>
        <v>1</v>
      </c>
    </row>
    <row r="77" spans="1:20">
      <c r="A77" s="98" t="s">
        <v>254</v>
      </c>
      <c r="B77" s="97" t="s">
        <v>255</v>
      </c>
      <c r="C77" s="97" t="s">
        <v>175</v>
      </c>
      <c r="D77" s="100">
        <v>1520</v>
      </c>
      <c r="E77" s="100">
        <v>1620</v>
      </c>
      <c r="F77" s="100">
        <f t="shared" si="4"/>
        <v>1620</v>
      </c>
      <c r="G77" s="100">
        <v>1655</v>
      </c>
      <c r="H77" s="100">
        <v>2140</v>
      </c>
      <c r="I77" s="100">
        <v>2290</v>
      </c>
      <c r="J77" s="100">
        <v>2290</v>
      </c>
      <c r="K77" t="s">
        <v>2965</v>
      </c>
      <c r="L77" t="s">
        <v>2984</v>
      </c>
      <c r="M77" s="462">
        <f>IF($D$77="","",ROUND($D$77*mult_euro,0))</f>
        <v>1520</v>
      </c>
      <c r="N77" s="462">
        <f>IF($E$77="","",ROUND($E$77*mult_euro,0))</f>
        <v>1620</v>
      </c>
      <c r="O77" s="462">
        <f>IF($F$77="","",ROUND($F$77*mult_euro,0))</f>
        <v>1620</v>
      </c>
      <c r="P77" s="462">
        <f>IF($G$77="","",ROUND($G$77*mult_euro,0))</f>
        <v>1655</v>
      </c>
      <c r="Q77" s="462">
        <f>IF($H$77="","",ROUND($H$77*mult_wood,0))</f>
        <v>2140</v>
      </c>
      <c r="R77" s="462">
        <f>IF($I$77="","",ROUND($I$77*mult_wood,0))</f>
        <v>2290</v>
      </c>
      <c r="S77" s="462">
        <f>IF($J$77="","",ROUND($J$77*mult_wood,0))</f>
        <v>2290</v>
      </c>
      <c r="T77" s="461">
        <f t="shared" si="5"/>
        <v>1</v>
      </c>
    </row>
    <row r="78" spans="1:20">
      <c r="A78" s="455" t="s">
        <v>256</v>
      </c>
      <c r="B78" s="456" t="s">
        <v>257</v>
      </c>
      <c r="C78" s="456" t="s">
        <v>175</v>
      </c>
      <c r="D78" s="457">
        <v>830</v>
      </c>
      <c r="E78" s="457">
        <v>885</v>
      </c>
      <c r="F78" s="457">
        <f t="shared" si="4"/>
        <v>885</v>
      </c>
      <c r="G78" s="457">
        <v>905</v>
      </c>
      <c r="H78" s="457">
        <v>1372</v>
      </c>
      <c r="I78" s="457">
        <v>1250</v>
      </c>
      <c r="J78" s="457">
        <v>1250</v>
      </c>
      <c r="K78" s="458" t="s">
        <v>2959</v>
      </c>
      <c r="L78" s="458" t="s">
        <v>2977</v>
      </c>
      <c r="M78" s="462">
        <f>IF($D$78="","",ROUND($D$78*mult_euro,0))</f>
        <v>830</v>
      </c>
      <c r="N78" s="462">
        <f>IF($E$78="","",ROUND($E$78*mult_euro,0))</f>
        <v>885</v>
      </c>
      <c r="O78" s="462">
        <f>IF($F$78="","",ROUND($F$78*mult_euro,0))</f>
        <v>885</v>
      </c>
      <c r="P78" s="462">
        <f>IF($G$78="","",ROUND($G$78*mult_euro,0))</f>
        <v>905</v>
      </c>
      <c r="Q78" s="462">
        <f>IF($H$78="","",ROUND($H$78*mult_wood,0))</f>
        <v>1372</v>
      </c>
      <c r="R78" s="462">
        <f>IF($I$78="","",ROUND($I$78*mult_wood,0))</f>
        <v>1250</v>
      </c>
      <c r="S78" s="462">
        <f>IF($J$78="","",ROUND($J$78*mult_wood,0))</f>
        <v>1250</v>
      </c>
      <c r="T78" s="461">
        <f t="shared" si="5"/>
        <v>1</v>
      </c>
    </row>
    <row r="79" spans="1:20">
      <c r="A79" s="455" t="s">
        <v>258</v>
      </c>
      <c r="B79" s="456" t="s">
        <v>259</v>
      </c>
      <c r="C79" s="456" t="s">
        <v>175</v>
      </c>
      <c r="D79" s="457">
        <v>1120</v>
      </c>
      <c r="E79" s="457">
        <v>1195</v>
      </c>
      <c r="F79" s="457">
        <f t="shared" si="4"/>
        <v>1195</v>
      </c>
      <c r="G79" s="457">
        <v>1220</v>
      </c>
      <c r="H79" s="457">
        <v>1635</v>
      </c>
      <c r="I79" s="457">
        <v>1685</v>
      </c>
      <c r="J79" s="457">
        <v>1685</v>
      </c>
      <c r="K79" s="458" t="s">
        <v>2965</v>
      </c>
      <c r="L79" s="458" t="s">
        <v>2977</v>
      </c>
      <c r="M79" s="462">
        <f>IF($D$79="","",ROUND($D$79*mult_euro,0))</f>
        <v>1120</v>
      </c>
      <c r="N79" s="462">
        <f>IF($E$79="","",ROUND($E$79*mult_euro,0))</f>
        <v>1195</v>
      </c>
      <c r="O79" s="462">
        <f>IF($F$79="","",ROUND($F$79*mult_euro,0))</f>
        <v>1195</v>
      </c>
      <c r="P79" s="462">
        <f>IF($G$79="","",ROUND($G$79*mult_euro,0))</f>
        <v>1220</v>
      </c>
      <c r="Q79" s="462">
        <f>IF($H$79="","",ROUND($H$79*mult_wood,0))</f>
        <v>1635</v>
      </c>
      <c r="R79" s="462">
        <f>IF($I$79="","",ROUND($I$79*mult_wood,0))</f>
        <v>1685</v>
      </c>
      <c r="S79" s="462">
        <f>IF($J$79="","",ROUND($J$79*mult_wood,0))</f>
        <v>1685</v>
      </c>
      <c r="T79" s="461">
        <f t="shared" si="5"/>
        <v>1</v>
      </c>
    </row>
    <row r="80" spans="1:20">
      <c r="A80" s="455" t="s">
        <v>260</v>
      </c>
      <c r="B80" s="456" t="s">
        <v>261</v>
      </c>
      <c r="C80" s="456" t="s">
        <v>175</v>
      </c>
      <c r="D80" s="457">
        <v>660</v>
      </c>
      <c r="E80" s="457">
        <v>705</v>
      </c>
      <c r="F80" s="457">
        <f t="shared" si="4"/>
        <v>705</v>
      </c>
      <c r="G80" s="457">
        <v>715</v>
      </c>
      <c r="H80" s="457">
        <v>885</v>
      </c>
      <c r="I80" s="457">
        <v>995</v>
      </c>
      <c r="J80" s="457">
        <v>985</v>
      </c>
      <c r="K80" s="458"/>
      <c r="L80" s="458" t="s">
        <v>2977</v>
      </c>
      <c r="M80" s="462">
        <f>IF($D$80="","",ROUND($D$80*mult_euro,0))</f>
        <v>660</v>
      </c>
      <c r="N80" s="462">
        <f>IF($E$80="","",ROUND($E$80*mult_euro,0))</f>
        <v>705</v>
      </c>
      <c r="O80" s="462">
        <f>IF($F$80="","",ROUND($F$80*mult_euro,0))</f>
        <v>705</v>
      </c>
      <c r="P80" s="462">
        <f>IF($G$80="","",ROUND($G$80*mult_euro,0))</f>
        <v>715</v>
      </c>
      <c r="Q80" s="462">
        <f>IF($H$80="","",ROUND($H$80*mult_wood,0))</f>
        <v>885</v>
      </c>
      <c r="R80" s="462">
        <f>IF($I$80="","",ROUND($I$80*mult_wood,0))</f>
        <v>995</v>
      </c>
      <c r="S80" s="462">
        <f>IF($J$80="","",ROUND($J$80*mult_wood,0))</f>
        <v>985</v>
      </c>
      <c r="T80" s="461">
        <f t="shared" si="5"/>
        <v>1</v>
      </c>
    </row>
    <row r="81" spans="1:20">
      <c r="A81" s="455" t="s">
        <v>262</v>
      </c>
      <c r="B81" s="456" t="s">
        <v>263</v>
      </c>
      <c r="C81" s="456" t="s">
        <v>175</v>
      </c>
      <c r="D81" s="457">
        <v>1830</v>
      </c>
      <c r="E81" s="457">
        <v>1950</v>
      </c>
      <c r="F81" s="457">
        <f t="shared" si="4"/>
        <v>1950</v>
      </c>
      <c r="G81" s="457">
        <v>1990</v>
      </c>
      <c r="H81" s="457">
        <v>2803</v>
      </c>
      <c r="I81" s="457">
        <v>2755</v>
      </c>
      <c r="J81" s="457">
        <v>2755</v>
      </c>
      <c r="K81" s="458" t="s">
        <v>2959</v>
      </c>
      <c r="L81" s="458" t="s">
        <v>2977</v>
      </c>
      <c r="M81" s="462">
        <f>IF($D$81="","",ROUND($D$81*mult_euro,0))</f>
        <v>1830</v>
      </c>
      <c r="N81" s="462">
        <f>IF($E$81="","",ROUND($E$81*mult_euro,0))</f>
        <v>1950</v>
      </c>
      <c r="O81" s="462">
        <f>IF($F$81="","",ROUND($F$81*mult_euro,0))</f>
        <v>1950</v>
      </c>
      <c r="P81" s="462">
        <f>IF($G$81="","",ROUND($G$81*mult_euro,0))</f>
        <v>1990</v>
      </c>
      <c r="Q81" s="462">
        <f>IF($H$81="","",ROUND($H$81*mult_wood,0))</f>
        <v>2803</v>
      </c>
      <c r="R81" s="462">
        <f>IF($I$81="","",ROUND($I$81*mult_wood,0))</f>
        <v>2755</v>
      </c>
      <c r="S81" s="462">
        <f>IF($J$81="","",ROUND($J$81*mult_wood,0))</f>
        <v>2755</v>
      </c>
      <c r="T81" s="461">
        <f t="shared" si="5"/>
        <v>1</v>
      </c>
    </row>
    <row r="82" spans="1:20">
      <c r="A82" s="455" t="s">
        <v>264</v>
      </c>
      <c r="B82" s="456" t="s">
        <v>265</v>
      </c>
      <c r="C82" s="456" t="s">
        <v>175</v>
      </c>
      <c r="D82" s="457">
        <v>1960</v>
      </c>
      <c r="E82" s="457">
        <v>2090</v>
      </c>
      <c r="F82" s="457">
        <f t="shared" si="4"/>
        <v>2090</v>
      </c>
      <c r="G82" s="457">
        <v>2135</v>
      </c>
      <c r="H82" s="457">
        <v>3201</v>
      </c>
      <c r="I82" s="457">
        <v>2955</v>
      </c>
      <c r="J82" s="457">
        <v>2955</v>
      </c>
      <c r="K82" s="458" t="s">
        <v>2959</v>
      </c>
      <c r="L82" s="458" t="s">
        <v>2977</v>
      </c>
      <c r="M82" s="462">
        <f>IF($D$82="","",ROUND($D$82*mult_euro,0))</f>
        <v>1960</v>
      </c>
      <c r="N82" s="462">
        <f>IF($E$82="","",ROUND($E$82*mult_euro,0))</f>
        <v>2090</v>
      </c>
      <c r="O82" s="462">
        <f>IF($F$82="","",ROUND($F$82*mult_euro,0))</f>
        <v>2090</v>
      </c>
      <c r="P82" s="462">
        <f>IF($G$82="","",ROUND($G$82*mult_euro,0))</f>
        <v>2135</v>
      </c>
      <c r="Q82" s="462">
        <f>IF($H$82="","",ROUND($H$82*mult_wood,0))</f>
        <v>3201</v>
      </c>
      <c r="R82" s="462">
        <f>IF($I$82="","",ROUND($I$82*mult_wood,0))</f>
        <v>2955</v>
      </c>
      <c r="S82" s="462">
        <f>IF($J$82="","",ROUND($J$82*mult_wood,0))</f>
        <v>2955</v>
      </c>
      <c r="T82" s="461">
        <f t="shared" si="5"/>
        <v>1</v>
      </c>
    </row>
    <row r="83" spans="1:20">
      <c r="A83" s="455" t="s">
        <v>266</v>
      </c>
      <c r="B83" s="456" t="s">
        <v>267</v>
      </c>
      <c r="C83" s="456" t="s">
        <v>175</v>
      </c>
      <c r="D83" s="457">
        <v>1965</v>
      </c>
      <c r="E83" s="457">
        <v>2095</v>
      </c>
      <c r="F83" s="457">
        <f t="shared" si="4"/>
        <v>2095</v>
      </c>
      <c r="G83" s="457">
        <v>2140</v>
      </c>
      <c r="H83" s="457">
        <v>2890</v>
      </c>
      <c r="I83" s="457">
        <v>2960</v>
      </c>
      <c r="J83" s="457">
        <v>2960</v>
      </c>
      <c r="K83" s="458" t="s">
        <v>2965</v>
      </c>
      <c r="L83" s="458" t="s">
        <v>2977</v>
      </c>
      <c r="M83" s="462">
        <f>IF($D$83="","",ROUND($D$83*mult_euro,0))</f>
        <v>1965</v>
      </c>
      <c r="N83" s="462">
        <f>IF($E$83="","",ROUND($E$83*mult_euro,0))</f>
        <v>2095</v>
      </c>
      <c r="O83" s="462">
        <f>IF($F$83="","",ROUND($F$83*mult_euro,0))</f>
        <v>2095</v>
      </c>
      <c r="P83" s="462">
        <f>IF($G$83="","",ROUND($G$83*mult_euro,0))</f>
        <v>2140</v>
      </c>
      <c r="Q83" s="462">
        <f>IF($H$83="","",ROUND($H$83*mult_wood,0))</f>
        <v>2890</v>
      </c>
      <c r="R83" s="462">
        <f>IF($I$83="","",ROUND($I$83*mult_wood,0))</f>
        <v>2960</v>
      </c>
      <c r="S83" s="462">
        <f>IF($J$83="","",ROUND($J$83*mult_wood,0))</f>
        <v>2960</v>
      </c>
      <c r="T83" s="461">
        <f t="shared" si="5"/>
        <v>1</v>
      </c>
    </row>
    <row r="84" spans="1:20">
      <c r="A84" s="455" t="s">
        <v>268</v>
      </c>
      <c r="B84" s="456" t="s">
        <v>269</v>
      </c>
      <c r="C84" s="456" t="s">
        <v>175</v>
      </c>
      <c r="D84" s="457">
        <v>1800</v>
      </c>
      <c r="E84" s="457">
        <v>1920</v>
      </c>
      <c r="F84" s="457">
        <f t="shared" si="4"/>
        <v>1920</v>
      </c>
      <c r="G84" s="457">
        <v>1960</v>
      </c>
      <c r="H84" s="457">
        <v>2749</v>
      </c>
      <c r="I84" s="457">
        <v>2715</v>
      </c>
      <c r="J84" s="457">
        <v>2715</v>
      </c>
      <c r="K84" s="458" t="s">
        <v>2959</v>
      </c>
      <c r="L84" s="458" t="s">
        <v>2977</v>
      </c>
      <c r="M84" s="462">
        <f>IF($D$84="","",ROUND($D$84*mult_euro,0))</f>
        <v>1800</v>
      </c>
      <c r="N84" s="462">
        <f>IF($E$84="","",ROUND($E$84*mult_euro,0))</f>
        <v>1920</v>
      </c>
      <c r="O84" s="462">
        <f>IF($F$84="","",ROUND($F$84*mult_euro,0))</f>
        <v>1920</v>
      </c>
      <c r="P84" s="462">
        <f>IF($G$84="","",ROUND($G$84*mult_euro,0))</f>
        <v>1960</v>
      </c>
      <c r="Q84" s="462">
        <f>IF($H$84="","",ROUND($H$84*mult_wood,0))</f>
        <v>2749</v>
      </c>
      <c r="R84" s="462">
        <f>IF($I$84="","",ROUND($I$84*mult_wood,0))</f>
        <v>2715</v>
      </c>
      <c r="S84" s="462">
        <f>IF($J$84="","",ROUND($J$84*mult_wood,0))</f>
        <v>2715</v>
      </c>
      <c r="T84" s="461">
        <f t="shared" si="5"/>
        <v>1</v>
      </c>
    </row>
    <row r="85" spans="1:20">
      <c r="A85" s="455" t="s">
        <v>270</v>
      </c>
      <c r="B85" s="456" t="s">
        <v>271</v>
      </c>
      <c r="C85" s="456" t="s">
        <v>175</v>
      </c>
      <c r="D85" s="457">
        <v>1430</v>
      </c>
      <c r="E85" s="457">
        <v>1525</v>
      </c>
      <c r="F85" s="457">
        <f t="shared" si="4"/>
        <v>1525</v>
      </c>
      <c r="G85" s="457">
        <v>1555</v>
      </c>
      <c r="H85" s="457">
        <v>2095</v>
      </c>
      <c r="I85" s="457">
        <v>2150</v>
      </c>
      <c r="J85" s="457">
        <v>2150</v>
      </c>
      <c r="K85" s="458" t="s">
        <v>2965</v>
      </c>
      <c r="L85" s="458" t="s">
        <v>2977</v>
      </c>
      <c r="M85" s="462">
        <f>IF($D$85="","",ROUND($D$85*mult_euro,0))</f>
        <v>1430</v>
      </c>
      <c r="N85" s="462">
        <f>IF($E$85="","",ROUND($E$85*mult_euro,0))</f>
        <v>1525</v>
      </c>
      <c r="O85" s="462">
        <f>IF($F$85="","",ROUND($F$85*mult_euro,0))</f>
        <v>1525</v>
      </c>
      <c r="P85" s="462">
        <f>IF($G$85="","",ROUND($G$85*mult_euro,0))</f>
        <v>1555</v>
      </c>
      <c r="Q85" s="462">
        <f>IF($H$85="","",ROUND($H$85*mult_wood,0))</f>
        <v>2095</v>
      </c>
      <c r="R85" s="462">
        <f>IF($I$85="","",ROUND($I$85*mult_wood,0))</f>
        <v>2150</v>
      </c>
      <c r="S85" s="462">
        <f>IF($J$85="","",ROUND($J$85*mult_wood,0))</f>
        <v>2150</v>
      </c>
      <c r="T85" s="461">
        <f t="shared" si="5"/>
        <v>1</v>
      </c>
    </row>
    <row r="86" spans="1:20">
      <c r="A86" s="455" t="s">
        <v>272</v>
      </c>
      <c r="B86" s="456" t="s">
        <v>273</v>
      </c>
      <c r="C86" s="456" t="s">
        <v>175</v>
      </c>
      <c r="D86" s="457">
        <v>845</v>
      </c>
      <c r="E86" s="457">
        <v>900</v>
      </c>
      <c r="F86" s="457">
        <f t="shared" si="4"/>
        <v>900</v>
      </c>
      <c r="G86" s="457">
        <v>920</v>
      </c>
      <c r="H86" s="457">
        <v>1205</v>
      </c>
      <c r="I86" s="457">
        <v>1275</v>
      </c>
      <c r="J86" s="457">
        <v>1275</v>
      </c>
      <c r="K86" s="458" t="s">
        <v>2965</v>
      </c>
      <c r="L86" s="458" t="s">
        <v>2977</v>
      </c>
      <c r="M86" s="462">
        <f>IF($D$86="","",ROUND($D$86*mult_euro,0))</f>
        <v>845</v>
      </c>
      <c r="N86" s="462">
        <f>IF($E$86="","",ROUND($E$86*mult_euro,0))</f>
        <v>900</v>
      </c>
      <c r="O86" s="462">
        <f>IF($F$86="","",ROUND($F$86*mult_euro,0))</f>
        <v>900</v>
      </c>
      <c r="P86" s="462">
        <f>IF($G$86="","",ROUND($G$86*mult_euro,0))</f>
        <v>920</v>
      </c>
      <c r="Q86" s="462">
        <f>IF($H$86="","",ROUND($H$86*mult_wood,0))</f>
        <v>1205</v>
      </c>
      <c r="R86" s="462">
        <f>IF($I$86="","",ROUND($I$86*mult_wood,0))</f>
        <v>1275</v>
      </c>
      <c r="S86" s="462">
        <f>IF($J$86="","",ROUND($J$86*mult_wood,0))</f>
        <v>1275</v>
      </c>
      <c r="T86" s="461">
        <f t="shared" si="5"/>
        <v>1</v>
      </c>
    </row>
    <row r="87" spans="1:20">
      <c r="A87" s="455" t="s">
        <v>274</v>
      </c>
      <c r="B87" s="456" t="s">
        <v>275</v>
      </c>
      <c r="C87" s="456" t="s">
        <v>175</v>
      </c>
      <c r="D87" s="457">
        <v>1440</v>
      </c>
      <c r="E87" s="457">
        <v>1535</v>
      </c>
      <c r="F87" s="457">
        <f t="shared" si="4"/>
        <v>1535</v>
      </c>
      <c r="G87" s="457">
        <v>1565</v>
      </c>
      <c r="H87" s="457">
        <v>2115</v>
      </c>
      <c r="I87" s="457">
        <v>2165</v>
      </c>
      <c r="J87" s="457">
        <v>2165</v>
      </c>
      <c r="K87" s="458" t="s">
        <v>2965</v>
      </c>
      <c r="L87" s="458" t="s">
        <v>2977</v>
      </c>
      <c r="M87" s="462">
        <f>IF($D$87="","",ROUND($D$87*mult_euro,0))</f>
        <v>1440</v>
      </c>
      <c r="N87" s="462">
        <f>IF($E$87="","",ROUND($E$87*mult_euro,0))</f>
        <v>1535</v>
      </c>
      <c r="O87" s="462">
        <f>IF($F$87="","",ROUND($F$87*mult_euro,0))</f>
        <v>1535</v>
      </c>
      <c r="P87" s="462">
        <f>IF($G$87="","",ROUND($G$87*mult_euro,0))</f>
        <v>1565</v>
      </c>
      <c r="Q87" s="462">
        <f>IF($H$87="","",ROUND($H$87*mult_wood,0))</f>
        <v>2115</v>
      </c>
      <c r="R87" s="462">
        <f>IF($I$87="","",ROUND($I$87*mult_wood,0))</f>
        <v>2165</v>
      </c>
      <c r="S87" s="462">
        <f>IF($J$87="","",ROUND($J$87*mult_wood,0))</f>
        <v>2165</v>
      </c>
      <c r="T87" s="461">
        <f t="shared" si="5"/>
        <v>1</v>
      </c>
    </row>
    <row r="88" spans="1:20">
      <c r="A88" s="455" t="s">
        <v>276</v>
      </c>
      <c r="B88" s="456" t="s">
        <v>277</v>
      </c>
      <c r="C88" s="456" t="s">
        <v>175</v>
      </c>
      <c r="D88" s="457">
        <v>865</v>
      </c>
      <c r="E88" s="457">
        <v>920</v>
      </c>
      <c r="F88" s="457">
        <f t="shared" si="4"/>
        <v>920</v>
      </c>
      <c r="G88" s="457">
        <v>940</v>
      </c>
      <c r="H88" s="457">
        <v>1270</v>
      </c>
      <c r="I88" s="457">
        <v>1300</v>
      </c>
      <c r="J88" s="457">
        <v>1300</v>
      </c>
      <c r="K88" s="458" t="s">
        <v>2965</v>
      </c>
      <c r="L88" s="458" t="s">
        <v>2977</v>
      </c>
      <c r="M88" s="462">
        <f>IF($D$88="","",ROUND($D$88*mult_euro,0))</f>
        <v>865</v>
      </c>
      <c r="N88" s="462">
        <f>IF($E$88="","",ROUND($E$88*mult_euro,0))</f>
        <v>920</v>
      </c>
      <c r="O88" s="462">
        <f>IF($F$88="","",ROUND($F$88*mult_euro,0))</f>
        <v>920</v>
      </c>
      <c r="P88" s="462">
        <f>IF($G$88="","",ROUND($G$88*mult_euro,0))</f>
        <v>940</v>
      </c>
      <c r="Q88" s="462">
        <f>IF($H$88="","",ROUND($H$88*mult_wood,0))</f>
        <v>1270</v>
      </c>
      <c r="R88" s="462">
        <f>IF($I$88="","",ROUND($I$88*mult_wood,0))</f>
        <v>1300</v>
      </c>
      <c r="S88" s="462">
        <f>IF($J$88="","",ROUND($J$88*mult_wood,0))</f>
        <v>1300</v>
      </c>
      <c r="T88" s="461">
        <f t="shared" si="5"/>
        <v>1</v>
      </c>
    </row>
    <row r="89" spans="1:20">
      <c r="A89" s="98" t="s">
        <v>278</v>
      </c>
      <c r="B89" s="97" t="s">
        <v>279</v>
      </c>
      <c r="C89" s="97" t="s">
        <v>175</v>
      </c>
      <c r="D89" s="100">
        <v>1510</v>
      </c>
      <c r="E89" s="100">
        <v>1610</v>
      </c>
      <c r="F89" s="100">
        <f t="shared" si="4"/>
        <v>1610</v>
      </c>
      <c r="G89" s="100">
        <v>1645</v>
      </c>
      <c r="H89" s="100">
        <v>2521</v>
      </c>
      <c r="I89" s="100">
        <v>2275</v>
      </c>
      <c r="J89" s="100">
        <v>2275</v>
      </c>
      <c r="K89" t="s">
        <v>2959</v>
      </c>
      <c r="L89" t="s">
        <v>2922</v>
      </c>
      <c r="M89" s="462">
        <f>IF($D$89="","",ROUND($D$89*mult_euro,0))</f>
        <v>1510</v>
      </c>
      <c r="N89" s="462">
        <f>IF($E$89="","",ROUND($E$89*mult_euro,0))</f>
        <v>1610</v>
      </c>
      <c r="O89" s="462">
        <f>IF($F$89="","",ROUND($F$89*mult_euro,0))</f>
        <v>1610</v>
      </c>
      <c r="P89" s="462">
        <f>IF($G$89="","",ROUND($G$89*mult_euro,0))</f>
        <v>1645</v>
      </c>
      <c r="Q89" s="462">
        <f>IF($H$89="","",ROUND($H$89*mult_wood,0))</f>
        <v>2521</v>
      </c>
      <c r="R89" s="462">
        <f>IF($I$89="","",ROUND($I$89*mult_wood,0))</f>
        <v>2275</v>
      </c>
      <c r="S89" s="462">
        <f>IF($J$89="","",ROUND($J$89*mult_wood,0))</f>
        <v>2275</v>
      </c>
      <c r="T89" s="461">
        <f t="shared" si="5"/>
        <v>1</v>
      </c>
    </row>
    <row r="90" spans="1:20">
      <c r="A90" s="98" t="s">
        <v>280</v>
      </c>
      <c r="B90" s="97" t="s">
        <v>281</v>
      </c>
      <c r="C90" s="97" t="s">
        <v>175</v>
      </c>
      <c r="D90" s="100">
        <v>820</v>
      </c>
      <c r="E90" s="100">
        <v>875</v>
      </c>
      <c r="F90" s="100">
        <f t="shared" si="4"/>
        <v>875</v>
      </c>
      <c r="G90" s="100">
        <v>890</v>
      </c>
      <c r="H90" s="100">
        <v>1100</v>
      </c>
      <c r="I90" s="100">
        <v>1235</v>
      </c>
      <c r="J90" s="100">
        <v>1235</v>
      </c>
      <c r="K90" t="s">
        <v>2965</v>
      </c>
      <c r="L90" t="s">
        <v>2983</v>
      </c>
      <c r="M90" s="462">
        <f>IF($D$90="","",ROUND($D$90*mult_euro,0))</f>
        <v>820</v>
      </c>
      <c r="N90" s="462">
        <f>IF($E$90="","",ROUND($E$90*mult_euro,0))</f>
        <v>875</v>
      </c>
      <c r="O90" s="462">
        <f>IF($F$90="","",ROUND($F$90*mult_euro,0))</f>
        <v>875</v>
      </c>
      <c r="P90" s="462">
        <f>IF($G$90="","",ROUND($G$90*mult_euro,0))</f>
        <v>890</v>
      </c>
      <c r="Q90" s="462">
        <f>IF($H$90="","",ROUND($H$90*mult_wood,0))</f>
        <v>1100</v>
      </c>
      <c r="R90" s="462">
        <f>IF($I$90="","",ROUND($I$90*mult_wood,0))</f>
        <v>1235</v>
      </c>
      <c r="S90" s="462">
        <f>IF($J$90="","",ROUND($J$90*mult_wood,0))</f>
        <v>1235</v>
      </c>
      <c r="T90" s="461">
        <f t="shared" si="5"/>
        <v>1</v>
      </c>
    </row>
    <row r="91" spans="1:20">
      <c r="A91" s="98" t="s">
        <v>282</v>
      </c>
      <c r="B91" s="97" t="s">
        <v>156</v>
      </c>
      <c r="C91" s="97" t="s">
        <v>175</v>
      </c>
      <c r="D91" s="100">
        <v>610</v>
      </c>
      <c r="E91" s="100">
        <v>650</v>
      </c>
      <c r="F91" s="100">
        <f t="shared" si="4"/>
        <v>650</v>
      </c>
      <c r="G91" s="100">
        <v>665</v>
      </c>
      <c r="H91" s="100">
        <v>870</v>
      </c>
      <c r="I91" s="100">
        <v>920</v>
      </c>
      <c r="J91" s="100">
        <v>920</v>
      </c>
      <c r="K91" t="s">
        <v>2965</v>
      </c>
      <c r="L91" t="s">
        <v>2984</v>
      </c>
      <c r="M91" s="462">
        <f>IF($D$91="","",ROUND($D$91*mult_euro,0))</f>
        <v>610</v>
      </c>
      <c r="N91" s="462">
        <f>IF($E$91="","",ROUND($E$91*mult_euro,0))</f>
        <v>650</v>
      </c>
      <c r="O91" s="462">
        <f>IF($F$91="","",ROUND($F$91*mult_euro,0))</f>
        <v>650</v>
      </c>
      <c r="P91" s="462">
        <f>IF($G$91="","",ROUND($G$91*mult_euro,0))</f>
        <v>665</v>
      </c>
      <c r="Q91" s="462">
        <f>IF($H$91="","",ROUND($H$91*mult_wood,0))</f>
        <v>870</v>
      </c>
      <c r="R91" s="462">
        <f>IF($I$91="","",ROUND($I$91*mult_wood,0))</f>
        <v>920</v>
      </c>
      <c r="S91" s="462">
        <f>IF($J$91="","",ROUND($J$91*mult_wood,0))</f>
        <v>920</v>
      </c>
      <c r="T91" s="461">
        <f t="shared" si="5"/>
        <v>1</v>
      </c>
    </row>
    <row r="92" spans="1:20">
      <c r="A92" s="455" t="s">
        <v>283</v>
      </c>
      <c r="B92" s="456" t="s">
        <v>284</v>
      </c>
      <c r="C92" s="456" t="s">
        <v>175</v>
      </c>
      <c r="D92" s="457">
        <v>535</v>
      </c>
      <c r="E92" s="457">
        <v>570</v>
      </c>
      <c r="F92" s="457">
        <f t="shared" si="4"/>
        <v>570</v>
      </c>
      <c r="G92" s="457">
        <v>585</v>
      </c>
      <c r="H92" s="457">
        <v>800</v>
      </c>
      <c r="I92" s="457">
        <v>810</v>
      </c>
      <c r="J92" s="457">
        <v>810</v>
      </c>
      <c r="K92" s="458" t="s">
        <v>2965</v>
      </c>
      <c r="L92" s="458" t="s">
        <v>2977</v>
      </c>
      <c r="M92" s="462">
        <f>IF($D$92="","",ROUND($D$92*mult_euro,0))</f>
        <v>535</v>
      </c>
      <c r="N92" s="462">
        <f>IF($E$92="","",ROUND($E$92*mult_euro,0))</f>
        <v>570</v>
      </c>
      <c r="O92" s="462">
        <f>IF($F$92="","",ROUND($F$92*mult_euro,0))</f>
        <v>570</v>
      </c>
      <c r="P92" s="462">
        <f>IF($G$92="","",ROUND($G$92*mult_euro,0))</f>
        <v>585</v>
      </c>
      <c r="Q92" s="462">
        <f>IF($H$92="","",ROUND($H$92*mult_wood,0))</f>
        <v>800</v>
      </c>
      <c r="R92" s="462">
        <f>IF($I$92="","",ROUND($I$92*mult_wood,0))</f>
        <v>810</v>
      </c>
      <c r="S92" s="462">
        <f>IF($J$92="","",ROUND($J$92*mult_wood,0))</f>
        <v>810</v>
      </c>
      <c r="T92" s="461">
        <f t="shared" si="5"/>
        <v>1</v>
      </c>
    </row>
    <row r="93" spans="1:20">
      <c r="A93" s="455" t="s">
        <v>285</v>
      </c>
      <c r="B93" s="456" t="s">
        <v>286</v>
      </c>
      <c r="C93" s="456" t="s">
        <v>175</v>
      </c>
      <c r="D93" s="457">
        <v>1710</v>
      </c>
      <c r="E93" s="457">
        <v>1835</v>
      </c>
      <c r="F93" s="457">
        <f t="shared" si="4"/>
        <v>1835</v>
      </c>
      <c r="G93" s="457">
        <v>1850</v>
      </c>
      <c r="H93" s="457">
        <v>2355</v>
      </c>
      <c r="I93" s="457">
        <v>2580</v>
      </c>
      <c r="J93" s="457">
        <v>2560</v>
      </c>
      <c r="K93" s="458"/>
      <c r="L93" s="458" t="s">
        <v>2977</v>
      </c>
      <c r="M93" s="462">
        <f>IF($D$93="","",ROUND($D$93*mult_euro,0))</f>
        <v>1710</v>
      </c>
      <c r="N93" s="462">
        <f>IF($E$93="","",ROUND($E$93*mult_euro,0))</f>
        <v>1835</v>
      </c>
      <c r="O93" s="462">
        <f>IF($F$93="","",ROUND($F$93*mult_euro,0))</f>
        <v>1835</v>
      </c>
      <c r="P93" s="462">
        <f>IF($G$93="","",ROUND($G$93*mult_euro,0))</f>
        <v>1850</v>
      </c>
      <c r="Q93" s="462">
        <f>IF($H$93="","",ROUND($H$93*mult_wood,0))</f>
        <v>2355</v>
      </c>
      <c r="R93" s="462">
        <f>IF($I$93="","",ROUND($I$93*mult_wood,0))</f>
        <v>2580</v>
      </c>
      <c r="S93" s="462">
        <f>IF($J$93="","",ROUND($J$93*mult_wood,0))</f>
        <v>2560</v>
      </c>
      <c r="T93" s="461">
        <f t="shared" si="5"/>
        <v>1</v>
      </c>
    </row>
    <row r="94" spans="1:20">
      <c r="A94" s="455" t="s">
        <v>287</v>
      </c>
      <c r="B94" s="456" t="s">
        <v>288</v>
      </c>
      <c r="C94" s="456" t="s">
        <v>175</v>
      </c>
      <c r="D94" s="457">
        <v>1090</v>
      </c>
      <c r="E94" s="457">
        <v>1165</v>
      </c>
      <c r="F94" s="457">
        <f t="shared" si="4"/>
        <v>1165</v>
      </c>
      <c r="G94" s="457">
        <v>1190</v>
      </c>
      <c r="H94" s="457">
        <v>1731</v>
      </c>
      <c r="I94" s="457">
        <v>1645</v>
      </c>
      <c r="J94" s="457">
        <v>1645</v>
      </c>
      <c r="K94" s="458" t="s">
        <v>2959</v>
      </c>
      <c r="L94" s="458" t="s">
        <v>2977</v>
      </c>
      <c r="M94" s="462">
        <f>IF($D$94="","",ROUND($D$94*mult_euro,0))</f>
        <v>1090</v>
      </c>
      <c r="N94" s="462">
        <f>IF($E$94="","",ROUND($E$94*mult_euro,0))</f>
        <v>1165</v>
      </c>
      <c r="O94" s="462">
        <f>IF($F$94="","",ROUND($F$94*mult_euro,0))</f>
        <v>1165</v>
      </c>
      <c r="P94" s="462">
        <f>IF($G$94="","",ROUND($G$94*mult_euro,0))</f>
        <v>1190</v>
      </c>
      <c r="Q94" s="462">
        <f>IF($H$94="","",ROUND($H$94*mult_wood,0))</f>
        <v>1731</v>
      </c>
      <c r="R94" s="462">
        <f>IF($I$94="","",ROUND($I$94*mult_wood,0))</f>
        <v>1645</v>
      </c>
      <c r="S94" s="462">
        <f>IF($J$94="","",ROUND($J$94*mult_wood,0))</f>
        <v>1645</v>
      </c>
      <c r="T94" s="461">
        <f t="shared" si="5"/>
        <v>1</v>
      </c>
    </row>
    <row r="95" spans="1:20">
      <c r="A95" s="455" t="s">
        <v>289</v>
      </c>
      <c r="B95" s="456" t="s">
        <v>290</v>
      </c>
      <c r="C95" s="456" t="s">
        <v>175</v>
      </c>
      <c r="D95" s="457">
        <v>255</v>
      </c>
      <c r="E95" s="457">
        <v>270</v>
      </c>
      <c r="F95" s="457">
        <f t="shared" si="4"/>
        <v>270</v>
      </c>
      <c r="G95" s="457">
        <v>275</v>
      </c>
      <c r="H95" s="457">
        <v>365</v>
      </c>
      <c r="I95" s="457">
        <v>385</v>
      </c>
      <c r="J95" s="457">
        <v>385</v>
      </c>
      <c r="K95" s="458" t="s">
        <v>2965</v>
      </c>
      <c r="L95" s="458" t="s">
        <v>2977</v>
      </c>
      <c r="M95" s="462">
        <f>IF($D$95="","",ROUND($D$95*mult_euro,0))</f>
        <v>255</v>
      </c>
      <c r="N95" s="462">
        <f>IF($E$95="","",ROUND($E$95*mult_euro,0))</f>
        <v>270</v>
      </c>
      <c r="O95" s="462">
        <f>IF($F$95="","",ROUND($F$95*mult_euro,0))</f>
        <v>270</v>
      </c>
      <c r="P95" s="462">
        <f>IF($G$95="","",ROUND($G$95*mult_euro,0))</f>
        <v>275</v>
      </c>
      <c r="Q95" s="462">
        <f>IF($H$95="","",ROUND($H$95*mult_wood,0))</f>
        <v>365</v>
      </c>
      <c r="R95" s="462">
        <f>IF($I$95="","",ROUND($I$95*mult_wood,0))</f>
        <v>385</v>
      </c>
      <c r="S95" s="462">
        <f>IF($J$95="","",ROUND($J$95*mult_wood,0))</f>
        <v>385</v>
      </c>
      <c r="T95" s="461">
        <f t="shared" si="5"/>
        <v>1</v>
      </c>
    </row>
    <row r="96" spans="1:20">
      <c r="A96" s="455" t="s">
        <v>291</v>
      </c>
      <c r="B96" s="456" t="s">
        <v>292</v>
      </c>
      <c r="C96" s="456" t="s">
        <v>175</v>
      </c>
      <c r="D96" s="457">
        <v>280</v>
      </c>
      <c r="E96" s="457">
        <v>300</v>
      </c>
      <c r="F96" s="457">
        <f t="shared" si="4"/>
        <v>300</v>
      </c>
      <c r="G96" s="457">
        <v>305</v>
      </c>
      <c r="H96" s="457">
        <v>415</v>
      </c>
      <c r="I96" s="457">
        <v>425</v>
      </c>
      <c r="J96" s="457">
        <v>425</v>
      </c>
      <c r="K96" s="458" t="s">
        <v>2965</v>
      </c>
      <c r="L96" s="458" t="s">
        <v>2977</v>
      </c>
      <c r="M96" s="462">
        <f>IF($D$96="","",ROUND($D$96*mult_euro,0))</f>
        <v>280</v>
      </c>
      <c r="N96" s="462">
        <f>IF($E$96="","",ROUND($E$96*mult_euro,0))</f>
        <v>300</v>
      </c>
      <c r="O96" s="462">
        <f>IF($F$96="","",ROUND($F$96*mult_euro,0))</f>
        <v>300</v>
      </c>
      <c r="P96" s="462">
        <f>IF($G$96="","",ROUND($G$96*mult_euro,0))</f>
        <v>305</v>
      </c>
      <c r="Q96" s="462">
        <f>IF($H$96="","",ROUND($H$96*mult_wood,0))</f>
        <v>415</v>
      </c>
      <c r="R96" s="462">
        <f>IF($I$96="","",ROUND($I$96*mult_wood,0))</f>
        <v>425</v>
      </c>
      <c r="S96" s="462">
        <f>IF($J$96="","",ROUND($J$96*mult_wood,0))</f>
        <v>425</v>
      </c>
      <c r="T96" s="461">
        <f t="shared" si="5"/>
        <v>1</v>
      </c>
    </row>
    <row r="97" spans="1:20">
      <c r="A97" s="98" t="s">
        <v>293</v>
      </c>
      <c r="B97" s="97" t="s">
        <v>294</v>
      </c>
      <c r="C97" s="97" t="s">
        <v>175</v>
      </c>
      <c r="D97" s="100">
        <v>3415</v>
      </c>
      <c r="E97" s="100">
        <v>3640</v>
      </c>
      <c r="F97" s="100">
        <f t="shared" si="4"/>
        <v>3640</v>
      </c>
      <c r="G97" s="100">
        <v>3715</v>
      </c>
      <c r="H97" s="100">
        <v>4980</v>
      </c>
      <c r="I97" s="100">
        <v>5140</v>
      </c>
      <c r="J97" s="100">
        <v>5140</v>
      </c>
      <c r="K97" t="s">
        <v>2965</v>
      </c>
      <c r="L97" t="s">
        <v>2985</v>
      </c>
      <c r="M97" s="462">
        <f>IF($D$97="","",ROUND($D$97*mult_euro,0))</f>
        <v>3415</v>
      </c>
      <c r="N97" s="462">
        <f>IF($E$97="","",ROUND($E$97*mult_euro,0))</f>
        <v>3640</v>
      </c>
      <c r="O97" s="462">
        <f>IF($F$97="","",ROUND($F$97*mult_euro,0))</f>
        <v>3640</v>
      </c>
      <c r="P97" s="462">
        <f>IF($G$97="","",ROUND($G$97*mult_euro,0))</f>
        <v>3715</v>
      </c>
      <c r="Q97" s="462">
        <f>IF($H$97="","",ROUND($H$97*mult_wood,0))</f>
        <v>4980</v>
      </c>
      <c r="R97" s="462">
        <f>IF($I$97="","",ROUND($I$97*mult_wood,0))</f>
        <v>5140</v>
      </c>
      <c r="S97" s="462">
        <f>IF($J$97="","",ROUND($J$97*mult_wood,0))</f>
        <v>5140</v>
      </c>
      <c r="T97" s="461">
        <f t="shared" si="5"/>
        <v>1</v>
      </c>
    </row>
    <row r="98" spans="1:20">
      <c r="A98" s="98" t="s">
        <v>295</v>
      </c>
      <c r="B98" s="97" t="s">
        <v>154</v>
      </c>
      <c r="C98" s="97" t="s">
        <v>175</v>
      </c>
      <c r="D98" s="100">
        <v>1895</v>
      </c>
      <c r="E98" s="100">
        <v>2020</v>
      </c>
      <c r="F98" s="100">
        <f t="shared" si="4"/>
        <v>2020</v>
      </c>
      <c r="G98" s="100">
        <v>2060</v>
      </c>
      <c r="H98" s="100">
        <v>2745</v>
      </c>
      <c r="I98" s="100">
        <v>2850</v>
      </c>
      <c r="J98" s="100">
        <v>2850</v>
      </c>
      <c r="K98" t="s">
        <v>2965</v>
      </c>
      <c r="L98" t="s">
        <v>2985</v>
      </c>
      <c r="M98" s="462">
        <f>IF($D$98="","",ROUND($D$98*mult_euro,0))</f>
        <v>1895</v>
      </c>
      <c r="N98" s="462">
        <f>IF($E$98="","",ROUND($E$98*mult_euro,0))</f>
        <v>2020</v>
      </c>
      <c r="O98" s="462">
        <f>IF($F$98="","",ROUND($F$98*mult_euro,0))</f>
        <v>2020</v>
      </c>
      <c r="P98" s="462">
        <f>IF($G$98="","",ROUND($G$98*mult_euro,0))</f>
        <v>2060</v>
      </c>
      <c r="Q98" s="462">
        <f>IF($H$98="","",ROUND($H$98*mult_wood,0))</f>
        <v>2745</v>
      </c>
      <c r="R98" s="462">
        <f>IF($I$98="","",ROUND($I$98*mult_wood,0))</f>
        <v>2850</v>
      </c>
      <c r="S98" s="462">
        <f>IF($J$98="","",ROUND($J$98*mult_wood,0))</f>
        <v>2850</v>
      </c>
      <c r="T98" s="461">
        <f t="shared" si="5"/>
        <v>1</v>
      </c>
    </row>
    <row r="99" spans="1:20">
      <c r="A99" s="98" t="s">
        <v>296</v>
      </c>
      <c r="B99" s="97" t="s">
        <v>158</v>
      </c>
      <c r="C99" s="97" t="s">
        <v>175</v>
      </c>
      <c r="D99" s="100">
        <v>1120</v>
      </c>
      <c r="E99" s="100">
        <v>1195</v>
      </c>
      <c r="F99" s="100">
        <f t="shared" ref="F99:F130" si="6">E99</f>
        <v>1195</v>
      </c>
      <c r="G99" s="100">
        <v>1220</v>
      </c>
      <c r="H99" s="100">
        <v>1685</v>
      </c>
      <c r="I99" s="100">
        <v>1685</v>
      </c>
      <c r="J99" s="100">
        <v>1685</v>
      </c>
      <c r="K99" t="s">
        <v>2965</v>
      </c>
      <c r="L99" t="s">
        <v>2985</v>
      </c>
      <c r="M99" s="462">
        <f>IF($D$99="","",ROUND($D$99*mult_euro,0))</f>
        <v>1120</v>
      </c>
      <c r="N99" s="462">
        <f>IF($E$99="","",ROUND($E$99*mult_euro,0))</f>
        <v>1195</v>
      </c>
      <c r="O99" s="462">
        <f>IF($F$99="","",ROUND($F$99*mult_euro,0))</f>
        <v>1195</v>
      </c>
      <c r="P99" s="462">
        <f>IF($G$99="","",ROUND($G$99*mult_euro,0))</f>
        <v>1220</v>
      </c>
      <c r="Q99" s="462">
        <f>IF($H$99="","",ROUND($H$99*mult_wood,0))</f>
        <v>1685</v>
      </c>
      <c r="R99" s="462">
        <f>IF($I$99="","",ROUND($I$99*mult_wood,0))</f>
        <v>1685</v>
      </c>
      <c r="S99" s="462">
        <f>IF($J$99="","",ROUND($J$99*mult_wood,0))</f>
        <v>1685</v>
      </c>
      <c r="T99" s="461">
        <f t="shared" si="5"/>
        <v>1</v>
      </c>
    </row>
    <row r="100" spans="1:20">
      <c r="A100" s="98" t="s">
        <v>297</v>
      </c>
      <c r="B100" s="97" t="s">
        <v>298</v>
      </c>
      <c r="C100" s="97" t="s">
        <v>175</v>
      </c>
      <c r="D100" s="100">
        <v>1885</v>
      </c>
      <c r="E100" s="100">
        <v>2020</v>
      </c>
      <c r="F100" s="100">
        <f t="shared" si="6"/>
        <v>2020</v>
      </c>
      <c r="G100" s="100">
        <v>2040</v>
      </c>
      <c r="H100" s="100">
        <v>2650</v>
      </c>
      <c r="I100" s="100">
        <v>2845</v>
      </c>
      <c r="J100" s="100">
        <v>2825</v>
      </c>
      <c r="L100" t="s">
        <v>2985</v>
      </c>
      <c r="M100" s="462">
        <f>IF($D$100="","",ROUND($D$100*mult_euro,0))</f>
        <v>1885</v>
      </c>
      <c r="N100" s="462">
        <f>IF($E$100="","",ROUND($E$100*mult_euro,0))</f>
        <v>2020</v>
      </c>
      <c r="O100" s="462">
        <f>IF($F$100="","",ROUND($F$100*mult_euro,0))</f>
        <v>2020</v>
      </c>
      <c r="P100" s="462">
        <f>IF($G$100="","",ROUND($G$100*mult_euro,0))</f>
        <v>2040</v>
      </c>
      <c r="Q100" s="462">
        <f>IF($H$100="","",ROUND($H$100*mult_wood,0))</f>
        <v>2650</v>
      </c>
      <c r="R100" s="462">
        <f>IF($I$100="","",ROUND($I$100*mult_wood,0))</f>
        <v>2845</v>
      </c>
      <c r="S100" s="462">
        <f>IF($J$100="","",ROUND($J$100*mult_wood,0))</f>
        <v>2825</v>
      </c>
      <c r="T100" s="461">
        <f t="shared" ref="T100:T108" si="7">mult_euro</f>
        <v>1</v>
      </c>
    </row>
    <row r="101" spans="1:20">
      <c r="A101" s="455" t="s">
        <v>299</v>
      </c>
      <c r="B101" s="456" t="s">
        <v>300</v>
      </c>
      <c r="C101" s="456" t="s">
        <v>175</v>
      </c>
      <c r="D101" s="457">
        <v>420</v>
      </c>
      <c r="E101" s="457">
        <v>445</v>
      </c>
      <c r="F101" s="457">
        <f t="shared" si="6"/>
        <v>445</v>
      </c>
      <c r="G101" s="457">
        <v>455</v>
      </c>
      <c r="H101" s="457">
        <v>615</v>
      </c>
      <c r="I101" s="457">
        <v>630</v>
      </c>
      <c r="J101" s="457">
        <v>630</v>
      </c>
      <c r="K101" s="458" t="s">
        <v>2965</v>
      </c>
      <c r="L101" s="458" t="s">
        <v>2977</v>
      </c>
      <c r="M101" s="462">
        <f>IF($D$101="","",ROUND($D$101*mult_euro,0))</f>
        <v>420</v>
      </c>
      <c r="N101" s="462">
        <f>IF($E$101="","",ROUND($E$101*mult_euro,0))</f>
        <v>445</v>
      </c>
      <c r="O101" s="462">
        <f>IF($F$101="","",ROUND($F$101*mult_euro,0))</f>
        <v>445</v>
      </c>
      <c r="P101" s="462">
        <f>IF($G$101="","",ROUND($G$101*mult_euro,0))</f>
        <v>455</v>
      </c>
      <c r="Q101" s="462">
        <f>IF($H$101="","",ROUND($H$101*mult_wood,0))</f>
        <v>615</v>
      </c>
      <c r="R101" s="462">
        <f>IF($I$101="","",ROUND($I$101*mult_wood,0))</f>
        <v>630</v>
      </c>
      <c r="S101" s="462">
        <f>IF($J$101="","",ROUND($J$101*mult_wood,0))</f>
        <v>630</v>
      </c>
      <c r="T101" s="461">
        <f t="shared" si="7"/>
        <v>1</v>
      </c>
    </row>
    <row r="102" spans="1:20">
      <c r="A102" s="98" t="s">
        <v>301</v>
      </c>
      <c r="B102" s="97" t="s">
        <v>302</v>
      </c>
      <c r="C102" s="97" t="s">
        <v>175</v>
      </c>
      <c r="D102" s="100">
        <v>1035</v>
      </c>
      <c r="E102" s="100">
        <v>1105</v>
      </c>
      <c r="F102" s="100">
        <f t="shared" si="6"/>
        <v>1105</v>
      </c>
      <c r="G102" s="100">
        <v>1130</v>
      </c>
      <c r="H102" s="100">
        <v>1525</v>
      </c>
      <c r="I102" s="100">
        <v>1560</v>
      </c>
      <c r="J102" s="100">
        <v>1560</v>
      </c>
      <c r="K102" t="s">
        <v>2965</v>
      </c>
      <c r="L102" t="s">
        <v>458</v>
      </c>
      <c r="M102" s="462">
        <f>IF($D$102="","",ROUND($D$102*mult_euro,0))</f>
        <v>1035</v>
      </c>
      <c r="N102" s="462">
        <f>IF($E$102="","",ROUND($E$102*mult_euro,0))</f>
        <v>1105</v>
      </c>
      <c r="O102" s="462">
        <f>IF($F$102="","",ROUND($F$102*mult_euro,0))</f>
        <v>1105</v>
      </c>
      <c r="P102" s="462">
        <f>IF($G$102="","",ROUND($G$102*mult_euro,0))</f>
        <v>1130</v>
      </c>
      <c r="Q102" s="462">
        <f>IF($H$102="","",ROUND($H$102*mult_wood,0))</f>
        <v>1525</v>
      </c>
      <c r="R102" s="462">
        <f>IF($I$102="","",ROUND($I$102*mult_wood,0))</f>
        <v>1560</v>
      </c>
      <c r="S102" s="462">
        <f>IF($J$102="","",ROUND($J$102*mult_wood,0))</f>
        <v>1560</v>
      </c>
      <c r="T102" s="461">
        <f t="shared" si="7"/>
        <v>1</v>
      </c>
    </row>
    <row r="103" spans="1:20">
      <c r="A103" s="455" t="s">
        <v>303</v>
      </c>
      <c r="B103" s="456" t="s">
        <v>304</v>
      </c>
      <c r="C103" s="456" t="s">
        <v>175</v>
      </c>
      <c r="D103" s="457">
        <v>635</v>
      </c>
      <c r="E103" s="457">
        <v>680</v>
      </c>
      <c r="F103" s="457">
        <f t="shared" si="6"/>
        <v>680</v>
      </c>
      <c r="G103" s="457">
        <v>695</v>
      </c>
      <c r="H103" s="457">
        <v>935</v>
      </c>
      <c r="I103" s="457">
        <v>960</v>
      </c>
      <c r="J103" s="457">
        <v>960</v>
      </c>
      <c r="K103" s="458" t="s">
        <v>2965</v>
      </c>
      <c r="L103" s="458" t="s">
        <v>2977</v>
      </c>
      <c r="M103" s="462">
        <f>IF($D$103="","",ROUND($D$103*mult_euro,0))</f>
        <v>635</v>
      </c>
      <c r="N103" s="462">
        <f>IF($E$103="","",ROUND($E$103*mult_euro,0))</f>
        <v>680</v>
      </c>
      <c r="O103" s="462">
        <f>IF($F$103="","",ROUND($F$103*mult_euro,0))</f>
        <v>680</v>
      </c>
      <c r="P103" s="462">
        <f>IF($G$103="","",ROUND($G$103*mult_euro,0))</f>
        <v>695</v>
      </c>
      <c r="Q103" s="462">
        <f>IF($H$103="","",ROUND($H$103*mult_wood,0))</f>
        <v>935</v>
      </c>
      <c r="R103" s="462">
        <f>IF($I$103="","",ROUND($I$103*mult_wood,0))</f>
        <v>960</v>
      </c>
      <c r="S103" s="462">
        <f>IF($J$103="","",ROUND($J$103*mult_wood,0))</f>
        <v>960</v>
      </c>
      <c r="T103" s="461">
        <f t="shared" si="7"/>
        <v>1</v>
      </c>
    </row>
    <row r="104" spans="1:20">
      <c r="A104" s="455" t="s">
        <v>305</v>
      </c>
      <c r="B104" s="456" t="s">
        <v>306</v>
      </c>
      <c r="C104" s="456" t="s">
        <v>175</v>
      </c>
      <c r="D104" s="457">
        <v>545</v>
      </c>
      <c r="E104" s="457">
        <v>580</v>
      </c>
      <c r="F104" s="457">
        <f t="shared" si="6"/>
        <v>580</v>
      </c>
      <c r="G104" s="457">
        <v>595</v>
      </c>
      <c r="H104" s="457">
        <v>805</v>
      </c>
      <c r="I104" s="457">
        <v>820</v>
      </c>
      <c r="J104" s="457">
        <v>820</v>
      </c>
      <c r="K104" s="458" t="s">
        <v>2965</v>
      </c>
      <c r="L104" s="458" t="s">
        <v>2977</v>
      </c>
      <c r="M104" s="462">
        <f>IF($D$104="","",ROUND($D$104*mult_euro,0))</f>
        <v>545</v>
      </c>
      <c r="N104" s="462">
        <f>IF($E$104="","",ROUND($E$104*mult_euro,0))</f>
        <v>580</v>
      </c>
      <c r="O104" s="462">
        <f>IF($F$104="","",ROUND($F$104*mult_euro,0))</f>
        <v>580</v>
      </c>
      <c r="P104" s="462">
        <f>IF($G$104="","",ROUND($G$104*mult_euro,0))</f>
        <v>595</v>
      </c>
      <c r="Q104" s="462">
        <f>IF($H$104="","",ROUND($H$104*mult_wood,0))</f>
        <v>805</v>
      </c>
      <c r="R104" s="462">
        <f>IF($I$104="","",ROUND($I$104*mult_wood,0))</f>
        <v>820</v>
      </c>
      <c r="S104" s="462">
        <f>IF($J$104="","",ROUND($J$104*mult_wood,0))</f>
        <v>820</v>
      </c>
      <c r="T104" s="461">
        <f t="shared" si="7"/>
        <v>1</v>
      </c>
    </row>
    <row r="105" spans="1:20">
      <c r="A105" s="455" t="s">
        <v>307</v>
      </c>
      <c r="B105" s="456" t="s">
        <v>308</v>
      </c>
      <c r="C105" s="456" t="s">
        <v>175</v>
      </c>
      <c r="D105" s="457">
        <v>1220</v>
      </c>
      <c r="E105" s="457">
        <v>1300</v>
      </c>
      <c r="F105" s="457">
        <f t="shared" si="6"/>
        <v>1300</v>
      </c>
      <c r="G105" s="457">
        <v>1325</v>
      </c>
      <c r="H105" s="457">
        <v>1765</v>
      </c>
      <c r="I105" s="457">
        <v>1835</v>
      </c>
      <c r="J105" s="457">
        <v>1835</v>
      </c>
      <c r="K105" s="458" t="s">
        <v>2965</v>
      </c>
      <c r="L105" s="458" t="s">
        <v>2977</v>
      </c>
      <c r="M105" s="462">
        <f>IF($D$105="","",ROUND($D$105*mult_euro,0))</f>
        <v>1220</v>
      </c>
      <c r="N105" s="462">
        <f>IF($E$105="","",ROUND($E$105*mult_euro,0))</f>
        <v>1300</v>
      </c>
      <c r="O105" s="462">
        <f>IF($F$105="","",ROUND($F$105*mult_euro,0))</f>
        <v>1300</v>
      </c>
      <c r="P105" s="462">
        <f>IF($G$105="","",ROUND($G$105*mult_euro,0))</f>
        <v>1325</v>
      </c>
      <c r="Q105" s="462">
        <f>IF($H$105="","",ROUND($H$105*mult_wood,0))</f>
        <v>1765</v>
      </c>
      <c r="R105" s="462">
        <f>IF($I$105="","",ROUND($I$105*mult_wood,0))</f>
        <v>1835</v>
      </c>
      <c r="S105" s="462">
        <f>IF($J$105="","",ROUND($J$105*mult_wood,0))</f>
        <v>1835</v>
      </c>
      <c r="T105" s="461">
        <f t="shared" si="7"/>
        <v>1</v>
      </c>
    </row>
    <row r="106" spans="1:20">
      <c r="A106" s="98" t="s">
        <v>309</v>
      </c>
      <c r="B106" s="97" t="s">
        <v>310</v>
      </c>
      <c r="C106" s="97" t="s">
        <v>175</v>
      </c>
      <c r="D106" s="100">
        <v>1000</v>
      </c>
      <c r="E106" s="100">
        <v>1065</v>
      </c>
      <c r="F106" s="100">
        <f t="shared" si="6"/>
        <v>1065</v>
      </c>
      <c r="G106" s="100">
        <v>1090</v>
      </c>
      <c r="H106" s="100">
        <v>1475</v>
      </c>
      <c r="I106" s="100">
        <v>1505</v>
      </c>
      <c r="J106" s="100">
        <v>1505</v>
      </c>
      <c r="K106" t="s">
        <v>2965</v>
      </c>
      <c r="L106" t="s">
        <v>458</v>
      </c>
      <c r="M106" s="462">
        <f>IF($D$106="","",ROUND($D$106*mult_euro,0))</f>
        <v>1000</v>
      </c>
      <c r="N106" s="462">
        <f>IF($E$106="","",ROUND($E$106*mult_euro,0))</f>
        <v>1065</v>
      </c>
      <c r="O106" s="462">
        <f>IF($F$106="","",ROUND($F$106*mult_euro,0))</f>
        <v>1065</v>
      </c>
      <c r="P106" s="462">
        <f>IF($G$106="","",ROUND($G$106*mult_euro,0))</f>
        <v>1090</v>
      </c>
      <c r="Q106" s="462">
        <f>IF($H$106="","",ROUND($H$106*mult_wood,0))</f>
        <v>1475</v>
      </c>
      <c r="R106" s="462">
        <f>IF($I$106="","",ROUND($I$106*mult_wood,0))</f>
        <v>1505</v>
      </c>
      <c r="S106" s="462">
        <f>IF($J$106="","",ROUND($J$106*mult_wood,0))</f>
        <v>1505</v>
      </c>
      <c r="T106" s="461">
        <f t="shared" si="7"/>
        <v>1</v>
      </c>
    </row>
    <row r="107" spans="1:20">
      <c r="A107" s="98" t="s">
        <v>311</v>
      </c>
      <c r="B107" s="97" t="s">
        <v>312</v>
      </c>
      <c r="C107" s="97" t="s">
        <v>175</v>
      </c>
      <c r="D107" s="100">
        <v>245</v>
      </c>
      <c r="E107" s="100">
        <v>260</v>
      </c>
      <c r="F107" s="100">
        <f t="shared" si="6"/>
        <v>260</v>
      </c>
      <c r="G107" s="100">
        <v>265</v>
      </c>
      <c r="H107" s="100">
        <v>360</v>
      </c>
      <c r="I107" s="100">
        <v>370</v>
      </c>
      <c r="J107" s="100">
        <v>370</v>
      </c>
      <c r="K107" t="s">
        <v>2965</v>
      </c>
      <c r="L107" t="s">
        <v>2985</v>
      </c>
      <c r="M107" s="462">
        <f>IF($D$107="","",ROUND($D$107*mult_euro,0))</f>
        <v>245</v>
      </c>
      <c r="N107" s="462">
        <f>IF($E$107="","",ROUND($E$107*mult_euro,0))</f>
        <v>260</v>
      </c>
      <c r="O107" s="462">
        <f>IF($F$107="","",ROUND($F$107*mult_euro,0))</f>
        <v>260</v>
      </c>
      <c r="P107" s="462">
        <f>IF($G$107="","",ROUND($G$107*mult_euro,0))</f>
        <v>265</v>
      </c>
      <c r="Q107" s="462">
        <f>IF($H$107="","",ROUND($H$107*mult_wood,0))</f>
        <v>360</v>
      </c>
      <c r="R107" s="462">
        <f>IF($I$107="","",ROUND($I$107*mult_wood,0))</f>
        <v>370</v>
      </c>
      <c r="S107" s="462">
        <f>IF($J$107="","",ROUND($J$107*mult_wood,0))</f>
        <v>370</v>
      </c>
      <c r="T107" s="461">
        <f t="shared" si="7"/>
        <v>1</v>
      </c>
    </row>
    <row r="108" spans="1:20">
      <c r="A108" s="455" t="s">
        <v>313</v>
      </c>
      <c r="B108" s="456" t="s">
        <v>314</v>
      </c>
      <c r="C108" s="456" t="s">
        <v>175</v>
      </c>
      <c r="D108" s="457">
        <v>575</v>
      </c>
      <c r="E108" s="457">
        <v>610</v>
      </c>
      <c r="F108" s="457">
        <f t="shared" si="6"/>
        <v>610</v>
      </c>
      <c r="G108" s="457">
        <v>625</v>
      </c>
      <c r="H108" s="457">
        <v>855</v>
      </c>
      <c r="I108" s="457">
        <v>865</v>
      </c>
      <c r="J108" s="457">
        <v>865</v>
      </c>
      <c r="K108" s="458" t="s">
        <v>2965</v>
      </c>
      <c r="L108" s="458" t="s">
        <v>2977</v>
      </c>
      <c r="M108" s="462">
        <f>IF($D$108="","",ROUND($D$108*mult_euro,0))</f>
        <v>575</v>
      </c>
      <c r="N108" s="462">
        <f>IF($E$108="","",ROUND($E$108*mult_euro,0))</f>
        <v>610</v>
      </c>
      <c r="O108" s="462">
        <f>IF($F$108="","",ROUND($F$108*mult_euro,0))</f>
        <v>610</v>
      </c>
      <c r="P108" s="462">
        <f>IF($G$108="","",ROUND($G$108*mult_euro,0))</f>
        <v>625</v>
      </c>
      <c r="Q108" s="462">
        <f>IF($H$108="","",ROUND($H$108*mult_wood,0))</f>
        <v>855</v>
      </c>
      <c r="R108" s="462">
        <f>IF($I$108="","",ROUND($I$108*mult_wood,0))</f>
        <v>865</v>
      </c>
      <c r="S108" s="462">
        <f>IF($J$108="","",ROUND($J$108*mult_wood,0))</f>
        <v>865</v>
      </c>
      <c r="T108" s="461">
        <f t="shared" si="7"/>
        <v>1</v>
      </c>
    </row>
    <row r="109" spans="1:20">
      <c r="A109" s="262" t="s">
        <v>2788</v>
      </c>
      <c r="D109" s="389"/>
      <c r="E109" s="389"/>
      <c r="F109" s="100">
        <f t="shared" si="6"/>
        <v>0</v>
      </c>
      <c r="G109" s="389"/>
      <c r="H109" s="389"/>
      <c r="I109" s="389"/>
      <c r="J109" s="389"/>
      <c r="M109" s="462"/>
      <c r="N109" s="462"/>
      <c r="O109" s="462"/>
      <c r="P109" s="462"/>
      <c r="Q109" s="462"/>
      <c r="R109" s="462"/>
      <c r="S109" s="462"/>
      <c r="T109" s="411"/>
    </row>
    <row r="110" spans="1:20">
      <c r="A110" s="459" t="s">
        <v>315</v>
      </c>
      <c r="B110" s="459" t="s">
        <v>316</v>
      </c>
      <c r="C110" s="459" t="s">
        <v>317</v>
      </c>
      <c r="D110" s="457">
        <v>222</v>
      </c>
      <c r="E110" s="457">
        <v>340</v>
      </c>
      <c r="F110" s="457">
        <f t="shared" si="6"/>
        <v>340</v>
      </c>
      <c r="G110" s="457"/>
      <c r="H110" s="457">
        <v>355</v>
      </c>
      <c r="I110" s="457"/>
      <c r="J110" s="457"/>
      <c r="K110" s="458"/>
      <c r="L110" s="458" t="s">
        <v>2977</v>
      </c>
      <c r="M110" s="462">
        <f>IF($D$110="","",ROUND($D$110*mult_mtong,0))</f>
        <v>222</v>
      </c>
      <c r="N110" s="462">
        <f>IF($E$110="","",ROUND($E$110*mult_mtong,0))</f>
        <v>340</v>
      </c>
      <c r="O110" s="462">
        <f>IF($F$110="","",ROUND($F$110*mult_mtong,0))</f>
        <v>340</v>
      </c>
      <c r="P110" s="462" t="str">
        <f>IF($G$110="","",ROUND($G$110*mult_mtong,0))</f>
        <v/>
      </c>
      <c r="Q110" s="462">
        <f>IF($H$110="","",ROUND($H$110*mult_wood,0))</f>
        <v>355</v>
      </c>
      <c r="R110" s="462" t="str">
        <f>IF($I$110="","",ROUND($I$110*mult_wood,0))</f>
        <v/>
      </c>
      <c r="S110" s="462" t="str">
        <f>IF($J$110="","",ROUND($J$110*mult_wood,0))</f>
        <v/>
      </c>
      <c r="T110" s="461">
        <f t="shared" ref="T110:T143" si="8">mult_mtong</f>
        <v>1</v>
      </c>
    </row>
    <row r="111" spans="1:20">
      <c r="A111" s="459" t="s">
        <v>318</v>
      </c>
      <c r="B111" s="459" t="s">
        <v>316</v>
      </c>
      <c r="C111" s="459" t="s">
        <v>317</v>
      </c>
      <c r="D111" s="457">
        <v>234</v>
      </c>
      <c r="E111" s="457">
        <v>400</v>
      </c>
      <c r="F111" s="457">
        <f t="shared" si="6"/>
        <v>400</v>
      </c>
      <c r="G111" s="457"/>
      <c r="H111" s="457">
        <v>418</v>
      </c>
      <c r="I111" s="457"/>
      <c r="J111" s="457"/>
      <c r="K111" s="458"/>
      <c r="L111" s="458" t="s">
        <v>2977</v>
      </c>
      <c r="M111" s="462">
        <f>IF($D$111="","",ROUND($D$111*mult_mtong,0))</f>
        <v>234</v>
      </c>
      <c r="N111" s="462">
        <f>IF($E$111="","",ROUND($E$111*mult_mtong,0))</f>
        <v>400</v>
      </c>
      <c r="O111" s="462">
        <f>IF($F$111="","",ROUND($F$111*mult_mtong,0))</f>
        <v>400</v>
      </c>
      <c r="P111" s="462" t="str">
        <f>IF($G$111="","",ROUND($G$111*mult_mtong,0))</f>
        <v/>
      </c>
      <c r="Q111" s="462">
        <f>IF($H$111="","",ROUND($H$111*mult_wood,0))</f>
        <v>418</v>
      </c>
      <c r="R111" s="462" t="str">
        <f>IF($I$111="","",ROUND($I$111*mult_wood,0))</f>
        <v/>
      </c>
      <c r="S111" s="462" t="str">
        <f>IF($J$111="","",ROUND($J$111*mult_wood,0))</f>
        <v/>
      </c>
      <c r="T111" s="461">
        <f t="shared" si="8"/>
        <v>1</v>
      </c>
    </row>
    <row r="112" spans="1:20">
      <c r="A112" s="459" t="s">
        <v>319</v>
      </c>
      <c r="B112" s="459" t="s">
        <v>320</v>
      </c>
      <c r="C112" s="459" t="s">
        <v>317</v>
      </c>
      <c r="D112" s="457">
        <v>295</v>
      </c>
      <c r="E112" s="457">
        <v>452</v>
      </c>
      <c r="F112" s="457">
        <f t="shared" si="6"/>
        <v>452</v>
      </c>
      <c r="G112" s="457"/>
      <c r="H112" s="457">
        <v>472</v>
      </c>
      <c r="I112" s="457"/>
      <c r="J112" s="457"/>
      <c r="K112" s="458"/>
      <c r="L112" s="458" t="s">
        <v>2977</v>
      </c>
      <c r="M112" s="462">
        <f>IF($D$112="","",ROUND($D$112*mult_mtong,0))</f>
        <v>295</v>
      </c>
      <c r="N112" s="462">
        <f>IF($E$112="","",ROUND($E$112*mult_mtong,0))</f>
        <v>452</v>
      </c>
      <c r="O112" s="462">
        <f>IF($F$112="","",ROUND($F$112*mult_mtong,0))</f>
        <v>452</v>
      </c>
      <c r="P112" s="462" t="str">
        <f>IF($G$112="","",ROUND($G$112*mult_mtong,0))</f>
        <v/>
      </c>
      <c r="Q112" s="462">
        <f>IF($H$112="","",ROUND($H$112*mult_wood,0))</f>
        <v>472</v>
      </c>
      <c r="R112" s="462" t="str">
        <f>IF($I$112="","",ROUND($I$112*mult_wood,0))</f>
        <v/>
      </c>
      <c r="S112" s="462" t="str">
        <f>IF($J$112="","",ROUND($J$112*mult_wood,0))</f>
        <v/>
      </c>
      <c r="T112" s="461">
        <f t="shared" si="8"/>
        <v>1</v>
      </c>
    </row>
    <row r="113" spans="1:20">
      <c r="A113" s="459" t="s">
        <v>321</v>
      </c>
      <c r="B113" s="459" t="s">
        <v>320</v>
      </c>
      <c r="C113" s="459" t="s">
        <v>317</v>
      </c>
      <c r="D113" s="457">
        <v>325</v>
      </c>
      <c r="E113" s="457">
        <v>498</v>
      </c>
      <c r="F113" s="457">
        <f t="shared" si="6"/>
        <v>498</v>
      </c>
      <c r="G113" s="457"/>
      <c r="H113" s="457">
        <v>520</v>
      </c>
      <c r="I113" s="457"/>
      <c r="J113" s="457"/>
      <c r="K113" s="458"/>
      <c r="L113" s="458" t="s">
        <v>2977</v>
      </c>
      <c r="M113" s="462">
        <f>IF($D$113="","",ROUND($D$113*mult_mtong,0))</f>
        <v>325</v>
      </c>
      <c r="N113" s="462">
        <f>IF($E$113="","",ROUND($E$113*mult_mtong,0))</f>
        <v>498</v>
      </c>
      <c r="O113" s="462">
        <f>IF($F$113="","",ROUND($F$113*mult_mtong,0))</f>
        <v>498</v>
      </c>
      <c r="P113" s="462" t="str">
        <f>IF($G$113="","",ROUND($G$113*mult_mtong,0))</f>
        <v/>
      </c>
      <c r="Q113" s="462">
        <f>IF($H$113="","",ROUND($H$113*mult_wood,0))</f>
        <v>520</v>
      </c>
      <c r="R113" s="462" t="str">
        <f>IF($I$113="","",ROUND($I$113*mult_wood,0))</f>
        <v/>
      </c>
      <c r="S113" s="462" t="str">
        <f>IF($J$113="","",ROUND($J$113*mult_wood,0))</f>
        <v/>
      </c>
      <c r="T113" s="461">
        <f t="shared" si="8"/>
        <v>1</v>
      </c>
    </row>
    <row r="114" spans="1:20">
      <c r="A114" s="459" t="s">
        <v>322</v>
      </c>
      <c r="B114" s="459" t="s">
        <v>320</v>
      </c>
      <c r="C114" s="459" t="s">
        <v>317</v>
      </c>
      <c r="D114" s="457">
        <v>353</v>
      </c>
      <c r="E114" s="457">
        <v>541</v>
      </c>
      <c r="F114" s="457">
        <f t="shared" si="6"/>
        <v>541</v>
      </c>
      <c r="G114" s="457"/>
      <c r="H114" s="457">
        <v>565</v>
      </c>
      <c r="I114" s="457"/>
      <c r="J114" s="457"/>
      <c r="K114" s="458"/>
      <c r="L114" s="458" t="s">
        <v>2977</v>
      </c>
      <c r="M114" s="462">
        <f>IF($D$114="","",ROUND($D$114*mult_mtong,0))</f>
        <v>353</v>
      </c>
      <c r="N114" s="462">
        <f>IF($E$114="","",ROUND($E$114*mult_mtong,0))</f>
        <v>541</v>
      </c>
      <c r="O114" s="462">
        <f>IF($F$114="","",ROUND($F$114*mult_mtong,0))</f>
        <v>541</v>
      </c>
      <c r="P114" s="462" t="str">
        <f>IF($G$114="","",ROUND($G$114*mult_mtong,0))</f>
        <v/>
      </c>
      <c r="Q114" s="462">
        <f>IF($H$114="","",ROUND($H$114*mult_wood,0))</f>
        <v>565</v>
      </c>
      <c r="R114" s="462" t="str">
        <f>IF($I$114="","",ROUND($I$114*mult_wood,0))</f>
        <v/>
      </c>
      <c r="S114" s="462" t="str">
        <f>IF($J$114="","",ROUND($J$114*mult_wood,0))</f>
        <v/>
      </c>
      <c r="T114" s="461">
        <f t="shared" si="8"/>
        <v>1</v>
      </c>
    </row>
    <row r="115" spans="1:20">
      <c r="A115" s="459" t="s">
        <v>323</v>
      </c>
      <c r="B115" s="459" t="s">
        <v>324</v>
      </c>
      <c r="C115" s="459" t="s">
        <v>317</v>
      </c>
      <c r="D115" s="457">
        <v>410</v>
      </c>
      <c r="E115" s="457">
        <v>628</v>
      </c>
      <c r="F115" s="457">
        <f t="shared" si="6"/>
        <v>628</v>
      </c>
      <c r="G115" s="457"/>
      <c r="H115" s="457">
        <v>655</v>
      </c>
      <c r="I115" s="457"/>
      <c r="J115" s="457"/>
      <c r="K115" s="458"/>
      <c r="L115" s="458" t="s">
        <v>2977</v>
      </c>
      <c r="M115" s="462">
        <f>IF($D$115="","",ROUND($D$115*mult_mtong,0))</f>
        <v>410</v>
      </c>
      <c r="N115" s="462">
        <f>IF($E$115="","",ROUND($E$115*mult_mtong,0))</f>
        <v>628</v>
      </c>
      <c r="O115" s="462">
        <f>IF($F$115="","",ROUND($F$115*mult_mtong,0))</f>
        <v>628</v>
      </c>
      <c r="P115" s="462" t="str">
        <f>IF($G$115="","",ROUND($G$115*mult_mtong,0))</f>
        <v/>
      </c>
      <c r="Q115" s="462">
        <f>IF($H$115="","",ROUND($H$115*mult_wood,0))</f>
        <v>655</v>
      </c>
      <c r="R115" s="462" t="str">
        <f>IF($I$115="","",ROUND($I$115*mult_wood,0))</f>
        <v/>
      </c>
      <c r="S115" s="462" t="str">
        <f>IF($J$115="","",ROUND($J$115*mult_wood,0))</f>
        <v/>
      </c>
      <c r="T115" s="461">
        <f t="shared" si="8"/>
        <v>1</v>
      </c>
    </row>
    <row r="116" spans="1:20">
      <c r="A116" s="459" t="s">
        <v>325</v>
      </c>
      <c r="B116" s="459" t="s">
        <v>326</v>
      </c>
      <c r="C116" s="459" t="s">
        <v>317</v>
      </c>
      <c r="D116" s="457">
        <v>494</v>
      </c>
      <c r="E116" s="457">
        <v>757</v>
      </c>
      <c r="F116" s="457">
        <f t="shared" si="6"/>
        <v>757</v>
      </c>
      <c r="G116" s="457"/>
      <c r="H116" s="457">
        <v>790</v>
      </c>
      <c r="I116" s="457"/>
      <c r="J116" s="457"/>
      <c r="K116" s="458"/>
      <c r="L116" s="458" t="s">
        <v>2977</v>
      </c>
      <c r="M116" s="462">
        <f>IF($D$116="","",ROUND($D$116*mult_mtong,0))</f>
        <v>494</v>
      </c>
      <c r="N116" s="462">
        <f>IF($E$116="","",ROUND($E$116*mult_mtong,0))</f>
        <v>757</v>
      </c>
      <c r="O116" s="462">
        <f>IF($F$116="","",ROUND($F$116*mult_mtong,0))</f>
        <v>757</v>
      </c>
      <c r="P116" s="462" t="str">
        <f>IF($G$116="","",ROUND($G$116*mult_mtong,0))</f>
        <v/>
      </c>
      <c r="Q116" s="462">
        <f>IF($H$116="","",ROUND($H$116*mult_wood,0))</f>
        <v>790</v>
      </c>
      <c r="R116" s="462" t="str">
        <f>IF($I$116="","",ROUND($I$116*mult_wood,0))</f>
        <v/>
      </c>
      <c r="S116" s="462" t="str">
        <f>IF($J$116="","",ROUND($J$116*mult_wood,0))</f>
        <v/>
      </c>
      <c r="T116" s="461">
        <f t="shared" si="8"/>
        <v>1</v>
      </c>
    </row>
    <row r="117" spans="1:20">
      <c r="A117" s="459" t="s">
        <v>327</v>
      </c>
      <c r="B117" s="459" t="s">
        <v>326</v>
      </c>
      <c r="C117" s="459" t="s">
        <v>317</v>
      </c>
      <c r="D117" s="457">
        <v>671</v>
      </c>
      <c r="E117" s="457">
        <v>1028</v>
      </c>
      <c r="F117" s="457">
        <f t="shared" si="6"/>
        <v>1028</v>
      </c>
      <c r="G117" s="457"/>
      <c r="H117" s="457">
        <v>1073</v>
      </c>
      <c r="I117" s="457"/>
      <c r="J117" s="457"/>
      <c r="K117" s="458"/>
      <c r="L117" s="458" t="s">
        <v>2977</v>
      </c>
      <c r="M117" s="462">
        <f>IF($D$117="","",ROUND($D$117*mult_mtong,0))</f>
        <v>671</v>
      </c>
      <c r="N117" s="462">
        <f>IF($E$117="","",ROUND($E$117*mult_mtong,0))</f>
        <v>1028</v>
      </c>
      <c r="O117" s="462">
        <f>IF($F$117="","",ROUND($F$117*mult_mtong,0))</f>
        <v>1028</v>
      </c>
      <c r="P117" s="462" t="str">
        <f>IF($G$117="","",ROUND($G$117*mult_mtong,0))</f>
        <v/>
      </c>
      <c r="Q117" s="462">
        <f>IF($H$117="","",ROUND($H$117*mult_wood,0))</f>
        <v>1073</v>
      </c>
      <c r="R117" s="462" t="str">
        <f>IF($I$117="","",ROUND($I$117*mult_wood,0))</f>
        <v/>
      </c>
      <c r="S117" s="462" t="str">
        <f>IF($J$117="","",ROUND($J$117*mult_wood,0))</f>
        <v/>
      </c>
      <c r="T117" s="461">
        <f t="shared" si="8"/>
        <v>1</v>
      </c>
    </row>
    <row r="118" spans="1:20">
      <c r="A118" s="459" t="s">
        <v>328</v>
      </c>
      <c r="B118" s="459" t="s">
        <v>329</v>
      </c>
      <c r="C118" s="459" t="s">
        <v>317</v>
      </c>
      <c r="D118" s="457">
        <v>427</v>
      </c>
      <c r="E118" s="457">
        <v>654</v>
      </c>
      <c r="F118" s="457">
        <f t="shared" si="6"/>
        <v>654</v>
      </c>
      <c r="G118" s="457"/>
      <c r="H118" s="457">
        <v>682</v>
      </c>
      <c r="I118" s="457"/>
      <c r="J118" s="457"/>
      <c r="K118" s="458"/>
      <c r="L118" s="458" t="s">
        <v>2977</v>
      </c>
      <c r="M118" s="462">
        <f>IF($D$118="","",ROUND($D$118*mult_mtong,0))</f>
        <v>427</v>
      </c>
      <c r="N118" s="462">
        <f>IF($E$118="","",ROUND($E$118*mult_mtong,0))</f>
        <v>654</v>
      </c>
      <c r="O118" s="462">
        <f>IF($F$118="","",ROUND($F$118*mult_mtong,0))</f>
        <v>654</v>
      </c>
      <c r="P118" s="462" t="str">
        <f>IF($G$118="","",ROUND($G$118*mult_mtong,0))</f>
        <v/>
      </c>
      <c r="Q118" s="462">
        <f>IF($H$118="","",ROUND($H$118*mult_wood,0))</f>
        <v>682</v>
      </c>
      <c r="R118" s="462" t="str">
        <f>IF($I$118="","",ROUND($I$118*mult_wood,0))</f>
        <v/>
      </c>
      <c r="S118" s="462" t="str">
        <f>IF($J$118="","",ROUND($J$118*mult_wood,0))</f>
        <v/>
      </c>
      <c r="T118" s="461">
        <f t="shared" si="8"/>
        <v>1</v>
      </c>
    </row>
    <row r="119" spans="1:20">
      <c r="A119" s="459" t="s">
        <v>330</v>
      </c>
      <c r="B119" s="459" t="s">
        <v>329</v>
      </c>
      <c r="C119" s="459" t="s">
        <v>317</v>
      </c>
      <c r="D119" s="457">
        <v>479</v>
      </c>
      <c r="E119" s="457">
        <v>734</v>
      </c>
      <c r="F119" s="457">
        <f t="shared" si="6"/>
        <v>734</v>
      </c>
      <c r="G119" s="457"/>
      <c r="H119" s="457">
        <v>766</v>
      </c>
      <c r="I119" s="457"/>
      <c r="J119" s="457"/>
      <c r="K119" s="458"/>
      <c r="L119" s="458" t="s">
        <v>2977</v>
      </c>
      <c r="M119" s="462">
        <f>IF($D$119="","",ROUND($D$119*mult_mtong,0))</f>
        <v>479</v>
      </c>
      <c r="N119" s="462">
        <f>IF($E$119="","",ROUND($E$119*mult_mtong,0))</f>
        <v>734</v>
      </c>
      <c r="O119" s="462">
        <f>IF($F$119="","",ROUND($F$119*mult_mtong,0))</f>
        <v>734</v>
      </c>
      <c r="P119" s="462" t="str">
        <f>IF($G$119="","",ROUND($G$119*mult_mtong,0))</f>
        <v/>
      </c>
      <c r="Q119" s="462">
        <f>IF($H$119="","",ROUND($H$119*mult_wood,0))</f>
        <v>766</v>
      </c>
      <c r="R119" s="462" t="str">
        <f>IF($I$119="","",ROUND($I$119*mult_wood,0))</f>
        <v/>
      </c>
      <c r="S119" s="462" t="str">
        <f>IF($J$119="","",ROUND($J$119*mult_wood,0))</f>
        <v/>
      </c>
      <c r="T119" s="461">
        <f t="shared" si="8"/>
        <v>1</v>
      </c>
    </row>
    <row r="120" spans="1:20">
      <c r="A120" s="459" t="s">
        <v>331</v>
      </c>
      <c r="B120" s="459" t="s">
        <v>329</v>
      </c>
      <c r="C120" s="459" t="s">
        <v>317</v>
      </c>
      <c r="D120" s="457">
        <v>583</v>
      </c>
      <c r="E120" s="457">
        <v>893</v>
      </c>
      <c r="F120" s="457">
        <f t="shared" si="6"/>
        <v>893</v>
      </c>
      <c r="G120" s="457"/>
      <c r="H120" s="457">
        <v>932</v>
      </c>
      <c r="I120" s="457"/>
      <c r="J120" s="457"/>
      <c r="K120" s="458"/>
      <c r="L120" s="458" t="s">
        <v>2977</v>
      </c>
      <c r="M120" s="462">
        <f>IF($D$120="","",ROUND($D$120*mult_mtong,0))</f>
        <v>583</v>
      </c>
      <c r="N120" s="462">
        <f>IF($E$120="","",ROUND($E$120*mult_mtong,0))</f>
        <v>893</v>
      </c>
      <c r="O120" s="462">
        <f>IF($F$120="","",ROUND($F$120*mult_mtong,0))</f>
        <v>893</v>
      </c>
      <c r="P120" s="462" t="str">
        <f>IF($G$120="","",ROUND($G$120*mult_mtong,0))</f>
        <v/>
      </c>
      <c r="Q120" s="462">
        <f>IF($H$120="","",ROUND($H$120*mult_wood,0))</f>
        <v>932</v>
      </c>
      <c r="R120" s="462" t="str">
        <f>IF($I$120="","",ROUND($I$120*mult_wood,0))</f>
        <v/>
      </c>
      <c r="S120" s="462" t="str">
        <f>IF($J$120="","",ROUND($J$120*mult_wood,0))</f>
        <v/>
      </c>
      <c r="T120" s="461">
        <f t="shared" si="8"/>
        <v>1</v>
      </c>
    </row>
    <row r="121" spans="1:20">
      <c r="A121" s="459" t="s">
        <v>332</v>
      </c>
      <c r="B121" s="459" t="s">
        <v>329</v>
      </c>
      <c r="C121" s="459" t="s">
        <v>317</v>
      </c>
      <c r="D121" s="457">
        <v>713</v>
      </c>
      <c r="E121" s="457">
        <v>1092</v>
      </c>
      <c r="F121" s="457">
        <f t="shared" si="6"/>
        <v>1092</v>
      </c>
      <c r="G121" s="457"/>
      <c r="H121" s="457">
        <v>1139</v>
      </c>
      <c r="I121" s="457"/>
      <c r="J121" s="457"/>
      <c r="K121" s="458"/>
      <c r="L121" s="458" t="s">
        <v>2977</v>
      </c>
      <c r="M121" s="462">
        <f>IF($D$121="","",ROUND($D$121*mult_mtong,0))</f>
        <v>713</v>
      </c>
      <c r="N121" s="462">
        <f>IF($E$121="","",ROUND($E$121*mult_mtong,0))</f>
        <v>1092</v>
      </c>
      <c r="O121" s="462">
        <f>IF($F$121="","",ROUND($F$121*mult_mtong,0))</f>
        <v>1092</v>
      </c>
      <c r="P121" s="462" t="str">
        <f>IF($G$121="","",ROUND($G$121*mult_mtong,0))</f>
        <v/>
      </c>
      <c r="Q121" s="462">
        <f>IF($H$121="","",ROUND($H$121*mult_wood,0))</f>
        <v>1139</v>
      </c>
      <c r="R121" s="462" t="str">
        <f>IF($I$121="","",ROUND($I$121*mult_wood,0))</f>
        <v/>
      </c>
      <c r="S121" s="462" t="str">
        <f>IF($J$121="","",ROUND($J$121*mult_wood,0))</f>
        <v/>
      </c>
      <c r="T121" s="461">
        <f t="shared" si="8"/>
        <v>1</v>
      </c>
    </row>
    <row r="122" spans="1:20">
      <c r="A122" s="459" t="s">
        <v>333</v>
      </c>
      <c r="B122" s="459" t="s">
        <v>329</v>
      </c>
      <c r="C122" s="459" t="s">
        <v>317</v>
      </c>
      <c r="D122" s="457">
        <v>737</v>
      </c>
      <c r="E122" s="457">
        <v>1129</v>
      </c>
      <c r="F122" s="457">
        <f t="shared" si="6"/>
        <v>1129</v>
      </c>
      <c r="G122" s="457"/>
      <c r="H122" s="457">
        <v>1178</v>
      </c>
      <c r="I122" s="457"/>
      <c r="J122" s="457"/>
      <c r="K122" s="458"/>
      <c r="L122" s="458" t="s">
        <v>2977</v>
      </c>
      <c r="M122" s="462">
        <f>IF($D$122="","",ROUND($D$122*mult_mtong,0))</f>
        <v>737</v>
      </c>
      <c r="N122" s="462">
        <f>IF($E$122="","",ROUND($E$122*mult_mtong,0))</f>
        <v>1129</v>
      </c>
      <c r="O122" s="462">
        <f>IF($F$122="","",ROUND($F$122*mult_mtong,0))</f>
        <v>1129</v>
      </c>
      <c r="P122" s="462" t="str">
        <f>IF($G$122="","",ROUND($G$122*mult_mtong,0))</f>
        <v/>
      </c>
      <c r="Q122" s="462">
        <f>IF($H$122="","",ROUND($H$122*mult_wood,0))</f>
        <v>1178</v>
      </c>
      <c r="R122" s="462" t="str">
        <f>IF($I$122="","",ROUND($I$122*mult_wood,0))</f>
        <v/>
      </c>
      <c r="S122" s="462" t="str">
        <f>IF($J$122="","",ROUND($J$122*mult_wood,0))</f>
        <v/>
      </c>
      <c r="T122" s="461">
        <f t="shared" si="8"/>
        <v>1</v>
      </c>
    </row>
    <row r="123" spans="1:20">
      <c r="A123" s="459" t="s">
        <v>334</v>
      </c>
      <c r="B123" s="459" t="s">
        <v>335</v>
      </c>
      <c r="C123" s="459" t="s">
        <v>317</v>
      </c>
      <c r="D123" s="457">
        <v>728</v>
      </c>
      <c r="E123" s="457">
        <v>1115</v>
      </c>
      <c r="F123" s="457">
        <f t="shared" si="6"/>
        <v>1115</v>
      </c>
      <c r="G123" s="457"/>
      <c r="H123" s="457">
        <v>1163</v>
      </c>
      <c r="I123" s="457"/>
      <c r="J123" s="457"/>
      <c r="K123" s="458"/>
      <c r="L123" s="458" t="s">
        <v>2977</v>
      </c>
      <c r="M123" s="462">
        <f>IF($D$123="","",ROUND($D$123*mult_mtong,0))</f>
        <v>728</v>
      </c>
      <c r="N123" s="462">
        <f>IF($E$123="","",ROUND($E$123*mult_mtong,0))</f>
        <v>1115</v>
      </c>
      <c r="O123" s="462">
        <f>IF($F$123="","",ROUND($F$123*mult_mtong,0))</f>
        <v>1115</v>
      </c>
      <c r="P123" s="462" t="str">
        <f>IF($G$123="","",ROUND($G$123*mult_mtong,0))</f>
        <v/>
      </c>
      <c r="Q123" s="462">
        <f>IF($H$123="","",ROUND($H$123*mult_wood,0))</f>
        <v>1163</v>
      </c>
      <c r="R123" s="462" t="str">
        <f>IF($I$123="","",ROUND($I$123*mult_wood,0))</f>
        <v/>
      </c>
      <c r="S123" s="462" t="str">
        <f>IF($J$123="","",ROUND($J$123*mult_wood,0))</f>
        <v/>
      </c>
      <c r="T123" s="461">
        <f t="shared" si="8"/>
        <v>1</v>
      </c>
    </row>
    <row r="124" spans="1:20">
      <c r="A124" s="459" t="s">
        <v>336</v>
      </c>
      <c r="B124" s="459" t="s">
        <v>335</v>
      </c>
      <c r="C124" s="459" t="s">
        <v>317</v>
      </c>
      <c r="D124" s="457">
        <v>904</v>
      </c>
      <c r="E124" s="457">
        <v>1385</v>
      </c>
      <c r="F124" s="457">
        <f t="shared" si="6"/>
        <v>1385</v>
      </c>
      <c r="G124" s="457"/>
      <c r="H124" s="457">
        <v>1445</v>
      </c>
      <c r="I124" s="457"/>
      <c r="J124" s="457"/>
      <c r="K124" s="458"/>
      <c r="L124" s="458" t="s">
        <v>2977</v>
      </c>
      <c r="M124" s="462">
        <f>IF($D$124="","",ROUND($D$124*mult_mtong,0))</f>
        <v>904</v>
      </c>
      <c r="N124" s="462">
        <f>IF($E$124="","",ROUND($E$124*mult_mtong,0))</f>
        <v>1385</v>
      </c>
      <c r="O124" s="462">
        <f>IF($F$124="","",ROUND($F$124*mult_mtong,0))</f>
        <v>1385</v>
      </c>
      <c r="P124" s="462" t="str">
        <f>IF($G$124="","",ROUND($G$124*mult_mtong,0))</f>
        <v/>
      </c>
      <c r="Q124" s="462">
        <f>IF($H$124="","",ROUND($H$124*mult_wood,0))</f>
        <v>1445</v>
      </c>
      <c r="R124" s="462" t="str">
        <f>IF($I$124="","",ROUND($I$124*mult_wood,0))</f>
        <v/>
      </c>
      <c r="S124" s="462" t="str">
        <f>IF($J$124="","",ROUND($J$124*mult_wood,0))</f>
        <v/>
      </c>
      <c r="T124" s="461">
        <f t="shared" si="8"/>
        <v>1</v>
      </c>
    </row>
    <row r="125" spans="1:20">
      <c r="A125" s="459" t="s">
        <v>337</v>
      </c>
      <c r="B125" s="459" t="s">
        <v>338</v>
      </c>
      <c r="C125" s="459" t="s">
        <v>317</v>
      </c>
      <c r="D125" s="457">
        <v>218</v>
      </c>
      <c r="E125" s="457">
        <v>334</v>
      </c>
      <c r="F125" s="457">
        <f t="shared" si="6"/>
        <v>334</v>
      </c>
      <c r="G125" s="457"/>
      <c r="H125" s="457">
        <v>349</v>
      </c>
      <c r="I125" s="457"/>
      <c r="J125" s="457"/>
      <c r="K125" s="458"/>
      <c r="L125" s="458" t="s">
        <v>2977</v>
      </c>
      <c r="M125" s="462">
        <f>IF($D$125="","",ROUND($D$125*mult_mtong,0))</f>
        <v>218</v>
      </c>
      <c r="N125" s="462">
        <f>IF($E$125="","",ROUND($E$125*mult_mtong,0))</f>
        <v>334</v>
      </c>
      <c r="O125" s="462">
        <f>IF($F$125="","",ROUND($F$125*mult_mtong,0))</f>
        <v>334</v>
      </c>
      <c r="P125" s="462" t="str">
        <f>IF($G$125="","",ROUND($G$125*mult_mtong,0))</f>
        <v/>
      </c>
      <c r="Q125" s="462">
        <f>IF($H$125="","",ROUND($H$125*mult_wood,0))</f>
        <v>349</v>
      </c>
      <c r="R125" s="462" t="str">
        <f>IF($I$125="","",ROUND($I$125*mult_wood,0))</f>
        <v/>
      </c>
      <c r="S125" s="462" t="str">
        <f>IF($J$125="","",ROUND($J$125*mult_wood,0))</f>
        <v/>
      </c>
      <c r="T125" s="461">
        <f t="shared" si="8"/>
        <v>1</v>
      </c>
    </row>
    <row r="126" spans="1:20">
      <c r="A126" s="459" t="s">
        <v>339</v>
      </c>
      <c r="B126" s="459" t="s">
        <v>340</v>
      </c>
      <c r="C126" s="459" t="s">
        <v>317</v>
      </c>
      <c r="D126" s="457">
        <v>374</v>
      </c>
      <c r="E126" s="457">
        <v>573</v>
      </c>
      <c r="F126" s="457">
        <f t="shared" si="6"/>
        <v>573</v>
      </c>
      <c r="G126" s="457"/>
      <c r="H126" s="457">
        <v>598</v>
      </c>
      <c r="I126" s="457"/>
      <c r="J126" s="457"/>
      <c r="K126" s="458"/>
      <c r="L126" s="458" t="s">
        <v>2977</v>
      </c>
      <c r="M126" s="462">
        <f>IF($D$126="","",ROUND($D$126*mult_mtong,0))</f>
        <v>374</v>
      </c>
      <c r="N126" s="462">
        <f>IF($E$126="","",ROUND($E$126*mult_mtong,0))</f>
        <v>573</v>
      </c>
      <c r="O126" s="462">
        <f>IF($F$126="","",ROUND($F$126*mult_mtong,0))</f>
        <v>573</v>
      </c>
      <c r="P126" s="462" t="str">
        <f>IF($G$126="","",ROUND($G$126*mult_mtong,0))</f>
        <v/>
      </c>
      <c r="Q126" s="462">
        <f>IF($H$126="","",ROUND($H$126*mult_wood,0))</f>
        <v>598</v>
      </c>
      <c r="R126" s="462" t="str">
        <f>IF($I$126="","",ROUND($I$126*mult_wood,0))</f>
        <v/>
      </c>
      <c r="S126" s="462" t="str">
        <f>IF($J$126="","",ROUND($J$126*mult_wood,0))</f>
        <v/>
      </c>
      <c r="T126" s="461">
        <f t="shared" si="8"/>
        <v>1</v>
      </c>
    </row>
    <row r="127" spans="1:20">
      <c r="A127" s="459" t="s">
        <v>341</v>
      </c>
      <c r="B127" s="459" t="s">
        <v>342</v>
      </c>
      <c r="C127" s="459" t="s">
        <v>317</v>
      </c>
      <c r="D127" s="457">
        <v>453</v>
      </c>
      <c r="E127" s="457">
        <v>694</v>
      </c>
      <c r="F127" s="457">
        <f t="shared" si="6"/>
        <v>694</v>
      </c>
      <c r="G127" s="457"/>
      <c r="H127" s="457">
        <v>724</v>
      </c>
      <c r="I127" s="457"/>
      <c r="J127" s="457"/>
      <c r="K127" s="458"/>
      <c r="L127" s="458" t="s">
        <v>2977</v>
      </c>
      <c r="M127" s="462">
        <f>IF($D$127="","",ROUND($D$127*mult_mtong,0))</f>
        <v>453</v>
      </c>
      <c r="N127" s="462">
        <f>IF($E$127="","",ROUND($E$127*mult_mtong,0))</f>
        <v>694</v>
      </c>
      <c r="O127" s="462">
        <f>IF($F$127="","",ROUND($F$127*mult_mtong,0))</f>
        <v>694</v>
      </c>
      <c r="P127" s="462" t="str">
        <f>IF($G$127="","",ROUND($G$127*mult_mtong,0))</f>
        <v/>
      </c>
      <c r="Q127" s="462">
        <f>IF($H$127="","",ROUND($H$127*mult_wood,0))</f>
        <v>724</v>
      </c>
      <c r="R127" s="462" t="str">
        <f>IF($I$127="","",ROUND($I$127*mult_wood,0))</f>
        <v/>
      </c>
      <c r="S127" s="462" t="str">
        <f>IF($J$127="","",ROUND($J$127*mult_wood,0))</f>
        <v/>
      </c>
      <c r="T127" s="461">
        <f t="shared" si="8"/>
        <v>1</v>
      </c>
    </row>
    <row r="128" spans="1:20">
      <c r="A128" s="459" t="s">
        <v>343</v>
      </c>
      <c r="B128" s="459" t="s">
        <v>344</v>
      </c>
      <c r="C128" s="459" t="s">
        <v>317</v>
      </c>
      <c r="D128" s="457">
        <v>453</v>
      </c>
      <c r="E128" s="457">
        <v>694</v>
      </c>
      <c r="F128" s="457">
        <f t="shared" si="6"/>
        <v>694</v>
      </c>
      <c r="G128" s="457"/>
      <c r="H128" s="457">
        <v>724</v>
      </c>
      <c r="I128" s="457"/>
      <c r="J128" s="457"/>
      <c r="K128" s="458"/>
      <c r="L128" s="458" t="s">
        <v>2977</v>
      </c>
      <c r="M128" s="462">
        <f>IF($D$128="","",ROUND($D$128*mult_mtong,0))</f>
        <v>453</v>
      </c>
      <c r="N128" s="462">
        <f>IF($E$128="","",ROUND($E$128*mult_mtong,0))</f>
        <v>694</v>
      </c>
      <c r="O128" s="462">
        <f>IF($F$128="","",ROUND($F$128*mult_mtong,0))</f>
        <v>694</v>
      </c>
      <c r="P128" s="462" t="str">
        <f>IF($G$128="","",ROUND($G$128*mult_mtong,0))</f>
        <v/>
      </c>
      <c r="Q128" s="462">
        <f>IF($H$128="","",ROUND($H$128*mult_wood,0))</f>
        <v>724</v>
      </c>
      <c r="R128" s="462" t="str">
        <f>IF($I$128="","",ROUND($I$128*mult_wood,0))</f>
        <v/>
      </c>
      <c r="S128" s="462" t="str">
        <f>IF($J$128="","",ROUND($J$128*mult_wood,0))</f>
        <v/>
      </c>
      <c r="T128" s="461">
        <f t="shared" si="8"/>
        <v>1</v>
      </c>
    </row>
    <row r="129" spans="1:20">
      <c r="A129" s="459" t="s">
        <v>345</v>
      </c>
      <c r="B129" s="459" t="s">
        <v>344</v>
      </c>
      <c r="C129" s="459" t="s">
        <v>317</v>
      </c>
      <c r="D129" s="457">
        <v>540</v>
      </c>
      <c r="E129" s="457">
        <v>827</v>
      </c>
      <c r="F129" s="457">
        <f t="shared" si="6"/>
        <v>827</v>
      </c>
      <c r="G129" s="457"/>
      <c r="H129" s="457">
        <v>862</v>
      </c>
      <c r="I129" s="457"/>
      <c r="J129" s="457"/>
      <c r="K129" s="458"/>
      <c r="L129" s="458" t="s">
        <v>2977</v>
      </c>
      <c r="M129" s="462">
        <f>IF($D$129="","",ROUND($D$129*mult_mtong,0))</f>
        <v>540</v>
      </c>
      <c r="N129" s="462">
        <f>IF($E$129="","",ROUND($E$129*mult_mtong,0))</f>
        <v>827</v>
      </c>
      <c r="O129" s="462">
        <f>IF($F$129="","",ROUND($F$129*mult_mtong,0))</f>
        <v>827</v>
      </c>
      <c r="P129" s="462" t="str">
        <f>IF($G$129="","",ROUND($G$129*mult_mtong,0))</f>
        <v/>
      </c>
      <c r="Q129" s="462">
        <f>IF($H$129="","",ROUND($H$129*mult_wood,0))</f>
        <v>862</v>
      </c>
      <c r="R129" s="462" t="str">
        <f>IF($I$129="","",ROUND($I$129*mult_wood,0))</f>
        <v/>
      </c>
      <c r="S129" s="462" t="str">
        <f>IF($J$129="","",ROUND($J$129*mult_wood,0))</f>
        <v/>
      </c>
      <c r="T129" s="461">
        <f t="shared" si="8"/>
        <v>1</v>
      </c>
    </row>
    <row r="130" spans="1:20">
      <c r="A130" s="459" t="s">
        <v>346</v>
      </c>
      <c r="B130" s="459" t="s">
        <v>347</v>
      </c>
      <c r="C130" s="459" t="s">
        <v>317</v>
      </c>
      <c r="D130" s="457">
        <v>726</v>
      </c>
      <c r="E130" s="457">
        <v>1112</v>
      </c>
      <c r="F130" s="457">
        <f t="shared" si="6"/>
        <v>1112</v>
      </c>
      <c r="G130" s="457"/>
      <c r="H130" s="457">
        <v>1160</v>
      </c>
      <c r="I130" s="457"/>
      <c r="J130" s="457"/>
      <c r="K130" s="458"/>
      <c r="L130" s="458" t="s">
        <v>2977</v>
      </c>
      <c r="M130" s="462">
        <f>IF($D$130="","",ROUND($D$130*mult_mtong,0))</f>
        <v>726</v>
      </c>
      <c r="N130" s="462">
        <f>IF($E$130="","",ROUND($E$130*mult_mtong,0))</f>
        <v>1112</v>
      </c>
      <c r="O130" s="462">
        <f>IF($F$130="","",ROUND($F$130*mult_mtong,0))</f>
        <v>1112</v>
      </c>
      <c r="P130" s="462" t="str">
        <f>IF($G$130="","",ROUND($G$130*mult_mtong,0))</f>
        <v/>
      </c>
      <c r="Q130" s="462">
        <f>IF($H$130="","",ROUND($H$130*mult_wood,0))</f>
        <v>1160</v>
      </c>
      <c r="R130" s="462" t="str">
        <f>IF($I$130="","",ROUND($I$130*mult_wood,0))</f>
        <v/>
      </c>
      <c r="S130" s="462" t="str">
        <f>IF($J$130="","",ROUND($J$130*mult_wood,0))</f>
        <v/>
      </c>
      <c r="T130" s="461">
        <f t="shared" si="8"/>
        <v>1</v>
      </c>
    </row>
    <row r="131" spans="1:20">
      <c r="A131" s="459" t="s">
        <v>348</v>
      </c>
      <c r="B131" s="459" t="s">
        <v>347</v>
      </c>
      <c r="C131" s="459" t="s">
        <v>317</v>
      </c>
      <c r="D131" s="457">
        <v>846</v>
      </c>
      <c r="E131" s="457">
        <v>1296</v>
      </c>
      <c r="F131" s="457">
        <f t="shared" ref="F131:F156" si="9">E131</f>
        <v>1296</v>
      </c>
      <c r="G131" s="457"/>
      <c r="H131" s="457">
        <v>1352</v>
      </c>
      <c r="I131" s="457"/>
      <c r="J131" s="457"/>
      <c r="K131" s="458"/>
      <c r="L131" s="458" t="s">
        <v>2977</v>
      </c>
      <c r="M131" s="462">
        <f>IF($D$131="","",ROUND($D$131*mult_mtong,0))</f>
        <v>846</v>
      </c>
      <c r="N131" s="462">
        <f>IF($E$131="","",ROUND($E$131*mult_mtong,0))</f>
        <v>1296</v>
      </c>
      <c r="O131" s="462">
        <f>IF($F$131="","",ROUND($F$131*mult_mtong,0))</f>
        <v>1296</v>
      </c>
      <c r="P131" s="462" t="str">
        <f>IF($G$131="","",ROUND($G$131*mult_mtong,0))</f>
        <v/>
      </c>
      <c r="Q131" s="462">
        <f>IF($H$131="","",ROUND($H$131*mult_wood,0))</f>
        <v>1352</v>
      </c>
      <c r="R131" s="462" t="str">
        <f>IF($I$131="","",ROUND($I$131*mult_wood,0))</f>
        <v/>
      </c>
      <c r="S131" s="462" t="str">
        <f>IF($J$131="","",ROUND($J$131*mult_wood,0))</f>
        <v/>
      </c>
      <c r="T131" s="461">
        <f t="shared" si="8"/>
        <v>1</v>
      </c>
    </row>
    <row r="132" spans="1:20">
      <c r="A132" s="459" t="s">
        <v>349</v>
      </c>
      <c r="B132" s="459" t="s">
        <v>350</v>
      </c>
      <c r="C132" s="459" t="s">
        <v>317</v>
      </c>
      <c r="D132" s="457">
        <v>797</v>
      </c>
      <c r="E132" s="457">
        <v>1221</v>
      </c>
      <c r="F132" s="457">
        <f t="shared" si="9"/>
        <v>1221</v>
      </c>
      <c r="G132" s="457"/>
      <c r="H132" s="457">
        <v>1274</v>
      </c>
      <c r="I132" s="457"/>
      <c r="J132" s="457"/>
      <c r="K132" s="458"/>
      <c r="L132" s="458" t="s">
        <v>2977</v>
      </c>
      <c r="M132" s="462">
        <f>IF($D$132="","",ROUND($D$132*mult_mtong,0))</f>
        <v>797</v>
      </c>
      <c r="N132" s="462">
        <f>IF($E$132="","",ROUND($E$132*mult_mtong,0))</f>
        <v>1221</v>
      </c>
      <c r="O132" s="462">
        <f>IF($F$132="","",ROUND($F$132*mult_mtong,0))</f>
        <v>1221</v>
      </c>
      <c r="P132" s="462" t="str">
        <f>IF($G$132="","",ROUND($G$132*mult_mtong,0))</f>
        <v/>
      </c>
      <c r="Q132" s="462">
        <f>IF($H$132="","",ROUND($H$132*mult_wood,0))</f>
        <v>1274</v>
      </c>
      <c r="R132" s="462" t="str">
        <f>IF($I$132="","",ROUND($I$132*mult_wood,0))</f>
        <v/>
      </c>
      <c r="S132" s="462" t="str">
        <f>IF($J$132="","",ROUND($J$132*mult_wood,0))</f>
        <v/>
      </c>
      <c r="T132" s="461">
        <f t="shared" si="8"/>
        <v>1</v>
      </c>
    </row>
    <row r="133" spans="1:20">
      <c r="A133" s="459" t="s">
        <v>351</v>
      </c>
      <c r="B133" s="459" t="s">
        <v>350</v>
      </c>
      <c r="C133" s="459" t="s">
        <v>317</v>
      </c>
      <c r="D133" s="457">
        <v>867</v>
      </c>
      <c r="E133" s="457">
        <v>1328</v>
      </c>
      <c r="F133" s="457">
        <f t="shared" si="9"/>
        <v>1328</v>
      </c>
      <c r="G133" s="457"/>
      <c r="H133" s="457">
        <v>1385</v>
      </c>
      <c r="I133" s="457"/>
      <c r="J133" s="457"/>
      <c r="K133" s="458"/>
      <c r="L133" s="458" t="s">
        <v>2977</v>
      </c>
      <c r="M133" s="462">
        <f>IF($D$133="","",ROUND($D$133*mult_mtong,0))</f>
        <v>867</v>
      </c>
      <c r="N133" s="462">
        <f>IF($E$133="","",ROUND($E$133*mult_mtong,0))</f>
        <v>1328</v>
      </c>
      <c r="O133" s="462">
        <f>IF($F$133="","",ROUND($F$133*mult_mtong,0))</f>
        <v>1328</v>
      </c>
      <c r="P133" s="462" t="str">
        <f>IF($G$133="","",ROUND($G$133*mult_mtong,0))</f>
        <v/>
      </c>
      <c r="Q133" s="462">
        <f>IF($H$133="","",ROUND($H$133*mult_wood,0))</f>
        <v>1385</v>
      </c>
      <c r="R133" s="462" t="str">
        <f>IF($I$133="","",ROUND($I$133*mult_wood,0))</f>
        <v/>
      </c>
      <c r="S133" s="462" t="str">
        <f>IF($J$133="","",ROUND($J$133*mult_wood,0))</f>
        <v/>
      </c>
      <c r="T133" s="461">
        <f t="shared" si="8"/>
        <v>1</v>
      </c>
    </row>
    <row r="134" spans="1:20">
      <c r="A134" s="459" t="s">
        <v>352</v>
      </c>
      <c r="B134" s="459" t="s">
        <v>350</v>
      </c>
      <c r="C134" s="459" t="s">
        <v>317</v>
      </c>
      <c r="D134" s="457">
        <v>1008</v>
      </c>
      <c r="E134" s="457">
        <v>1544</v>
      </c>
      <c r="F134" s="457">
        <f t="shared" si="9"/>
        <v>1544</v>
      </c>
      <c r="G134" s="457"/>
      <c r="H134" s="457">
        <v>1611</v>
      </c>
      <c r="I134" s="457"/>
      <c r="J134" s="457"/>
      <c r="K134" s="458"/>
      <c r="L134" s="458" t="s">
        <v>2977</v>
      </c>
      <c r="M134" s="462">
        <f>IF($D$134="","",ROUND($D$134*mult_mtong,0))</f>
        <v>1008</v>
      </c>
      <c r="N134" s="462">
        <f>IF($E$134="","",ROUND($E$134*mult_mtong,0))</f>
        <v>1544</v>
      </c>
      <c r="O134" s="462">
        <f>IF($F$134="","",ROUND($F$134*mult_mtong,0))</f>
        <v>1544</v>
      </c>
      <c r="P134" s="462" t="str">
        <f>IF($G$134="","",ROUND($G$134*mult_mtong,0))</f>
        <v/>
      </c>
      <c r="Q134" s="462">
        <f>IF($H$134="","",ROUND($H$134*mult_wood,0))</f>
        <v>1611</v>
      </c>
      <c r="R134" s="462" t="str">
        <f>IF($I$134="","",ROUND($I$134*mult_wood,0))</f>
        <v/>
      </c>
      <c r="S134" s="462" t="str">
        <f>IF($J$134="","",ROUND($J$134*mult_wood,0))</f>
        <v/>
      </c>
      <c r="T134" s="461">
        <f t="shared" si="8"/>
        <v>1</v>
      </c>
    </row>
    <row r="135" spans="1:20">
      <c r="A135" s="459" t="s">
        <v>353</v>
      </c>
      <c r="B135" s="459" t="s">
        <v>354</v>
      </c>
      <c r="C135" s="459" t="s">
        <v>317</v>
      </c>
      <c r="D135" s="457">
        <v>914</v>
      </c>
      <c r="E135" s="457">
        <v>1400</v>
      </c>
      <c r="F135" s="457">
        <f t="shared" si="9"/>
        <v>1400</v>
      </c>
      <c r="G135" s="457"/>
      <c r="H135" s="457">
        <v>1460</v>
      </c>
      <c r="I135" s="457"/>
      <c r="J135" s="457"/>
      <c r="K135" s="458"/>
      <c r="L135" s="458" t="s">
        <v>2977</v>
      </c>
      <c r="M135" s="462">
        <f>IF($D$135="","",ROUND($D$135*mult_mtong,0))</f>
        <v>914</v>
      </c>
      <c r="N135" s="462">
        <f>IF($E$135="","",ROUND($E$135*mult_mtong,0))</f>
        <v>1400</v>
      </c>
      <c r="O135" s="462">
        <f>IF($F$135="","",ROUND($F$135*mult_mtong,0))</f>
        <v>1400</v>
      </c>
      <c r="P135" s="462" t="str">
        <f>IF($G$135="","",ROUND($G$135*mult_mtong,0))</f>
        <v/>
      </c>
      <c r="Q135" s="462">
        <f>IF($H$135="","",ROUND($H$135*mult_wood,0))</f>
        <v>1460</v>
      </c>
      <c r="R135" s="462" t="str">
        <f>IF($I$135="","",ROUND($I$135*mult_wood,0))</f>
        <v/>
      </c>
      <c r="S135" s="462" t="str">
        <f>IF($J$135="","",ROUND($J$135*mult_wood,0))</f>
        <v/>
      </c>
      <c r="T135" s="461">
        <f t="shared" si="8"/>
        <v>1</v>
      </c>
    </row>
    <row r="136" spans="1:20">
      <c r="A136" s="119" t="s">
        <v>355</v>
      </c>
      <c r="B136" s="119" t="s">
        <v>354</v>
      </c>
      <c r="C136" s="119" t="s">
        <v>317</v>
      </c>
      <c r="D136" s="100">
        <v>1137</v>
      </c>
      <c r="E136" s="100">
        <v>1742</v>
      </c>
      <c r="F136" s="100">
        <f t="shared" si="9"/>
        <v>1742</v>
      </c>
      <c r="G136" s="100"/>
      <c r="H136" s="100">
        <v>1818</v>
      </c>
      <c r="I136" s="100"/>
      <c r="J136" s="100"/>
      <c r="L136" t="s">
        <v>76</v>
      </c>
      <c r="M136" s="462">
        <f>IF($D$136="","",ROUND($D$136*mult_mtong,0))</f>
        <v>1137</v>
      </c>
      <c r="N136" s="462">
        <f>IF($E$136="","",ROUND($E$136*mult_mtong,0))</f>
        <v>1742</v>
      </c>
      <c r="O136" s="462">
        <f>IF($F$136="","",ROUND($F$136*mult_mtong,0))</f>
        <v>1742</v>
      </c>
      <c r="P136" s="462" t="str">
        <f>IF($G$136="","",ROUND($G$136*mult_mtong,0))</f>
        <v/>
      </c>
      <c r="Q136" s="462">
        <f>IF($H$136="","",ROUND($H$136*mult_wood,0))</f>
        <v>1818</v>
      </c>
      <c r="R136" s="462" t="str">
        <f>IF($I$136="","",ROUND($I$136*mult_wood,0))</f>
        <v/>
      </c>
      <c r="S136" s="462" t="str">
        <f>IF($J$136="","",ROUND($J$136*mult_wood,0))</f>
        <v/>
      </c>
      <c r="T136" s="461">
        <f t="shared" si="8"/>
        <v>1</v>
      </c>
    </row>
    <row r="137" spans="1:20">
      <c r="A137" s="459" t="s">
        <v>356</v>
      </c>
      <c r="B137" s="459" t="s">
        <v>357</v>
      </c>
      <c r="C137" s="459" t="s">
        <v>317</v>
      </c>
      <c r="D137" s="457">
        <v>968</v>
      </c>
      <c r="E137" s="457">
        <v>1483</v>
      </c>
      <c r="F137" s="457">
        <f t="shared" si="9"/>
        <v>1483</v>
      </c>
      <c r="G137" s="457"/>
      <c r="H137" s="457">
        <v>1548</v>
      </c>
      <c r="I137" s="457"/>
      <c r="J137" s="457"/>
      <c r="K137" s="458"/>
      <c r="L137" s="458" t="s">
        <v>2977</v>
      </c>
      <c r="M137" s="462">
        <f>IF($D$137="","",ROUND($D$137*mult_mtong,0))</f>
        <v>968</v>
      </c>
      <c r="N137" s="462">
        <f>IF($E$137="","",ROUND($E$137*mult_mtong,0))</f>
        <v>1483</v>
      </c>
      <c r="O137" s="462">
        <f>IF($F$137="","",ROUND($F$137*mult_mtong,0))</f>
        <v>1483</v>
      </c>
      <c r="P137" s="462" t="str">
        <f>IF($G$137="","",ROUND($G$137*mult_mtong,0))</f>
        <v/>
      </c>
      <c r="Q137" s="462">
        <f>IF($H$137="","",ROUND($H$137*mult_wood,0))</f>
        <v>1548</v>
      </c>
      <c r="R137" s="462" t="str">
        <f>IF($I$137="","",ROUND($I$137*mult_wood,0))</f>
        <v/>
      </c>
      <c r="S137" s="462" t="str">
        <f>IF($J$137="","",ROUND($J$137*mult_wood,0))</f>
        <v/>
      </c>
      <c r="T137" s="461">
        <f t="shared" si="8"/>
        <v>1</v>
      </c>
    </row>
    <row r="138" spans="1:20">
      <c r="A138" s="459" t="s">
        <v>358</v>
      </c>
      <c r="B138" s="459" t="s">
        <v>357</v>
      </c>
      <c r="C138" s="459" t="s">
        <v>317</v>
      </c>
      <c r="D138" s="457">
        <v>1057</v>
      </c>
      <c r="E138" s="457">
        <v>1619</v>
      </c>
      <c r="F138" s="457">
        <f t="shared" si="9"/>
        <v>1619</v>
      </c>
      <c r="G138" s="457"/>
      <c r="H138" s="457">
        <v>1689</v>
      </c>
      <c r="I138" s="457"/>
      <c r="J138" s="457"/>
      <c r="K138" s="458"/>
      <c r="L138" s="458" t="s">
        <v>2977</v>
      </c>
      <c r="M138" s="462">
        <f>IF($D$138="","",ROUND($D$138*mult_mtong,0))</f>
        <v>1057</v>
      </c>
      <c r="N138" s="462">
        <f>IF($E$138="","",ROUND($E$138*mult_mtong,0))</f>
        <v>1619</v>
      </c>
      <c r="O138" s="462">
        <f>IF($F$138="","",ROUND($F$138*mult_mtong,0))</f>
        <v>1619</v>
      </c>
      <c r="P138" s="462" t="str">
        <f>IF($G$138="","",ROUND($G$138*mult_mtong,0))</f>
        <v/>
      </c>
      <c r="Q138" s="462">
        <f>IF($H$138="","",ROUND($H$138*mult_wood,0))</f>
        <v>1689</v>
      </c>
      <c r="R138" s="462" t="str">
        <f>IF($I$138="","",ROUND($I$138*mult_wood,0))</f>
        <v/>
      </c>
      <c r="S138" s="462" t="str">
        <f>IF($J$138="","",ROUND($J$138*mult_wood,0))</f>
        <v/>
      </c>
      <c r="T138" s="461">
        <f t="shared" si="8"/>
        <v>1</v>
      </c>
    </row>
    <row r="139" spans="1:20">
      <c r="A139" s="459" t="s">
        <v>359</v>
      </c>
      <c r="B139" s="459" t="s">
        <v>357</v>
      </c>
      <c r="C139" s="459" t="s">
        <v>317</v>
      </c>
      <c r="D139" s="457">
        <v>1141</v>
      </c>
      <c r="E139" s="457">
        <v>1748</v>
      </c>
      <c r="F139" s="457">
        <f t="shared" si="9"/>
        <v>1748</v>
      </c>
      <c r="G139" s="457"/>
      <c r="H139" s="457">
        <v>1824</v>
      </c>
      <c r="I139" s="457"/>
      <c r="J139" s="457"/>
      <c r="K139" s="458"/>
      <c r="L139" s="458" t="s">
        <v>2977</v>
      </c>
      <c r="M139" s="462">
        <f>IF($D$139="","",ROUND($D$139*mult_mtong,0))</f>
        <v>1141</v>
      </c>
      <c r="N139" s="462">
        <f>IF($E$139="","",ROUND($E$139*mult_mtong,0))</f>
        <v>1748</v>
      </c>
      <c r="O139" s="462">
        <f>IF($F$139="","",ROUND($F$139*mult_mtong,0))</f>
        <v>1748</v>
      </c>
      <c r="P139" s="462" t="str">
        <f>IF($G$139="","",ROUND($G$139*mult_mtong,0))</f>
        <v/>
      </c>
      <c r="Q139" s="462">
        <f>IF($H$139="","",ROUND($H$139*mult_wood,0))</f>
        <v>1824</v>
      </c>
      <c r="R139" s="462" t="str">
        <f>IF($I$139="","",ROUND($I$139*mult_wood,0))</f>
        <v/>
      </c>
      <c r="S139" s="462" t="str">
        <f>IF($J$139="","",ROUND($J$139*mult_wood,0))</f>
        <v/>
      </c>
      <c r="T139" s="461">
        <f t="shared" si="8"/>
        <v>1</v>
      </c>
    </row>
    <row r="140" spans="1:20">
      <c r="A140" s="459" t="s">
        <v>360</v>
      </c>
      <c r="B140" s="459" t="s">
        <v>357</v>
      </c>
      <c r="C140" s="459" t="s">
        <v>317</v>
      </c>
      <c r="D140" s="457">
        <v>1183</v>
      </c>
      <c r="E140" s="457">
        <v>1812</v>
      </c>
      <c r="F140" s="457">
        <f t="shared" si="9"/>
        <v>1812</v>
      </c>
      <c r="G140" s="457"/>
      <c r="H140" s="457">
        <v>1890</v>
      </c>
      <c r="I140" s="457"/>
      <c r="J140" s="457"/>
      <c r="K140" s="458"/>
      <c r="L140" s="458" t="s">
        <v>2977</v>
      </c>
      <c r="M140" s="462">
        <f>IF($D$140="","",ROUND($D$140*mult_mtong,0))</f>
        <v>1183</v>
      </c>
      <c r="N140" s="462">
        <f>IF($E$140="","",ROUND($E$140*mult_mtong,0))</f>
        <v>1812</v>
      </c>
      <c r="O140" s="462">
        <f>IF($F$140="","",ROUND($F$140*mult_mtong,0))</f>
        <v>1812</v>
      </c>
      <c r="P140" s="462" t="str">
        <f>IF($G$140="","",ROUND($G$140*mult_mtong,0))</f>
        <v/>
      </c>
      <c r="Q140" s="462">
        <f>IF($H$140="","",ROUND($H$140*mult_wood,0))</f>
        <v>1890</v>
      </c>
      <c r="R140" s="462" t="str">
        <f>IF($I$140="","",ROUND($I$140*mult_wood,0))</f>
        <v/>
      </c>
      <c r="S140" s="462" t="str">
        <f>IF($J$140="","",ROUND($J$140*mult_wood,0))</f>
        <v/>
      </c>
      <c r="T140" s="461">
        <f t="shared" si="8"/>
        <v>1</v>
      </c>
    </row>
    <row r="141" spans="1:20">
      <c r="A141" s="459" t="s">
        <v>361</v>
      </c>
      <c r="B141" s="459" t="s">
        <v>357</v>
      </c>
      <c r="C141" s="459" t="s">
        <v>317</v>
      </c>
      <c r="D141" s="457">
        <v>1312</v>
      </c>
      <c r="E141" s="457">
        <v>2010</v>
      </c>
      <c r="F141" s="457">
        <f t="shared" si="9"/>
        <v>2010</v>
      </c>
      <c r="G141" s="457"/>
      <c r="H141" s="457">
        <v>2097</v>
      </c>
      <c r="I141" s="457"/>
      <c r="J141" s="457"/>
      <c r="K141" s="458"/>
      <c r="L141" s="458" t="s">
        <v>2977</v>
      </c>
      <c r="M141" s="462">
        <f>IF($D$141="","",ROUND($D$141*mult_mtong,0))</f>
        <v>1312</v>
      </c>
      <c r="N141" s="462">
        <f>IF($E$141="","",ROUND($E$141*mult_mtong,0))</f>
        <v>2010</v>
      </c>
      <c r="O141" s="462">
        <f>IF($F$141="","",ROUND($F$141*mult_mtong,0))</f>
        <v>2010</v>
      </c>
      <c r="P141" s="462" t="str">
        <f>IF($G$141="","",ROUND($G$141*mult_mtong,0))</f>
        <v/>
      </c>
      <c r="Q141" s="462">
        <f>IF($H$141="","",ROUND($H$141*mult_wood,0))</f>
        <v>2097</v>
      </c>
      <c r="R141" s="462" t="str">
        <f>IF($I$141="","",ROUND($I$141*mult_wood,0))</f>
        <v/>
      </c>
      <c r="S141" s="462" t="str">
        <f>IF($J$141="","",ROUND($J$141*mult_wood,0))</f>
        <v/>
      </c>
      <c r="T141" s="461">
        <f t="shared" si="8"/>
        <v>1</v>
      </c>
    </row>
    <row r="142" spans="1:20">
      <c r="A142" s="459" t="s">
        <v>362</v>
      </c>
      <c r="B142" s="459" t="s">
        <v>363</v>
      </c>
      <c r="C142" s="459" t="s">
        <v>317</v>
      </c>
      <c r="D142" s="457">
        <v>1371</v>
      </c>
      <c r="E142" s="457">
        <v>2100</v>
      </c>
      <c r="F142" s="457">
        <f t="shared" si="9"/>
        <v>2100</v>
      </c>
      <c r="G142" s="457"/>
      <c r="H142" s="457">
        <v>2191</v>
      </c>
      <c r="I142" s="457"/>
      <c r="J142" s="457"/>
      <c r="K142" s="458"/>
      <c r="L142" s="458" t="s">
        <v>2977</v>
      </c>
      <c r="M142" s="462">
        <f>IF($D$142="","",ROUND($D$142*mult_mtong,0))</f>
        <v>1371</v>
      </c>
      <c r="N142" s="462">
        <f>IF($E$142="","",ROUND($E$142*mult_mtong,0))</f>
        <v>2100</v>
      </c>
      <c r="O142" s="462">
        <f>IF($F$142="","",ROUND($F$142*mult_mtong,0))</f>
        <v>2100</v>
      </c>
      <c r="P142" s="462" t="str">
        <f>IF($G$142="","",ROUND($G$142*mult_mtong,0))</f>
        <v/>
      </c>
      <c r="Q142" s="462">
        <f>IF($H$142="","",ROUND($H$142*mult_wood,0))</f>
        <v>2191</v>
      </c>
      <c r="R142" s="462" t="str">
        <f>IF($I$142="","",ROUND($I$142*mult_wood,0))</f>
        <v/>
      </c>
      <c r="S142" s="462" t="str">
        <f>IF($J$142="","",ROUND($J$142*mult_wood,0))</f>
        <v/>
      </c>
      <c r="T142" s="461">
        <f t="shared" si="8"/>
        <v>1</v>
      </c>
    </row>
    <row r="143" spans="1:20">
      <c r="A143" s="459" t="s">
        <v>364</v>
      </c>
      <c r="B143" s="459" t="s">
        <v>363</v>
      </c>
      <c r="C143" s="459" t="s">
        <v>317</v>
      </c>
      <c r="D143" s="457">
        <v>2113</v>
      </c>
      <c r="E143" s="457">
        <v>3237</v>
      </c>
      <c r="F143" s="457">
        <f t="shared" si="9"/>
        <v>3237</v>
      </c>
      <c r="G143" s="457"/>
      <c r="H143" s="457">
        <v>3378</v>
      </c>
      <c r="I143" s="457"/>
      <c r="J143" s="457"/>
      <c r="K143" s="458"/>
      <c r="L143" s="458" t="s">
        <v>2977</v>
      </c>
      <c r="M143" s="462">
        <f>IF($D$143="","",ROUND($D$143*mult_mtong,0))</f>
        <v>2113</v>
      </c>
      <c r="N143" s="462">
        <f>IF($E$143="","",ROUND($E$143*mult_mtong,0))</f>
        <v>3237</v>
      </c>
      <c r="O143" s="462">
        <f>IF($F$143="","",ROUND($F$143*mult_mtong,0))</f>
        <v>3237</v>
      </c>
      <c r="P143" s="462" t="str">
        <f>IF($G$143="","",ROUND($G$143*mult_mtong,0))</f>
        <v/>
      </c>
      <c r="Q143" s="462">
        <f>IF($H$143="","",ROUND($H$143*mult_wood,0))</f>
        <v>3378</v>
      </c>
      <c r="R143" s="462" t="str">
        <f>IF($I$143="","",ROUND($I$143*mult_wood,0))</f>
        <v/>
      </c>
      <c r="S143" s="462" t="str">
        <f>IF($J$143="","",ROUND($J$143*mult_wood,0))</f>
        <v/>
      </c>
      <c r="T143" s="461">
        <f t="shared" si="8"/>
        <v>1</v>
      </c>
    </row>
    <row r="144" spans="1:20">
      <c r="A144" s="262" t="s">
        <v>374</v>
      </c>
      <c r="D144" s="389"/>
      <c r="E144" s="389"/>
      <c r="F144" s="100">
        <f t="shared" si="9"/>
        <v>0</v>
      </c>
      <c r="G144" s="389"/>
      <c r="H144" s="389"/>
      <c r="I144" s="389"/>
      <c r="J144" s="389"/>
      <c r="M144" s="462"/>
      <c r="N144" s="462"/>
      <c r="O144" s="462"/>
      <c r="P144" s="462"/>
      <c r="Q144" s="462"/>
      <c r="R144" s="462"/>
      <c r="S144" s="462"/>
      <c r="T144" s="411"/>
    </row>
    <row r="145" spans="1:20">
      <c r="A145" s="459" t="s">
        <v>375</v>
      </c>
      <c r="B145" s="459" t="s">
        <v>376</v>
      </c>
      <c r="C145" s="459" t="s">
        <v>377</v>
      </c>
      <c r="D145" s="457">
        <v>480</v>
      </c>
      <c r="E145" s="457">
        <v>796</v>
      </c>
      <c r="F145" s="457">
        <f t="shared" si="9"/>
        <v>796</v>
      </c>
      <c r="G145" s="457"/>
      <c r="H145" s="457"/>
      <c r="I145" s="457"/>
      <c r="J145" s="457"/>
      <c r="K145" s="458"/>
      <c r="L145" s="458" t="s">
        <v>2977</v>
      </c>
      <c r="M145" s="462">
        <f>IF($D$145="","",ROUND($D$145*mult_slim,0))</f>
        <v>480</v>
      </c>
      <c r="N145" s="462">
        <f>IF($E$145="","",ROUND($E$145*mult_slim,0))</f>
        <v>796</v>
      </c>
      <c r="O145" s="462">
        <f>IF($F$145="","",ROUND($F$145*mult_slim,0))</f>
        <v>796</v>
      </c>
      <c r="P145" s="462" t="str">
        <f>IF($G$145="","",ROUND($G$145*mult_slim,0))</f>
        <v/>
      </c>
      <c r="Q145" s="462" t="str">
        <f>IF($H$145="","",ROUND($H$145*mult_wood,0))</f>
        <v/>
      </c>
      <c r="R145" s="462" t="str">
        <f>IF($I$145="","",ROUND($I$145*mult_wood,0))</f>
        <v/>
      </c>
      <c r="S145" s="462" t="str">
        <f>IF($J$145="","",ROUND($J$145*mult_wood,0))</f>
        <v/>
      </c>
      <c r="T145" s="461">
        <f t="shared" ref="T145:T159" si="10">mult_slim</f>
        <v>1</v>
      </c>
    </row>
    <row r="146" spans="1:20">
      <c r="A146" s="459" t="s">
        <v>378</v>
      </c>
      <c r="B146" s="459" t="s">
        <v>379</v>
      </c>
      <c r="C146" s="459" t="s">
        <v>377</v>
      </c>
      <c r="D146" s="457">
        <v>272</v>
      </c>
      <c r="E146" s="457">
        <v>424</v>
      </c>
      <c r="F146" s="457">
        <f t="shared" si="9"/>
        <v>424</v>
      </c>
      <c r="G146" s="457"/>
      <c r="H146" s="457"/>
      <c r="I146" s="457"/>
      <c r="J146" s="457"/>
      <c r="K146" s="458"/>
      <c r="L146" s="458" t="s">
        <v>2977</v>
      </c>
      <c r="M146" s="462">
        <f>IF($D$146="","",ROUND($D$146*mult_slim,0))</f>
        <v>272</v>
      </c>
      <c r="N146" s="462">
        <f>IF($E$146="","",ROUND($E$146*mult_slim,0))</f>
        <v>424</v>
      </c>
      <c r="O146" s="462">
        <f>IF($F$146="","",ROUND($F$146*mult_slim,0))</f>
        <v>424</v>
      </c>
      <c r="P146" s="462" t="str">
        <f>IF($G$146="","",ROUND($G$146*mult_slim,0))</f>
        <v/>
      </c>
      <c r="Q146" s="462" t="str">
        <f>IF($H$146="","",ROUND($H$146*mult_wood,0))</f>
        <v/>
      </c>
      <c r="R146" s="462" t="str">
        <f>IF($I$146="","",ROUND($I$146*mult_wood,0))</f>
        <v/>
      </c>
      <c r="S146" s="462" t="str">
        <f>IF($J$146="","",ROUND($J$146*mult_wood,0))</f>
        <v/>
      </c>
      <c r="T146" s="461">
        <f t="shared" si="10"/>
        <v>1</v>
      </c>
    </row>
    <row r="147" spans="1:20">
      <c r="A147" s="459" t="s">
        <v>380</v>
      </c>
      <c r="B147" s="459" t="s">
        <v>381</v>
      </c>
      <c r="C147" s="459" t="s">
        <v>377</v>
      </c>
      <c r="D147" s="457">
        <v>284.8</v>
      </c>
      <c r="E147" s="457">
        <v>457</v>
      </c>
      <c r="F147" s="457">
        <f t="shared" si="9"/>
        <v>457</v>
      </c>
      <c r="G147" s="457"/>
      <c r="H147" s="457"/>
      <c r="I147" s="457"/>
      <c r="J147" s="457"/>
      <c r="K147" s="458"/>
      <c r="L147" s="458" t="s">
        <v>2977</v>
      </c>
      <c r="M147" s="462">
        <f>IF($D$147="","",ROUND($D$147*mult_slim,0))</f>
        <v>285</v>
      </c>
      <c r="N147" s="462">
        <f>IF($E$147="","",ROUND($E$147*mult_slim,0))</f>
        <v>457</v>
      </c>
      <c r="O147" s="462">
        <f>IF($F$147="","",ROUND($F$147*mult_slim,0))</f>
        <v>457</v>
      </c>
      <c r="P147" s="462" t="str">
        <f>IF($G$147="","",ROUND($G$147*mult_slim,0))</f>
        <v/>
      </c>
      <c r="Q147" s="462" t="str">
        <f>IF($H$147="","",ROUND($H$147*mult_wood,0))</f>
        <v/>
      </c>
      <c r="R147" s="462" t="str">
        <f>IF($I$147="","",ROUND($I$147*mult_wood,0))</f>
        <v/>
      </c>
      <c r="S147" s="462" t="str">
        <f>IF($J$147="","",ROUND($J$147*mult_wood,0))</f>
        <v/>
      </c>
      <c r="T147" s="461">
        <f t="shared" si="10"/>
        <v>1</v>
      </c>
    </row>
    <row r="148" spans="1:20">
      <c r="A148" s="459" t="s">
        <v>382</v>
      </c>
      <c r="B148" s="459" t="s">
        <v>383</v>
      </c>
      <c r="C148" s="459" t="s">
        <v>377</v>
      </c>
      <c r="D148" s="457">
        <v>764.8</v>
      </c>
      <c r="E148" s="457">
        <v>1266</v>
      </c>
      <c r="F148" s="457">
        <f t="shared" si="9"/>
        <v>1266</v>
      </c>
      <c r="G148" s="457"/>
      <c r="H148" s="457"/>
      <c r="I148" s="457"/>
      <c r="J148" s="457"/>
      <c r="K148" s="458"/>
      <c r="L148" s="458" t="s">
        <v>2977</v>
      </c>
      <c r="M148" s="462">
        <f>IF($D$148="","",ROUND($D$148*mult_slim,0))</f>
        <v>765</v>
      </c>
      <c r="N148" s="462">
        <f>IF($E$148="","",ROUND($E$148*mult_slim,0))</f>
        <v>1266</v>
      </c>
      <c r="O148" s="462">
        <f>IF($F$148="","",ROUND($F$148*mult_slim,0))</f>
        <v>1266</v>
      </c>
      <c r="P148" s="462" t="str">
        <f>IF($G$148="","",ROUND($G$148*mult_slim,0))</f>
        <v/>
      </c>
      <c r="Q148" s="462" t="str">
        <f>IF($H$148="","",ROUND($H$148*mult_wood,0))</f>
        <v/>
      </c>
      <c r="R148" s="462" t="str">
        <f>IF($I$148="","",ROUND($I$148*mult_wood,0))</f>
        <v/>
      </c>
      <c r="S148" s="462" t="str">
        <f>IF($J$148="","",ROUND($J$148*mult_wood,0))</f>
        <v/>
      </c>
      <c r="T148" s="461">
        <f t="shared" si="10"/>
        <v>1</v>
      </c>
    </row>
    <row r="149" spans="1:20">
      <c r="A149" s="459" t="s">
        <v>367</v>
      </c>
      <c r="B149" s="459" t="s">
        <v>384</v>
      </c>
      <c r="C149" s="459" t="s">
        <v>377</v>
      </c>
      <c r="D149" s="457">
        <v>1536</v>
      </c>
      <c r="E149" s="457">
        <v>2898</v>
      </c>
      <c r="F149" s="457">
        <f t="shared" si="9"/>
        <v>2898</v>
      </c>
      <c r="G149" s="457"/>
      <c r="H149" s="457"/>
      <c r="I149" s="457"/>
      <c r="J149" s="457"/>
      <c r="K149" s="458"/>
      <c r="L149" s="458" t="s">
        <v>2977</v>
      </c>
      <c r="M149" s="462">
        <f>IF($D$149="","",ROUND($D$149*mult_slim,0))</f>
        <v>1536</v>
      </c>
      <c r="N149" s="462">
        <f>IF($E$149="","",ROUND($E$149*mult_slim,0))</f>
        <v>2898</v>
      </c>
      <c r="O149" s="462">
        <f>IF($F$149="","",ROUND($F$149*mult_slim,0))</f>
        <v>2898</v>
      </c>
      <c r="P149" s="462" t="str">
        <f>IF($G$149="","",ROUND($G$149*mult_slim,0))</f>
        <v/>
      </c>
      <c r="Q149" s="462" t="str">
        <f>IF($H$149="","",ROUND($H$149*mult_wood,0))</f>
        <v/>
      </c>
      <c r="R149" s="462" t="str">
        <f>IF($I$149="","",ROUND($I$149*mult_wood,0))</f>
        <v/>
      </c>
      <c r="S149" s="462" t="str">
        <f>IF($J$149="","",ROUND($J$149*mult_wood,0))</f>
        <v/>
      </c>
      <c r="T149" s="461">
        <f t="shared" si="10"/>
        <v>1</v>
      </c>
    </row>
    <row r="150" spans="1:20">
      <c r="A150" s="459" t="s">
        <v>385</v>
      </c>
      <c r="B150" s="459" t="s">
        <v>386</v>
      </c>
      <c r="C150" s="459" t="s">
        <v>377</v>
      </c>
      <c r="D150" s="457">
        <v>868.8</v>
      </c>
      <c r="E150" s="457">
        <v>1474</v>
      </c>
      <c r="F150" s="457">
        <f t="shared" si="9"/>
        <v>1474</v>
      </c>
      <c r="G150" s="457"/>
      <c r="H150" s="457"/>
      <c r="I150" s="457"/>
      <c r="J150" s="457"/>
      <c r="K150" s="458"/>
      <c r="L150" s="458" t="s">
        <v>2977</v>
      </c>
      <c r="M150" s="462">
        <f>IF($D$150="","",ROUND($D$150*mult_slim,0))</f>
        <v>869</v>
      </c>
      <c r="N150" s="462">
        <f>IF($E$150="","",ROUND($E$150*mult_slim,0))</f>
        <v>1474</v>
      </c>
      <c r="O150" s="462">
        <f>IF($F$150="","",ROUND($F$150*mult_slim,0))</f>
        <v>1474</v>
      </c>
      <c r="P150" s="462" t="str">
        <f>IF($G$150="","",ROUND($G$150*mult_slim,0))</f>
        <v/>
      </c>
      <c r="Q150" s="462" t="str">
        <f>IF($H$150="","",ROUND($H$150*mult_wood,0))</f>
        <v/>
      </c>
      <c r="R150" s="462" t="str">
        <f>IF($I$150="","",ROUND($I$150*mult_wood,0))</f>
        <v/>
      </c>
      <c r="S150" s="462" t="str">
        <f>IF($J$150="","",ROUND($J$150*mult_wood,0))</f>
        <v/>
      </c>
      <c r="T150" s="461">
        <f t="shared" si="10"/>
        <v>1</v>
      </c>
    </row>
    <row r="151" spans="1:20">
      <c r="A151" s="459" t="s">
        <v>387</v>
      </c>
      <c r="B151" s="459" t="s">
        <v>388</v>
      </c>
      <c r="C151" s="459" t="s">
        <v>377</v>
      </c>
      <c r="D151" s="457">
        <v>112</v>
      </c>
      <c r="E151" s="457">
        <v>185</v>
      </c>
      <c r="F151" s="457">
        <f t="shared" si="9"/>
        <v>185</v>
      </c>
      <c r="G151" s="457"/>
      <c r="H151" s="457"/>
      <c r="I151" s="457"/>
      <c r="J151" s="457"/>
      <c r="K151" s="458"/>
      <c r="L151" s="458" t="s">
        <v>2977</v>
      </c>
      <c r="M151" s="462">
        <f>IF($D$151="","",ROUND($D$151*mult_slim,0))</f>
        <v>112</v>
      </c>
      <c r="N151" s="462">
        <f>IF($E$151="","",ROUND($E$151*mult_slim,0))</f>
        <v>185</v>
      </c>
      <c r="O151" s="462">
        <f>IF($F$151="","",ROUND($F$151*mult_slim,0))</f>
        <v>185</v>
      </c>
      <c r="P151" s="462" t="str">
        <f>IF($G$151="","",ROUND($G$151*mult_slim,0))</f>
        <v/>
      </c>
      <c r="Q151" s="462" t="str">
        <f>IF($H$151="","",ROUND($H$151*mult_wood,0))</f>
        <v/>
      </c>
      <c r="R151" s="462" t="str">
        <f>IF($I$151="","",ROUND($I$151*mult_wood,0))</f>
        <v/>
      </c>
      <c r="S151" s="462" t="str">
        <f>IF($J$151="","",ROUND($J$151*mult_wood,0))</f>
        <v/>
      </c>
      <c r="T151" s="461">
        <f t="shared" si="10"/>
        <v>1</v>
      </c>
    </row>
    <row r="152" spans="1:20">
      <c r="A152" s="459" t="s">
        <v>389</v>
      </c>
      <c r="B152" s="459" t="s">
        <v>390</v>
      </c>
      <c r="C152" s="459" t="s">
        <v>377</v>
      </c>
      <c r="D152" s="457">
        <v>144</v>
      </c>
      <c r="E152" s="457">
        <v>233</v>
      </c>
      <c r="F152" s="457">
        <f t="shared" si="9"/>
        <v>233</v>
      </c>
      <c r="G152" s="457"/>
      <c r="H152" s="457"/>
      <c r="I152" s="457"/>
      <c r="J152" s="457"/>
      <c r="K152" s="458"/>
      <c r="L152" s="458" t="s">
        <v>2977</v>
      </c>
      <c r="M152" s="462">
        <f>IF($D$152="","",ROUND($D$152*mult_slim,0))</f>
        <v>144</v>
      </c>
      <c r="N152" s="462">
        <f>IF($E$152="","",ROUND($E$152*mult_slim,0))</f>
        <v>233</v>
      </c>
      <c r="O152" s="462">
        <f>IF($F$152="","",ROUND($F$152*mult_slim,0))</f>
        <v>233</v>
      </c>
      <c r="P152" s="462" t="str">
        <f>IF($G$152="","",ROUND($G$152*mult_slim,0))</f>
        <v/>
      </c>
      <c r="Q152" s="462" t="str">
        <f>IF($H$152="","",ROUND($H$152*mult_wood,0))</f>
        <v/>
      </c>
      <c r="R152" s="462" t="str">
        <f>IF($I$152="","",ROUND($I$152*mult_wood,0))</f>
        <v/>
      </c>
      <c r="S152" s="462" t="str">
        <f>IF($J$152="","",ROUND($J$152*mult_wood,0))</f>
        <v/>
      </c>
      <c r="T152" s="461">
        <f t="shared" si="10"/>
        <v>1</v>
      </c>
    </row>
    <row r="153" spans="1:20">
      <c r="A153" s="459" t="s">
        <v>391</v>
      </c>
      <c r="B153" s="459" t="s">
        <v>392</v>
      </c>
      <c r="C153" s="459" t="s">
        <v>377</v>
      </c>
      <c r="D153" s="457">
        <v>84.8</v>
      </c>
      <c r="E153" s="457">
        <v>128</v>
      </c>
      <c r="F153" s="457">
        <f t="shared" si="9"/>
        <v>128</v>
      </c>
      <c r="G153" s="457"/>
      <c r="H153" s="457"/>
      <c r="I153" s="457"/>
      <c r="J153" s="457"/>
      <c r="K153" s="458"/>
      <c r="L153" s="458" t="s">
        <v>2977</v>
      </c>
      <c r="M153" s="462">
        <f>IF($D$153="","",ROUND($D$153*mult_slim,0))</f>
        <v>85</v>
      </c>
      <c r="N153" s="462">
        <f>IF($E$153="","",ROUND($E$153*mult_slim,0))</f>
        <v>128</v>
      </c>
      <c r="O153" s="462">
        <f>IF($F$153="","",ROUND($F$153*mult_slim,0))</f>
        <v>128</v>
      </c>
      <c r="P153" s="462" t="str">
        <f>IF($G$153="","",ROUND($G$153*mult_slim,0))</f>
        <v/>
      </c>
      <c r="Q153" s="462" t="str">
        <f>IF($H$153="","",ROUND($H$153*mult_wood,0))</f>
        <v/>
      </c>
      <c r="R153" s="462" t="str">
        <f>IF($I$153="","",ROUND($I$153*mult_wood,0))</f>
        <v/>
      </c>
      <c r="S153" s="462" t="str">
        <f>IF($J$153="","",ROUND($J$153*mult_wood,0))</f>
        <v/>
      </c>
      <c r="T153" s="461">
        <f t="shared" si="10"/>
        <v>1</v>
      </c>
    </row>
    <row r="154" spans="1:20">
      <c r="A154" s="459" t="s">
        <v>393</v>
      </c>
      <c r="B154" s="459" t="s">
        <v>394</v>
      </c>
      <c r="C154" s="459" t="s">
        <v>377</v>
      </c>
      <c r="D154" s="457">
        <v>144</v>
      </c>
      <c r="E154" s="457">
        <v>227</v>
      </c>
      <c r="F154" s="457">
        <f t="shared" si="9"/>
        <v>227</v>
      </c>
      <c r="G154" s="457"/>
      <c r="H154" s="457"/>
      <c r="I154" s="457"/>
      <c r="J154" s="457"/>
      <c r="K154" s="458"/>
      <c r="L154" s="458" t="s">
        <v>2977</v>
      </c>
      <c r="M154" s="462">
        <f>IF($D$154="","",ROUND($D$154*mult_slim,0))</f>
        <v>144</v>
      </c>
      <c r="N154" s="462">
        <f>IF($E$154="","",ROUND($E$154*mult_slim,0))</f>
        <v>227</v>
      </c>
      <c r="O154" s="462">
        <f>IF($F$154="","",ROUND($F$154*mult_slim,0))</f>
        <v>227</v>
      </c>
      <c r="P154" s="462" t="str">
        <f>IF($G$154="","",ROUND($G$154*mult_slim,0))</f>
        <v/>
      </c>
      <c r="Q154" s="462" t="str">
        <f>IF($H$154="","",ROUND($H$154*mult_wood,0))</f>
        <v/>
      </c>
      <c r="R154" s="462" t="str">
        <f>IF($I$154="","",ROUND($I$154*mult_wood,0))</f>
        <v/>
      </c>
      <c r="S154" s="462" t="str">
        <f>IF($J$154="","",ROUND($J$154*mult_wood,0))</f>
        <v/>
      </c>
      <c r="T154" s="461">
        <f t="shared" si="10"/>
        <v>1</v>
      </c>
    </row>
    <row r="155" spans="1:20">
      <c r="A155" s="459" t="s">
        <v>367</v>
      </c>
      <c r="B155" s="459" t="s">
        <v>395</v>
      </c>
      <c r="C155" s="459" t="s">
        <v>377</v>
      </c>
      <c r="D155" s="457">
        <v>768</v>
      </c>
      <c r="E155" s="457">
        <v>966</v>
      </c>
      <c r="F155" s="457">
        <f t="shared" si="9"/>
        <v>966</v>
      </c>
      <c r="G155" s="457"/>
      <c r="H155" s="457"/>
      <c r="I155" s="457"/>
      <c r="J155" s="457"/>
      <c r="K155" s="458" t="s">
        <v>3115</v>
      </c>
      <c r="L155" s="458" t="s">
        <v>3117</v>
      </c>
      <c r="M155" s="462">
        <f>IF($D$155="","",ROUND($D$155*mult_slim,0))</f>
        <v>768</v>
      </c>
      <c r="N155" s="462">
        <f>IF($E$155="","",ROUND($E$155*mult_slim,0))</f>
        <v>966</v>
      </c>
      <c r="O155" s="462">
        <f>IF($F$155="","",ROUND($F$155*mult_slim,0))</f>
        <v>966</v>
      </c>
      <c r="P155" s="462" t="str">
        <f>IF($G$155="","",ROUND($G$155*mult_slim,0))</f>
        <v/>
      </c>
      <c r="Q155" s="462" t="str">
        <f>IF($H$155="","",ROUND($H$155*mult_wood,0))</f>
        <v/>
      </c>
      <c r="R155" s="462" t="str">
        <f>IF($I$155="","",ROUND($I$155*mult_wood,0))</f>
        <v/>
      </c>
      <c r="S155" s="462" t="str">
        <f>IF($J$155="","",ROUND($J$155*mult_wood,0))</f>
        <v/>
      </c>
      <c r="T155" s="461">
        <f t="shared" si="10"/>
        <v>1</v>
      </c>
    </row>
    <row r="156" spans="1:20">
      <c r="A156" s="119" t="s">
        <v>367</v>
      </c>
      <c r="B156" s="119" t="s">
        <v>396</v>
      </c>
      <c r="C156" s="119" t="s">
        <v>377</v>
      </c>
      <c r="D156" s="100">
        <v>432</v>
      </c>
      <c r="E156" s="100">
        <v>687</v>
      </c>
      <c r="F156" s="100">
        <f t="shared" si="9"/>
        <v>687</v>
      </c>
      <c r="G156" s="100"/>
      <c r="H156" s="100"/>
      <c r="I156" s="100"/>
      <c r="J156" s="100"/>
      <c r="K156" t="s">
        <v>3116</v>
      </c>
      <c r="L156" t="s">
        <v>2986</v>
      </c>
      <c r="M156" s="462">
        <f>IF($D$156="","",ROUND($D$156*mult_slim,0))</f>
        <v>432</v>
      </c>
      <c r="N156" s="462">
        <f>IF($E$156="","",ROUND($E$156*mult_slim,0))</f>
        <v>687</v>
      </c>
      <c r="O156" s="462">
        <f>IF($F$156="","",ROUND($F$156*mult_slim,0))</f>
        <v>687</v>
      </c>
      <c r="P156" s="462" t="str">
        <f>IF($G$156="","",ROUND($G$156*mult_slim,0))</f>
        <v/>
      </c>
      <c r="Q156" s="462" t="str">
        <f>IF($H$156="","",ROUND($H$156*mult_wood,0))</f>
        <v/>
      </c>
      <c r="R156" s="462" t="str">
        <f>IF($I$156="","",ROUND($I$156*mult_wood,0))</f>
        <v/>
      </c>
      <c r="S156" s="462" t="str">
        <f>IF($J$156="","",ROUND($J$156*mult_wood,0))</f>
        <v/>
      </c>
      <c r="T156" s="461">
        <f t="shared" si="10"/>
        <v>1</v>
      </c>
    </row>
    <row r="157" spans="1:20">
      <c r="A157" s="459" t="s">
        <v>367</v>
      </c>
      <c r="B157" s="459" t="s">
        <v>397</v>
      </c>
      <c r="C157" s="459" t="s">
        <v>377</v>
      </c>
      <c r="D157" s="457">
        <v>144</v>
      </c>
      <c r="E157" s="457">
        <v>123</v>
      </c>
      <c r="F157" s="457">
        <f t="shared" ref="F157:F187" si="11">E157</f>
        <v>123</v>
      </c>
      <c r="G157" s="457"/>
      <c r="H157" s="457"/>
      <c r="I157" s="457"/>
      <c r="J157" s="457"/>
      <c r="K157" s="458" t="s">
        <v>3115</v>
      </c>
      <c r="L157" s="458" t="s">
        <v>2977</v>
      </c>
      <c r="M157" s="462">
        <f>IF($D$157="","",ROUND($D$157*mult_slim,0))</f>
        <v>144</v>
      </c>
      <c r="N157" s="462">
        <f>IF($E$157="","",ROUND($E$157*mult_slim,0))</f>
        <v>123</v>
      </c>
      <c r="O157" s="462">
        <f>IF($F$157="","",ROUND($F$157*mult_slim,0))</f>
        <v>123</v>
      </c>
      <c r="P157" s="462" t="str">
        <f>IF($G$157="","",ROUND($G$157*mult_slim,0))</f>
        <v/>
      </c>
      <c r="Q157" s="462" t="str">
        <f>IF($H$157="","",ROUND($H$157*mult_wood,0))</f>
        <v/>
      </c>
      <c r="R157" s="462" t="str">
        <f>IF($I$157="","",ROUND($I$157*mult_wood,0))</f>
        <v/>
      </c>
      <c r="S157" s="462" t="str">
        <f>IF($J$157="","",ROUND($J$157*mult_wood,0))</f>
        <v/>
      </c>
      <c r="T157" s="461">
        <f t="shared" si="10"/>
        <v>1</v>
      </c>
    </row>
    <row r="158" spans="1:20">
      <c r="A158" s="459" t="s">
        <v>367</v>
      </c>
      <c r="B158" s="459" t="s">
        <v>398</v>
      </c>
      <c r="C158" s="459" t="s">
        <v>377</v>
      </c>
      <c r="D158" s="457">
        <v>240</v>
      </c>
      <c r="E158" s="457">
        <v>454</v>
      </c>
      <c r="F158" s="457">
        <f t="shared" si="11"/>
        <v>454</v>
      </c>
      <c r="G158" s="457"/>
      <c r="H158" s="457"/>
      <c r="I158" s="457"/>
      <c r="J158" s="457"/>
      <c r="K158" s="458" t="s">
        <v>3115</v>
      </c>
      <c r="L158" s="458" t="s">
        <v>2977</v>
      </c>
      <c r="M158" s="462">
        <f>IF($D$158="","",ROUND($D$158*mult_slim,0))</f>
        <v>240</v>
      </c>
      <c r="N158" s="462">
        <f>IF($E$158="","",ROUND($E$158*mult_slim,0))</f>
        <v>454</v>
      </c>
      <c r="O158" s="462">
        <f>IF($F$158="","",ROUND($F$158*mult_slim,0))</f>
        <v>454</v>
      </c>
      <c r="P158" s="462" t="str">
        <f>IF($G$158="","",ROUND($G$158*mult_slim,0))</f>
        <v/>
      </c>
      <c r="Q158" s="462" t="str">
        <f>IF($H$158="","",ROUND($H$158*mult_wood,0))</f>
        <v/>
      </c>
      <c r="R158" s="462" t="str">
        <f>IF($I$158="","",ROUND($I$158*mult_wood,0))</f>
        <v/>
      </c>
      <c r="S158" s="462" t="str">
        <f>IF($J$158="","",ROUND($J$158*mult_wood,0))</f>
        <v/>
      </c>
      <c r="T158" s="461">
        <f t="shared" si="10"/>
        <v>1</v>
      </c>
    </row>
    <row r="159" spans="1:20">
      <c r="A159" s="459" t="s">
        <v>367</v>
      </c>
      <c r="B159" s="459" t="s">
        <v>399</v>
      </c>
      <c r="C159" s="459" t="s">
        <v>377</v>
      </c>
      <c r="D159" s="457">
        <v>720</v>
      </c>
      <c r="E159" s="457">
        <v>779</v>
      </c>
      <c r="F159" s="457">
        <f t="shared" si="11"/>
        <v>779</v>
      </c>
      <c r="G159" s="457"/>
      <c r="H159" s="457"/>
      <c r="I159" s="457"/>
      <c r="J159" s="457"/>
      <c r="K159" s="458" t="s">
        <v>3115</v>
      </c>
      <c r="L159" s="458" t="s">
        <v>3118</v>
      </c>
      <c r="M159" s="462">
        <f>IF($D$159="","",ROUND($D$159*mult_slim,0))</f>
        <v>720</v>
      </c>
      <c r="N159" s="462">
        <f>IF($E$159="","",ROUND($E$159*mult_slim,0))</f>
        <v>779</v>
      </c>
      <c r="O159" s="462">
        <f>IF($F$159="","",ROUND($F$159*mult_slim,0))</f>
        <v>779</v>
      </c>
      <c r="P159" s="462" t="str">
        <f>IF($G$159="","",ROUND($G$159*mult_slim,0))</f>
        <v/>
      </c>
      <c r="Q159" s="462" t="str">
        <f>IF($H$159="","",ROUND($H$159*mult_wood,0))</f>
        <v/>
      </c>
      <c r="R159" s="462" t="str">
        <f>IF($I$159="","",ROUND($I$159*mult_wood,0))</f>
        <v/>
      </c>
      <c r="S159" s="462" t="str">
        <f>IF($J$159="","",ROUND($J$159*mult_wood,0))</f>
        <v/>
      </c>
      <c r="T159" s="461">
        <f t="shared" si="10"/>
        <v>1</v>
      </c>
    </row>
    <row r="160" spans="1:20">
      <c r="A160" s="262" t="s">
        <v>400</v>
      </c>
      <c r="D160" s="389"/>
      <c r="E160" s="389"/>
      <c r="F160" s="100">
        <f t="shared" si="11"/>
        <v>0</v>
      </c>
      <c r="G160" s="389"/>
      <c r="H160" s="389"/>
      <c r="I160" s="389"/>
      <c r="J160" s="389"/>
      <c r="M160" s="462"/>
      <c r="N160" s="462"/>
      <c r="O160" s="462"/>
      <c r="P160" s="462"/>
      <c r="Q160" s="462"/>
      <c r="R160" s="462"/>
      <c r="S160" s="462"/>
      <c r="T160" s="411"/>
    </row>
    <row r="161" spans="1:20">
      <c r="A161" s="459" t="s">
        <v>367</v>
      </c>
      <c r="B161" s="459" t="s">
        <v>399</v>
      </c>
      <c r="C161" s="459" t="s">
        <v>401</v>
      </c>
      <c r="D161" s="457">
        <v>693</v>
      </c>
      <c r="E161" s="457">
        <v>981</v>
      </c>
      <c r="F161" s="457">
        <f t="shared" si="11"/>
        <v>981</v>
      </c>
      <c r="G161" s="457"/>
      <c r="H161" s="457"/>
      <c r="I161" s="457"/>
      <c r="J161" s="457"/>
      <c r="K161" s="458"/>
      <c r="L161" s="458" t="s">
        <v>2977</v>
      </c>
      <c r="M161" s="462">
        <f>IF($D$161="","",ROUND($D$161*mult_velora,0))</f>
        <v>693</v>
      </c>
      <c r="N161" s="462">
        <f>IF($E$161="","",ROUND($E$161*mult_velora,0))</f>
        <v>981</v>
      </c>
      <c r="O161" s="462">
        <f>IF($F$161="","",ROUND($F$161*mult_velora,0))</f>
        <v>981</v>
      </c>
      <c r="P161" s="462" t="str">
        <f>IF($G$161="","",ROUND($G$161*mult_velora,0))</f>
        <v/>
      </c>
      <c r="Q161" s="462" t="str">
        <f>IF($H$161="","",ROUND($H$161*mult_wood,0))</f>
        <v/>
      </c>
      <c r="R161" s="462" t="str">
        <f>IF($I$161="","",ROUND($I$161*mult_wood,0))</f>
        <v/>
      </c>
      <c r="S161" s="462" t="str">
        <f>IF($J$161="","",ROUND($J$161*mult_wood,0))</f>
        <v/>
      </c>
      <c r="T161" s="461">
        <f>mult_velora</f>
        <v>1</v>
      </c>
    </row>
    <row r="162" spans="1:20">
      <c r="A162" s="459" t="s">
        <v>367</v>
      </c>
      <c r="B162" s="459" t="s">
        <v>395</v>
      </c>
      <c r="C162" s="459" t="s">
        <v>401</v>
      </c>
      <c r="D162" s="457">
        <v>858</v>
      </c>
      <c r="E162" s="457">
        <v>1216</v>
      </c>
      <c r="F162" s="457">
        <f t="shared" si="11"/>
        <v>1216</v>
      </c>
      <c r="G162" s="457"/>
      <c r="H162" s="457"/>
      <c r="I162" s="457"/>
      <c r="J162" s="457"/>
      <c r="K162" s="458"/>
      <c r="L162" s="458" t="s">
        <v>2977</v>
      </c>
      <c r="M162" s="462">
        <f>IF($D$162="","",ROUND($D$162*mult_velora,0))</f>
        <v>858</v>
      </c>
      <c r="N162" s="462">
        <f>IF($E$162="","",ROUND($E$162*mult_velora,0))</f>
        <v>1216</v>
      </c>
      <c r="O162" s="462">
        <f>IF($F$162="","",ROUND($F$162*mult_velora,0))</f>
        <v>1216</v>
      </c>
      <c r="P162" s="462" t="str">
        <f>IF($G$162="","",ROUND($G$162*mult_velora,0))</f>
        <v/>
      </c>
      <c r="Q162" s="462" t="str">
        <f>IF($H$162="","",ROUND($H$162*mult_wood,0))</f>
        <v/>
      </c>
      <c r="R162" s="462" t="str">
        <f>IF($I$162="","",ROUND($I$162*mult_wood,0))</f>
        <v/>
      </c>
      <c r="S162" s="462" t="str">
        <f>IF($J$162="","",ROUND($J$162*mult_wood,0))</f>
        <v/>
      </c>
      <c r="T162" s="461">
        <f>mult_velora</f>
        <v>1</v>
      </c>
    </row>
    <row r="163" spans="1:20">
      <c r="A163" s="262" t="s">
        <v>402</v>
      </c>
      <c r="D163" s="389"/>
      <c r="E163" s="389"/>
      <c r="F163" s="100">
        <f t="shared" si="11"/>
        <v>0</v>
      </c>
      <c r="G163" s="389"/>
      <c r="H163" s="389"/>
      <c r="I163" s="389"/>
      <c r="J163" s="389"/>
      <c r="M163" s="462"/>
      <c r="N163" s="462"/>
      <c r="O163" s="462"/>
      <c r="P163" s="462"/>
      <c r="Q163" s="462"/>
      <c r="R163" s="462"/>
      <c r="S163" s="462"/>
      <c r="T163" s="411"/>
    </row>
    <row r="164" spans="1:20">
      <c r="A164" s="459" t="s">
        <v>403</v>
      </c>
      <c r="B164" s="459" t="s">
        <v>367</v>
      </c>
      <c r="C164" s="459" t="s">
        <v>404</v>
      </c>
      <c r="D164" s="457">
        <v>2235</v>
      </c>
      <c r="E164" s="457">
        <v>1999</v>
      </c>
      <c r="F164" s="457">
        <f t="shared" si="11"/>
        <v>1999</v>
      </c>
      <c r="G164" s="457"/>
      <c r="H164" s="457"/>
      <c r="I164" s="457"/>
      <c r="J164" s="457"/>
      <c r="K164" s="458"/>
      <c r="L164" s="458" t="s">
        <v>2977</v>
      </c>
      <c r="M164" s="462">
        <f>IF($D$164="","",ROUND($D$164*mult_sms,0))</f>
        <v>2235</v>
      </c>
      <c r="N164" s="462">
        <f>IF($E$164="","",ROUND($E$164*mult_sms,0))</f>
        <v>1999</v>
      </c>
      <c r="O164" s="462">
        <f>IF($F$164="","",ROUND($F$164*mult_sms,0))</f>
        <v>1999</v>
      </c>
      <c r="P164" s="462" t="str">
        <f>IF($G$164="","",ROUND($G$164*mult_sms,0))</f>
        <v/>
      </c>
      <c r="Q164" s="462" t="str">
        <f>IF($H$164="","",ROUND($H$164*mult_wood,0))</f>
        <v/>
      </c>
      <c r="R164" s="462" t="str">
        <f>IF($I$164="","",ROUND($I$164*mult_wood,0))</f>
        <v/>
      </c>
      <c r="S164" s="462" t="str">
        <f>IF($J$164="","",ROUND($J$164*mult_wood,0))</f>
        <v/>
      </c>
      <c r="T164" s="461">
        <f t="shared" ref="T164:T185" si="12">mult_sms</f>
        <v>1</v>
      </c>
    </row>
    <row r="165" spans="1:20">
      <c r="A165" s="459" t="s">
        <v>405</v>
      </c>
      <c r="B165" s="459" t="s">
        <v>367</v>
      </c>
      <c r="C165" s="459" t="s">
        <v>404</v>
      </c>
      <c r="D165" s="457">
        <v>270</v>
      </c>
      <c r="E165" s="457">
        <v>241</v>
      </c>
      <c r="F165" s="457">
        <f t="shared" si="11"/>
        <v>241</v>
      </c>
      <c r="G165" s="457"/>
      <c r="H165" s="457"/>
      <c r="I165" s="457"/>
      <c r="J165" s="457"/>
      <c r="K165" s="458"/>
      <c r="L165" s="458" t="s">
        <v>2977</v>
      </c>
      <c r="M165" s="462">
        <f>IF($D$165="","",ROUND($D$165*mult_sms,0))</f>
        <v>270</v>
      </c>
      <c r="N165" s="462">
        <f>IF($E$165="","",ROUND($E$165*mult_sms,0))</f>
        <v>241</v>
      </c>
      <c r="O165" s="462">
        <f>IF($F$165="","",ROUND($F$165*mult_sms,0))</f>
        <v>241</v>
      </c>
      <c r="P165" s="462" t="str">
        <f>IF($G$165="","",ROUND($G$165*mult_sms,0))</f>
        <v/>
      </c>
      <c r="Q165" s="462" t="str">
        <f>IF($H$165="","",ROUND($H$165*mult_wood,0))</f>
        <v/>
      </c>
      <c r="R165" s="462" t="str">
        <f>IF($I$165="","",ROUND($I$165*mult_wood,0))</f>
        <v/>
      </c>
      <c r="S165" s="462" t="str">
        <f>IF($J$165="","",ROUND($J$165*mult_wood,0))</f>
        <v/>
      </c>
      <c r="T165" s="461">
        <f t="shared" si="12"/>
        <v>1</v>
      </c>
    </row>
    <row r="166" spans="1:20">
      <c r="A166" s="459" t="s">
        <v>406</v>
      </c>
      <c r="B166" s="459" t="s">
        <v>367</v>
      </c>
      <c r="C166" s="459" t="s">
        <v>404</v>
      </c>
      <c r="D166" s="457">
        <v>1237</v>
      </c>
      <c r="E166" s="457">
        <v>1924</v>
      </c>
      <c r="F166" s="457">
        <f t="shared" si="11"/>
        <v>1924</v>
      </c>
      <c r="G166" s="457"/>
      <c r="H166" s="457"/>
      <c r="I166" s="457"/>
      <c r="J166" s="457"/>
      <c r="K166" s="458"/>
      <c r="L166" s="458" t="s">
        <v>2977</v>
      </c>
      <c r="M166" s="462">
        <f>IF($D$166="","",ROUND($D$166*mult_sms,0))</f>
        <v>1237</v>
      </c>
      <c r="N166" s="462">
        <f>IF($E$166="","",ROUND($E$166*mult_sms,0))</f>
        <v>1924</v>
      </c>
      <c r="O166" s="462">
        <f>IF($F$166="","",ROUND($F$166*mult_sms,0))</f>
        <v>1924</v>
      </c>
      <c r="P166" s="462" t="str">
        <f>IF($G$166="","",ROUND($G$166*mult_sms,0))</f>
        <v/>
      </c>
      <c r="Q166" s="462" t="str">
        <f>IF($H$166="","",ROUND($H$166*mult_wood,0))</f>
        <v/>
      </c>
      <c r="R166" s="462" t="str">
        <f>IF($I$166="","",ROUND($I$166*mult_wood,0))</f>
        <v/>
      </c>
      <c r="S166" s="462" t="str">
        <f>IF($J$166="","",ROUND($J$166*mult_wood,0))</f>
        <v/>
      </c>
      <c r="T166" s="461">
        <f t="shared" si="12"/>
        <v>1</v>
      </c>
    </row>
    <row r="167" spans="1:20">
      <c r="A167" s="459" t="s">
        <v>407</v>
      </c>
      <c r="B167" s="459" t="s">
        <v>367</v>
      </c>
      <c r="C167" s="459" t="s">
        <v>404</v>
      </c>
      <c r="D167" s="457">
        <v>450</v>
      </c>
      <c r="E167" s="457">
        <v>400</v>
      </c>
      <c r="F167" s="457">
        <f t="shared" si="11"/>
        <v>400</v>
      </c>
      <c r="G167" s="457"/>
      <c r="H167" s="457"/>
      <c r="I167" s="457"/>
      <c r="J167" s="457"/>
      <c r="K167" s="458"/>
      <c r="L167" s="458" t="s">
        <v>2977</v>
      </c>
      <c r="M167" s="462">
        <f>IF($D$167="","",ROUND($D$167*mult_sms,0))</f>
        <v>450</v>
      </c>
      <c r="N167" s="462">
        <f>IF($E$167="","",ROUND($E$167*mult_sms,0))</f>
        <v>400</v>
      </c>
      <c r="O167" s="462">
        <f>IF($F$167="","",ROUND($F$167*mult_sms,0))</f>
        <v>400</v>
      </c>
      <c r="P167" s="462" t="str">
        <f>IF($G$167="","",ROUND($G$167*mult_sms,0))</f>
        <v/>
      </c>
      <c r="Q167" s="462" t="str">
        <f>IF($H$167="","",ROUND($H$167*mult_wood,0))</f>
        <v/>
      </c>
      <c r="R167" s="462" t="str">
        <f>IF($I$167="","",ROUND($I$167*mult_wood,0))</f>
        <v/>
      </c>
      <c r="S167" s="462" t="str">
        <f>IF($J$167="","",ROUND($J$167*mult_wood,0))</f>
        <v/>
      </c>
      <c r="T167" s="461">
        <f t="shared" si="12"/>
        <v>1</v>
      </c>
    </row>
    <row r="168" spans="1:20">
      <c r="A168" s="459" t="s">
        <v>408</v>
      </c>
      <c r="B168" s="459" t="s">
        <v>367</v>
      </c>
      <c r="C168" s="459" t="s">
        <v>404</v>
      </c>
      <c r="D168" s="457">
        <v>1051</v>
      </c>
      <c r="E168" s="457">
        <v>1635</v>
      </c>
      <c r="F168" s="457">
        <f t="shared" si="11"/>
        <v>1635</v>
      </c>
      <c r="G168" s="457"/>
      <c r="H168" s="457"/>
      <c r="I168" s="457"/>
      <c r="J168" s="457"/>
      <c r="K168" s="458"/>
      <c r="L168" s="458" t="s">
        <v>2977</v>
      </c>
      <c r="M168" s="462">
        <f>IF($D$168="","",ROUND($D$168*mult_sms,0))</f>
        <v>1051</v>
      </c>
      <c r="N168" s="462">
        <f>IF($E$168="","",ROUND($E$168*mult_sms,0))</f>
        <v>1635</v>
      </c>
      <c r="O168" s="462">
        <f>IF($F$168="","",ROUND($F$168*mult_sms,0))</f>
        <v>1635</v>
      </c>
      <c r="P168" s="462" t="str">
        <f>IF($G$168="","",ROUND($G$168*mult_sms,0))</f>
        <v/>
      </c>
      <c r="Q168" s="462" t="str">
        <f>IF($H$168="","",ROUND($H$168*mult_wood,0))</f>
        <v/>
      </c>
      <c r="R168" s="462" t="str">
        <f>IF($I$168="","",ROUND($I$168*mult_wood,0))</f>
        <v/>
      </c>
      <c r="S168" s="462" t="str">
        <f>IF($J$168="","",ROUND($J$168*mult_wood,0))</f>
        <v/>
      </c>
      <c r="T168" s="461">
        <f t="shared" si="12"/>
        <v>1</v>
      </c>
    </row>
    <row r="169" spans="1:20">
      <c r="A169" s="459" t="s">
        <v>409</v>
      </c>
      <c r="B169" s="459" t="s">
        <v>367</v>
      </c>
      <c r="C169" s="459" t="s">
        <v>404</v>
      </c>
      <c r="D169" s="457">
        <v>1175</v>
      </c>
      <c r="E169" s="457">
        <v>1828</v>
      </c>
      <c r="F169" s="457">
        <f t="shared" si="11"/>
        <v>1828</v>
      </c>
      <c r="G169" s="457"/>
      <c r="H169" s="457"/>
      <c r="I169" s="457"/>
      <c r="J169" s="457"/>
      <c r="K169" s="458"/>
      <c r="L169" s="458" t="s">
        <v>2977</v>
      </c>
      <c r="M169" s="462">
        <f>IF($D$169="","",ROUND($D$169*mult_sms,0))</f>
        <v>1175</v>
      </c>
      <c r="N169" s="462">
        <f>IF($E$169="","",ROUND($E$169*mult_sms,0))</f>
        <v>1828</v>
      </c>
      <c r="O169" s="462">
        <f>IF($F$169="","",ROUND($F$169*mult_sms,0))</f>
        <v>1828</v>
      </c>
      <c r="P169" s="462" t="str">
        <f>IF($G$169="","",ROUND($G$169*mult_sms,0))</f>
        <v/>
      </c>
      <c r="Q169" s="462" t="str">
        <f>IF($H$169="","",ROUND($H$169*mult_wood,0))</f>
        <v/>
      </c>
      <c r="R169" s="462" t="str">
        <f>IF($I$169="","",ROUND($I$169*mult_wood,0))</f>
        <v/>
      </c>
      <c r="S169" s="462" t="str">
        <f>IF($J$169="","",ROUND($J$169*mult_wood,0))</f>
        <v/>
      </c>
      <c r="T169" s="461">
        <f t="shared" si="12"/>
        <v>1</v>
      </c>
    </row>
    <row r="170" spans="1:20">
      <c r="A170" s="459" t="s">
        <v>410</v>
      </c>
      <c r="B170" s="459" t="s">
        <v>367</v>
      </c>
      <c r="C170" s="459" t="s">
        <v>404</v>
      </c>
      <c r="D170" s="457">
        <v>1995</v>
      </c>
      <c r="E170" s="457">
        <v>1781</v>
      </c>
      <c r="F170" s="457">
        <f t="shared" si="11"/>
        <v>1781</v>
      </c>
      <c r="G170" s="457"/>
      <c r="H170" s="457"/>
      <c r="I170" s="457"/>
      <c r="J170" s="457"/>
      <c r="K170" s="458"/>
      <c r="L170" s="458" t="s">
        <v>2977</v>
      </c>
      <c r="M170" s="462">
        <f>IF($D$170="","",ROUND($D$170*mult_sms,0))</f>
        <v>1995</v>
      </c>
      <c r="N170" s="462">
        <f>IF($E$170="","",ROUND($E$170*mult_sms,0))</f>
        <v>1781</v>
      </c>
      <c r="O170" s="462">
        <f>IF($F$170="","",ROUND($F$170*mult_sms,0))</f>
        <v>1781</v>
      </c>
      <c r="P170" s="462" t="str">
        <f>IF($G$170="","",ROUND($G$170*mult_sms,0))</f>
        <v/>
      </c>
      <c r="Q170" s="462" t="str">
        <f>IF($H$170="","",ROUND($H$170*mult_wood,0))</f>
        <v/>
      </c>
      <c r="R170" s="462" t="str">
        <f>IF($I$170="","",ROUND($I$170*mult_wood,0))</f>
        <v/>
      </c>
      <c r="S170" s="462" t="str">
        <f>IF($J$170="","",ROUND($J$170*mult_wood,0))</f>
        <v/>
      </c>
      <c r="T170" s="461">
        <f t="shared" si="12"/>
        <v>1</v>
      </c>
    </row>
    <row r="171" spans="1:20">
      <c r="A171" s="459" t="s">
        <v>411</v>
      </c>
      <c r="B171" s="459" t="s">
        <v>367</v>
      </c>
      <c r="C171" s="459" t="s">
        <v>404</v>
      </c>
      <c r="D171" s="457">
        <v>952</v>
      </c>
      <c r="E171" s="457">
        <v>1481</v>
      </c>
      <c r="F171" s="457">
        <f t="shared" si="11"/>
        <v>1481</v>
      </c>
      <c r="G171" s="457"/>
      <c r="H171" s="457"/>
      <c r="I171" s="457"/>
      <c r="J171" s="457"/>
      <c r="K171" s="458"/>
      <c r="L171" s="458" t="s">
        <v>2977</v>
      </c>
      <c r="M171" s="462">
        <f>IF($D$171="","",ROUND($D$171*mult_sms,0))</f>
        <v>952</v>
      </c>
      <c r="N171" s="462">
        <f>IF($E$171="","",ROUND($E$171*mult_sms,0))</f>
        <v>1481</v>
      </c>
      <c r="O171" s="462">
        <f>IF($F$171="","",ROUND($F$171*mult_sms,0))</f>
        <v>1481</v>
      </c>
      <c r="P171" s="462" t="str">
        <f>IF($G$171="","",ROUND($G$171*mult_sms,0))</f>
        <v/>
      </c>
      <c r="Q171" s="462" t="str">
        <f>IF($H$171="","",ROUND($H$171*mult_wood,0))</f>
        <v/>
      </c>
      <c r="R171" s="462" t="str">
        <f>IF($I$171="","",ROUND($I$171*mult_wood,0))</f>
        <v/>
      </c>
      <c r="S171" s="462" t="str">
        <f>IF($J$171="","",ROUND($J$171*mult_wood,0))</f>
        <v/>
      </c>
      <c r="T171" s="461">
        <f t="shared" si="12"/>
        <v>1</v>
      </c>
    </row>
    <row r="172" spans="1:20">
      <c r="A172" s="459" t="s">
        <v>412</v>
      </c>
      <c r="B172" s="459" t="s">
        <v>367</v>
      </c>
      <c r="C172" s="459" t="s">
        <v>404</v>
      </c>
      <c r="D172" s="457">
        <v>1690</v>
      </c>
      <c r="E172" s="457">
        <v>2629</v>
      </c>
      <c r="F172" s="457">
        <f t="shared" si="11"/>
        <v>2629</v>
      </c>
      <c r="G172" s="457"/>
      <c r="H172" s="457"/>
      <c r="I172" s="457"/>
      <c r="J172" s="457"/>
      <c r="K172" s="458"/>
      <c r="L172" s="458" t="s">
        <v>2977</v>
      </c>
      <c r="M172" s="462">
        <f>IF($D$172="","",ROUND($D$172*mult_sms,0))</f>
        <v>1690</v>
      </c>
      <c r="N172" s="462">
        <f>IF($E$172="","",ROUND($E$172*mult_sms,0))</f>
        <v>2629</v>
      </c>
      <c r="O172" s="462">
        <f>IF($F$172="","",ROUND($F$172*mult_sms,0))</f>
        <v>2629</v>
      </c>
      <c r="P172" s="462" t="str">
        <f>IF($G$172="","",ROUND($G$172*mult_sms,0))</f>
        <v/>
      </c>
      <c r="Q172" s="462" t="str">
        <f>IF($H$172="","",ROUND($H$172*mult_wood,0))</f>
        <v/>
      </c>
      <c r="R172" s="462" t="str">
        <f>IF($I$172="","",ROUND($I$172*mult_wood,0))</f>
        <v/>
      </c>
      <c r="S172" s="462" t="str">
        <f>IF($J$172="","",ROUND($J$172*mult_wood,0))</f>
        <v/>
      </c>
      <c r="T172" s="461">
        <f t="shared" si="12"/>
        <v>1</v>
      </c>
    </row>
    <row r="173" spans="1:20">
      <c r="A173" s="459" t="s">
        <v>413</v>
      </c>
      <c r="B173" s="459" t="s">
        <v>367</v>
      </c>
      <c r="C173" s="459" t="s">
        <v>404</v>
      </c>
      <c r="D173" s="457">
        <v>1051</v>
      </c>
      <c r="E173" s="457">
        <v>1635</v>
      </c>
      <c r="F173" s="457">
        <f t="shared" si="11"/>
        <v>1635</v>
      </c>
      <c r="G173" s="457"/>
      <c r="H173" s="457"/>
      <c r="I173" s="457"/>
      <c r="J173" s="457"/>
      <c r="K173" s="458"/>
      <c r="L173" s="458" t="s">
        <v>2977</v>
      </c>
      <c r="M173" s="462">
        <f>IF($D$173="","",ROUND($D$173*mult_sms,0))</f>
        <v>1051</v>
      </c>
      <c r="N173" s="462">
        <f>IF($E$173="","",ROUND($E$173*mult_sms,0))</f>
        <v>1635</v>
      </c>
      <c r="O173" s="462">
        <f>IF($F$173="","",ROUND($F$173*mult_sms,0))</f>
        <v>1635</v>
      </c>
      <c r="P173" s="462" t="str">
        <f>IF($G$173="","",ROUND($G$173*mult_sms,0))</f>
        <v/>
      </c>
      <c r="Q173" s="462" t="str">
        <f>IF($H$173="","",ROUND($H$173*mult_wood,0))</f>
        <v/>
      </c>
      <c r="R173" s="462" t="str">
        <f>IF($I$173="","",ROUND($I$173*mult_wood,0))</f>
        <v/>
      </c>
      <c r="S173" s="462" t="str">
        <f>IF($J$173="","",ROUND($J$173*mult_wood,0))</f>
        <v/>
      </c>
      <c r="T173" s="461">
        <f t="shared" si="12"/>
        <v>1</v>
      </c>
    </row>
    <row r="174" spans="1:20">
      <c r="A174" s="459" t="s">
        <v>414</v>
      </c>
      <c r="B174" s="459" t="s">
        <v>367</v>
      </c>
      <c r="C174" s="459" t="s">
        <v>404</v>
      </c>
      <c r="D174" s="457">
        <v>1166</v>
      </c>
      <c r="E174" s="457">
        <v>1814</v>
      </c>
      <c r="F174" s="457">
        <f t="shared" si="11"/>
        <v>1814</v>
      </c>
      <c r="G174" s="457"/>
      <c r="H174" s="457"/>
      <c r="I174" s="457"/>
      <c r="J174" s="457"/>
      <c r="K174" s="458"/>
      <c r="L174" s="458" t="s">
        <v>2977</v>
      </c>
      <c r="M174" s="462">
        <f>IF($D$174="","",ROUND($D$174*mult_sms,0))</f>
        <v>1166</v>
      </c>
      <c r="N174" s="462">
        <f>IF($E$174="","",ROUND($E$174*mult_sms,0))</f>
        <v>1814</v>
      </c>
      <c r="O174" s="462">
        <f>IF($F$174="","",ROUND($F$174*mult_sms,0))</f>
        <v>1814</v>
      </c>
      <c r="P174" s="462" t="str">
        <f>IF($G$174="","",ROUND($G$174*mult_sms,0))</f>
        <v/>
      </c>
      <c r="Q174" s="462" t="str">
        <f>IF($H$174="","",ROUND($H$174*mult_wood,0))</f>
        <v/>
      </c>
      <c r="R174" s="462" t="str">
        <f>IF($I$174="","",ROUND($I$174*mult_wood,0))</f>
        <v/>
      </c>
      <c r="S174" s="462" t="str">
        <f>IF($J$174="","",ROUND($J$174*mult_wood,0))</f>
        <v/>
      </c>
      <c r="T174" s="461">
        <f t="shared" si="12"/>
        <v>1</v>
      </c>
    </row>
    <row r="175" spans="1:20">
      <c r="A175" s="459" t="s">
        <v>415</v>
      </c>
      <c r="B175" s="459" t="s">
        <v>367</v>
      </c>
      <c r="C175" s="459" t="s">
        <v>404</v>
      </c>
      <c r="D175" s="457">
        <v>1080</v>
      </c>
      <c r="E175" s="457">
        <v>960</v>
      </c>
      <c r="F175" s="457">
        <f t="shared" si="11"/>
        <v>960</v>
      </c>
      <c r="G175" s="457"/>
      <c r="H175" s="457"/>
      <c r="I175" s="457"/>
      <c r="J175" s="457"/>
      <c r="K175" s="458"/>
      <c r="L175" s="458" t="s">
        <v>2977</v>
      </c>
      <c r="M175" s="462">
        <f>IF($D$175="","",ROUND($D$175*mult_sms,0))</f>
        <v>1080</v>
      </c>
      <c r="N175" s="462">
        <f>IF($E$175="","",ROUND($E$175*mult_sms,0))</f>
        <v>960</v>
      </c>
      <c r="O175" s="462">
        <f>IF($F$175="","",ROUND($F$175*mult_sms,0))</f>
        <v>960</v>
      </c>
      <c r="P175" s="462" t="str">
        <f>IF($G$175="","",ROUND($G$175*mult_sms,0))</f>
        <v/>
      </c>
      <c r="Q175" s="462" t="str">
        <f>IF($H$175="","",ROUND($H$175*mult_wood,0))</f>
        <v/>
      </c>
      <c r="R175" s="462" t="str">
        <f>IF($I$175="","",ROUND($I$175*mult_wood,0))</f>
        <v/>
      </c>
      <c r="S175" s="462" t="str">
        <f>IF($J$175="","",ROUND($J$175*mult_wood,0))</f>
        <v/>
      </c>
      <c r="T175" s="461">
        <f t="shared" si="12"/>
        <v>1</v>
      </c>
    </row>
    <row r="176" spans="1:20">
      <c r="A176" s="459" t="s">
        <v>416</v>
      </c>
      <c r="B176" s="459" t="s">
        <v>367</v>
      </c>
      <c r="C176" s="459" t="s">
        <v>404</v>
      </c>
      <c r="D176" s="457">
        <v>1072</v>
      </c>
      <c r="E176" s="457">
        <v>958</v>
      </c>
      <c r="F176" s="457">
        <f t="shared" si="11"/>
        <v>958</v>
      </c>
      <c r="G176" s="457"/>
      <c r="H176" s="457"/>
      <c r="I176" s="457"/>
      <c r="J176" s="457"/>
      <c r="K176" s="458"/>
      <c r="L176" s="458" t="s">
        <v>2977</v>
      </c>
      <c r="M176" s="462">
        <f>IF($D$176="","",ROUND($D$176*mult_sms,0))</f>
        <v>1072</v>
      </c>
      <c r="N176" s="462">
        <f>IF($E$176="","",ROUND($E$176*mult_sms,0))</f>
        <v>958</v>
      </c>
      <c r="O176" s="462">
        <f>IF($F$176="","",ROUND($F$176*mult_sms,0))</f>
        <v>958</v>
      </c>
      <c r="P176" s="462" t="str">
        <f>IF($G$176="","",ROUND($G$176*mult_sms,0))</f>
        <v/>
      </c>
      <c r="Q176" s="462" t="str">
        <f>IF($H$176="","",ROUND($H$176*mult_wood,0))</f>
        <v/>
      </c>
      <c r="R176" s="462" t="str">
        <f>IF($I$176="","",ROUND($I$176*mult_wood,0))</f>
        <v/>
      </c>
      <c r="S176" s="462" t="str">
        <f>IF($J$176="","",ROUND($J$176*mult_wood,0))</f>
        <v/>
      </c>
      <c r="T176" s="461">
        <f t="shared" si="12"/>
        <v>1</v>
      </c>
    </row>
    <row r="177" spans="1:20">
      <c r="A177" s="459" t="s">
        <v>417</v>
      </c>
      <c r="B177" s="459" t="s">
        <v>367</v>
      </c>
      <c r="C177" s="459" t="s">
        <v>404</v>
      </c>
      <c r="D177" s="457">
        <v>763</v>
      </c>
      <c r="E177" s="457">
        <v>1187</v>
      </c>
      <c r="F177" s="457">
        <f t="shared" si="11"/>
        <v>1187</v>
      </c>
      <c r="G177" s="457"/>
      <c r="H177" s="457"/>
      <c r="I177" s="457"/>
      <c r="J177" s="457"/>
      <c r="K177" s="458"/>
      <c r="L177" s="458" t="s">
        <v>2977</v>
      </c>
      <c r="M177" s="462">
        <f>IF($D$177="","",ROUND($D$177*mult_sms,0))</f>
        <v>763</v>
      </c>
      <c r="N177" s="462">
        <f>IF($E$177="","",ROUND($E$177*mult_sms,0))</f>
        <v>1187</v>
      </c>
      <c r="O177" s="462">
        <f>IF($F$177="","",ROUND($F$177*mult_sms,0))</f>
        <v>1187</v>
      </c>
      <c r="P177" s="462" t="str">
        <f>IF($G$177="","",ROUND($G$177*mult_sms,0))</f>
        <v/>
      </c>
      <c r="Q177" s="462" t="str">
        <f>IF($H$177="","",ROUND($H$177*mult_wood,0))</f>
        <v/>
      </c>
      <c r="R177" s="462" t="str">
        <f>IF($I$177="","",ROUND($I$177*mult_wood,0))</f>
        <v/>
      </c>
      <c r="S177" s="462" t="str">
        <f>IF($J$177="","",ROUND($J$177*mult_wood,0))</f>
        <v/>
      </c>
      <c r="T177" s="461">
        <f t="shared" si="12"/>
        <v>1</v>
      </c>
    </row>
    <row r="178" spans="1:20">
      <c r="A178" s="459" t="s">
        <v>418</v>
      </c>
      <c r="B178" s="459" t="s">
        <v>367</v>
      </c>
      <c r="C178" s="459" t="s">
        <v>404</v>
      </c>
      <c r="D178" s="457">
        <v>1162</v>
      </c>
      <c r="E178" s="457">
        <v>1036</v>
      </c>
      <c r="F178" s="457">
        <f t="shared" si="11"/>
        <v>1036</v>
      </c>
      <c r="G178" s="457"/>
      <c r="H178" s="457"/>
      <c r="I178" s="457"/>
      <c r="J178" s="457"/>
      <c r="K178" s="458"/>
      <c r="L178" s="458" t="s">
        <v>2977</v>
      </c>
      <c r="M178" s="462">
        <f>IF($D$178="","",ROUND($D$178*mult_sms,0))</f>
        <v>1162</v>
      </c>
      <c r="N178" s="462">
        <f>IF($E$178="","",ROUND($E$178*mult_sms,0))</f>
        <v>1036</v>
      </c>
      <c r="O178" s="462">
        <f>IF($F$178="","",ROUND($F$178*mult_sms,0))</f>
        <v>1036</v>
      </c>
      <c r="P178" s="462" t="str">
        <f>IF($G$178="","",ROUND($G$178*mult_sms,0))</f>
        <v/>
      </c>
      <c r="Q178" s="462" t="str">
        <f>IF($H$178="","",ROUND($H$178*mult_wood,0))</f>
        <v/>
      </c>
      <c r="R178" s="462" t="str">
        <f>IF($I$178="","",ROUND($I$178*mult_wood,0))</f>
        <v/>
      </c>
      <c r="S178" s="462" t="str">
        <f>IF($J$178="","",ROUND($J$178*mult_wood,0))</f>
        <v/>
      </c>
      <c r="T178" s="461">
        <f t="shared" si="12"/>
        <v>1</v>
      </c>
    </row>
    <row r="179" spans="1:20">
      <c r="A179" s="459" t="s">
        <v>419</v>
      </c>
      <c r="B179" s="459" t="s">
        <v>367</v>
      </c>
      <c r="C179" s="459" t="s">
        <v>404</v>
      </c>
      <c r="D179" s="457">
        <v>1467</v>
      </c>
      <c r="E179" s="457">
        <v>2282</v>
      </c>
      <c r="F179" s="457">
        <f t="shared" si="11"/>
        <v>2282</v>
      </c>
      <c r="G179" s="457"/>
      <c r="H179" s="457"/>
      <c r="I179" s="457"/>
      <c r="J179" s="457"/>
      <c r="K179" s="458"/>
      <c r="L179" s="458" t="s">
        <v>2977</v>
      </c>
      <c r="M179" s="462">
        <f>IF($D$179="","",ROUND($D$179*mult_sms,0))</f>
        <v>1467</v>
      </c>
      <c r="N179" s="462">
        <f>IF($E$179="","",ROUND($E$179*mult_sms,0))</f>
        <v>2282</v>
      </c>
      <c r="O179" s="462">
        <f>IF($F$179="","",ROUND($F$179*mult_sms,0))</f>
        <v>2282</v>
      </c>
      <c r="P179" s="462" t="str">
        <f>IF($G$179="","",ROUND($G$179*mult_sms,0))</f>
        <v/>
      </c>
      <c r="Q179" s="462" t="str">
        <f>IF($H$179="","",ROUND($H$179*mult_wood,0))</f>
        <v/>
      </c>
      <c r="R179" s="462" t="str">
        <f>IF($I$179="","",ROUND($I$179*mult_wood,0))</f>
        <v/>
      </c>
      <c r="S179" s="462" t="str">
        <f>IF($J$179="","",ROUND($J$179*mult_wood,0))</f>
        <v/>
      </c>
      <c r="T179" s="461">
        <f t="shared" si="12"/>
        <v>1</v>
      </c>
    </row>
    <row r="180" spans="1:20">
      <c r="A180" s="459" t="s">
        <v>420</v>
      </c>
      <c r="B180" s="459" t="s">
        <v>367</v>
      </c>
      <c r="C180" s="459" t="s">
        <v>404</v>
      </c>
      <c r="D180" s="457">
        <v>1422</v>
      </c>
      <c r="E180" s="457">
        <v>2212</v>
      </c>
      <c r="F180" s="457">
        <f t="shared" si="11"/>
        <v>2212</v>
      </c>
      <c r="G180" s="457"/>
      <c r="H180" s="457"/>
      <c r="I180" s="457"/>
      <c r="J180" s="457"/>
      <c r="K180" s="458"/>
      <c r="L180" s="458" t="s">
        <v>2977</v>
      </c>
      <c r="M180" s="462">
        <f>IF($D$180="","",ROUND($D$180*mult_sms,0))</f>
        <v>1422</v>
      </c>
      <c r="N180" s="462">
        <f>IF($E$180="","",ROUND($E$180*mult_sms,0))</f>
        <v>2212</v>
      </c>
      <c r="O180" s="462">
        <f>IF($F$180="","",ROUND($F$180*mult_sms,0))</f>
        <v>2212</v>
      </c>
      <c r="P180" s="462" t="str">
        <f>IF($G$180="","",ROUND($G$180*mult_sms,0))</f>
        <v/>
      </c>
      <c r="Q180" s="462" t="str">
        <f>IF($H$180="","",ROUND($H$180*mult_wood,0))</f>
        <v/>
      </c>
      <c r="R180" s="462" t="str">
        <f>IF($I$180="","",ROUND($I$180*mult_wood,0))</f>
        <v/>
      </c>
      <c r="S180" s="462" t="str">
        <f>IF($J$180="","",ROUND($J$180*mult_wood,0))</f>
        <v/>
      </c>
      <c r="T180" s="461">
        <f t="shared" si="12"/>
        <v>1</v>
      </c>
    </row>
    <row r="181" spans="1:20">
      <c r="A181" s="459" t="s">
        <v>421</v>
      </c>
      <c r="B181" s="459" t="s">
        <v>367</v>
      </c>
      <c r="C181" s="459" t="s">
        <v>404</v>
      </c>
      <c r="D181" s="457">
        <v>1607</v>
      </c>
      <c r="E181" s="457">
        <v>2500</v>
      </c>
      <c r="F181" s="457">
        <f t="shared" si="11"/>
        <v>2500</v>
      </c>
      <c r="G181" s="457"/>
      <c r="H181" s="457"/>
      <c r="I181" s="457"/>
      <c r="J181" s="457"/>
      <c r="K181" s="458"/>
      <c r="L181" s="458" t="s">
        <v>2977</v>
      </c>
      <c r="M181" s="462">
        <f>IF($D$181="","",ROUND($D$181*mult_sms,0))</f>
        <v>1607</v>
      </c>
      <c r="N181" s="462">
        <f>IF($E$181="","",ROUND($E$181*mult_sms,0))</f>
        <v>2500</v>
      </c>
      <c r="O181" s="462">
        <f>IF($F$181="","",ROUND($F$181*mult_sms,0))</f>
        <v>2500</v>
      </c>
      <c r="P181" s="462" t="str">
        <f>IF($G$181="","",ROUND($G$181*mult_sms,0))</f>
        <v/>
      </c>
      <c r="Q181" s="462" t="str">
        <f>IF($H$181="","",ROUND($H$181*mult_wood,0))</f>
        <v/>
      </c>
      <c r="R181" s="462" t="str">
        <f>IF($I$181="","",ROUND($I$181*mult_wood,0))</f>
        <v/>
      </c>
      <c r="S181" s="462" t="str">
        <f>IF($J$181="","",ROUND($J$181*mult_wood,0))</f>
        <v/>
      </c>
      <c r="T181" s="461">
        <f t="shared" si="12"/>
        <v>1</v>
      </c>
    </row>
    <row r="182" spans="1:20">
      <c r="A182" s="459" t="s">
        <v>422</v>
      </c>
      <c r="B182" s="459" t="s">
        <v>367</v>
      </c>
      <c r="C182" s="459" t="s">
        <v>404</v>
      </c>
      <c r="D182" s="457">
        <v>1242</v>
      </c>
      <c r="E182" s="457">
        <v>1932</v>
      </c>
      <c r="F182" s="457">
        <f t="shared" si="11"/>
        <v>1932</v>
      </c>
      <c r="G182" s="457"/>
      <c r="H182" s="457"/>
      <c r="I182" s="457"/>
      <c r="J182" s="457"/>
      <c r="K182" s="458"/>
      <c r="L182" s="458" t="s">
        <v>2977</v>
      </c>
      <c r="M182" s="462">
        <f>IF($D$182="","",ROUND($D$182*mult_sms,0))</f>
        <v>1242</v>
      </c>
      <c r="N182" s="462">
        <f>IF($E$182="","",ROUND($E$182*mult_sms,0))</f>
        <v>1932</v>
      </c>
      <c r="O182" s="462">
        <f>IF($F$182="","",ROUND($F$182*mult_sms,0))</f>
        <v>1932</v>
      </c>
      <c r="P182" s="462" t="str">
        <f>IF($G$182="","",ROUND($G$182*mult_sms,0))</f>
        <v/>
      </c>
      <c r="Q182" s="462" t="str">
        <f>IF($H$182="","",ROUND($H$182*mult_wood,0))</f>
        <v/>
      </c>
      <c r="R182" s="462" t="str">
        <f>IF($I$182="","",ROUND($I$182*mult_wood,0))</f>
        <v/>
      </c>
      <c r="S182" s="462" t="str">
        <f>IF($J$182="","",ROUND($J$182*mult_wood,0))</f>
        <v/>
      </c>
      <c r="T182" s="461">
        <f t="shared" si="12"/>
        <v>1</v>
      </c>
    </row>
    <row r="183" spans="1:20">
      <c r="A183" s="459" t="s">
        <v>423</v>
      </c>
      <c r="B183" s="459" t="s">
        <v>367</v>
      </c>
      <c r="C183" s="459" t="s">
        <v>404</v>
      </c>
      <c r="D183" s="457">
        <v>1202</v>
      </c>
      <c r="E183" s="457">
        <v>1870</v>
      </c>
      <c r="F183" s="457">
        <f t="shared" si="11"/>
        <v>1870</v>
      </c>
      <c r="G183" s="457"/>
      <c r="H183" s="457"/>
      <c r="I183" s="457"/>
      <c r="J183" s="457"/>
      <c r="K183" s="458"/>
      <c r="L183" s="458" t="s">
        <v>2977</v>
      </c>
      <c r="M183" s="462">
        <f>IF($D$183="","",ROUND($D$183*mult_sms,0))</f>
        <v>1202</v>
      </c>
      <c r="N183" s="462">
        <f>IF($E$183="","",ROUND($E$183*mult_sms,0))</f>
        <v>1870</v>
      </c>
      <c r="O183" s="462">
        <f>IF($F$183="","",ROUND($F$183*mult_sms,0))</f>
        <v>1870</v>
      </c>
      <c r="P183" s="462" t="str">
        <f>IF($G$183="","",ROUND($G$183*mult_sms,0))</f>
        <v/>
      </c>
      <c r="Q183" s="462" t="str">
        <f>IF($H$183="","",ROUND($H$183*mult_wood,0))</f>
        <v/>
      </c>
      <c r="R183" s="462" t="str">
        <f>IF($I$183="","",ROUND($I$183*mult_wood,0))</f>
        <v/>
      </c>
      <c r="S183" s="462" t="str">
        <f>IF($J$183="","",ROUND($J$183*mult_wood,0))</f>
        <v/>
      </c>
      <c r="T183" s="461">
        <f t="shared" si="12"/>
        <v>1</v>
      </c>
    </row>
    <row r="184" spans="1:20">
      <c r="A184" s="459" t="s">
        <v>424</v>
      </c>
      <c r="B184" s="459" t="s">
        <v>367</v>
      </c>
      <c r="C184" s="459" t="s">
        <v>404</v>
      </c>
      <c r="D184" s="457">
        <v>1539</v>
      </c>
      <c r="E184" s="457">
        <v>2394</v>
      </c>
      <c r="F184" s="457">
        <f t="shared" si="11"/>
        <v>2394</v>
      </c>
      <c r="G184" s="457"/>
      <c r="H184" s="457"/>
      <c r="I184" s="457"/>
      <c r="J184" s="457"/>
      <c r="K184" s="458"/>
      <c r="L184" s="458" t="s">
        <v>2977</v>
      </c>
      <c r="M184" s="462">
        <f>IF($D$184="","",ROUND($D$184*mult_sms,0))</f>
        <v>1539</v>
      </c>
      <c r="N184" s="462">
        <f>IF($E$184="","",ROUND($E$184*mult_sms,0))</f>
        <v>2394</v>
      </c>
      <c r="O184" s="462">
        <f>IF($F$184="","",ROUND($F$184*mult_sms,0))</f>
        <v>2394</v>
      </c>
      <c r="P184" s="462" t="str">
        <f>IF($G$184="","",ROUND($G$184*mult_sms,0))</f>
        <v/>
      </c>
      <c r="Q184" s="462" t="str">
        <f>IF($H$184="","",ROUND($H$184*mult_wood,0))</f>
        <v/>
      </c>
      <c r="R184" s="462" t="str">
        <f>IF($I$184="","",ROUND($I$184*mult_wood,0))</f>
        <v/>
      </c>
      <c r="S184" s="462" t="str">
        <f>IF($J$184="","",ROUND($J$184*mult_wood,0))</f>
        <v/>
      </c>
      <c r="T184" s="461">
        <f t="shared" si="12"/>
        <v>1</v>
      </c>
    </row>
    <row r="185" spans="1:20">
      <c r="A185" s="459" t="s">
        <v>425</v>
      </c>
      <c r="B185" s="459" t="s">
        <v>367</v>
      </c>
      <c r="C185" s="459" t="s">
        <v>404</v>
      </c>
      <c r="D185" s="457">
        <v>295</v>
      </c>
      <c r="E185" s="457">
        <v>459</v>
      </c>
      <c r="F185" s="457">
        <f t="shared" si="11"/>
        <v>459</v>
      </c>
      <c r="G185" s="457"/>
      <c r="H185" s="457"/>
      <c r="I185" s="457"/>
      <c r="J185" s="457"/>
      <c r="K185" s="458"/>
      <c r="L185" s="458" t="s">
        <v>2977</v>
      </c>
      <c r="M185" s="462">
        <f>IF($D$185="","",ROUND($D$185*mult_sms,0))</f>
        <v>295</v>
      </c>
      <c r="N185" s="462">
        <f>IF($E$185="","",ROUND($E$185*mult_sms,0))</f>
        <v>459</v>
      </c>
      <c r="O185" s="462">
        <f>IF($F$185="","",ROUND($F$185*mult_sms,0))</f>
        <v>459</v>
      </c>
      <c r="P185" s="462" t="str">
        <f>IF($G$185="","",ROUND($G$185*mult_sms,0))</f>
        <v/>
      </c>
      <c r="Q185" s="462" t="str">
        <f>IF($H$185="","",ROUND($H$185*mult_wood,0))</f>
        <v/>
      </c>
      <c r="R185" s="462" t="str">
        <f>IF($I$185="","",ROUND($I$185*mult_wood,0))</f>
        <v/>
      </c>
      <c r="S185" s="462" t="str">
        <f>IF($J$185="","",ROUND($J$185*mult_wood,0))</f>
        <v/>
      </c>
      <c r="T185" s="461">
        <f t="shared" si="12"/>
        <v>1</v>
      </c>
    </row>
    <row r="186" spans="1:20">
      <c r="A186" s="98" t="s">
        <v>426</v>
      </c>
      <c r="B186" s="97" t="s">
        <v>427</v>
      </c>
      <c r="C186" s="97" t="s">
        <v>175</v>
      </c>
      <c r="D186" s="100">
        <v>520</v>
      </c>
      <c r="E186" s="100">
        <v>555</v>
      </c>
      <c r="F186" s="100">
        <f t="shared" si="11"/>
        <v>555</v>
      </c>
      <c r="G186" s="100">
        <v>565</v>
      </c>
      <c r="H186" s="100">
        <v>750</v>
      </c>
      <c r="I186" s="100">
        <v>780</v>
      </c>
      <c r="J186" s="100">
        <v>780</v>
      </c>
      <c r="K186" t="s">
        <v>2965</v>
      </c>
      <c r="L186" t="s">
        <v>2985</v>
      </c>
      <c r="M186" s="462">
        <f>IF($D$186="","",ROUND($D$186*mult_euro,0))</f>
        <v>520</v>
      </c>
      <c r="N186" s="462">
        <f>IF($E$186="","",ROUND($E$186*mult_euro,0))</f>
        <v>555</v>
      </c>
      <c r="O186" s="462">
        <f>IF($F$186="","",ROUND($F$186*mult_euro,0))</f>
        <v>555</v>
      </c>
      <c r="P186" s="462">
        <f>IF($G$186="","",ROUND($G$186*mult_euro,0))</f>
        <v>565</v>
      </c>
      <c r="Q186" s="462">
        <f>IF($H$186="","",ROUND($H$186*mult_wood,0))</f>
        <v>750</v>
      </c>
      <c r="R186" s="462">
        <f>IF($I$186="","",ROUND($I$186*mult_wood,0))</f>
        <v>780</v>
      </c>
      <c r="S186" s="462">
        <f>IF($J$186="","",ROUND($J$186*mult_wood,0))</f>
        <v>780</v>
      </c>
      <c r="T186" s="461">
        <f>mult_euro</f>
        <v>1</v>
      </c>
    </row>
    <row r="187" spans="1:20" ht="22.05" customHeight="1">
      <c r="A187" s="98" t="s">
        <v>428</v>
      </c>
      <c r="B187" s="97" t="s">
        <v>429</v>
      </c>
      <c r="C187" s="97" t="s">
        <v>175</v>
      </c>
      <c r="D187" s="100">
        <v>380</v>
      </c>
      <c r="E187" s="100">
        <v>405</v>
      </c>
      <c r="F187" s="100">
        <f t="shared" si="11"/>
        <v>405</v>
      </c>
      <c r="G187" s="100">
        <v>415</v>
      </c>
      <c r="H187" s="100">
        <v>535</v>
      </c>
      <c r="I187" s="100">
        <v>575</v>
      </c>
      <c r="J187" s="100">
        <v>575</v>
      </c>
      <c r="K187" t="s">
        <v>2965</v>
      </c>
      <c r="L187" t="s">
        <v>2987</v>
      </c>
      <c r="M187" s="462">
        <f>IF($D$187="","",ROUND($D$187*mult_euro,0))</f>
        <v>380</v>
      </c>
      <c r="N187" s="462">
        <f>IF($E$187="","",ROUND($E$187*mult_euro,0))</f>
        <v>405</v>
      </c>
      <c r="O187" s="462">
        <f>IF($F$187="","",ROUND($F$187*mult_euro,0))</f>
        <v>405</v>
      </c>
      <c r="P187" s="462">
        <f>IF($G$187="","",ROUND($G$187*mult_euro,0))</f>
        <v>415</v>
      </c>
      <c r="Q187" s="462">
        <f>IF($H$187="","",ROUND($H$187*mult_wood,0))</f>
        <v>535</v>
      </c>
      <c r="R187" s="462">
        <f>IF($I$187="","",ROUND($I$187*mult_wood,0))</f>
        <v>575</v>
      </c>
      <c r="S187" s="462">
        <f>IF($J$187="","",ROUND($J$187*mult_wood,0))</f>
        <v>575</v>
      </c>
      <c r="T187" s="461">
        <f>mult_euro</f>
        <v>1</v>
      </c>
    </row>
    <row r="188" spans="1:20">
      <c r="A188" s="26" t="s">
        <v>367</v>
      </c>
      <c r="B188" s="26" t="s">
        <v>430</v>
      </c>
      <c r="C188" s="26" t="s">
        <v>377</v>
      </c>
      <c r="D188" s="26">
        <v>140</v>
      </c>
      <c r="E188" s="26">
        <v>150</v>
      </c>
      <c r="G188" s="26">
        <v>130</v>
      </c>
      <c r="H188" s="26">
        <v>170</v>
      </c>
      <c r="I188" s="26">
        <v>180</v>
      </c>
      <c r="J188" s="26">
        <v>175</v>
      </c>
      <c r="L188" t="s">
        <v>658</v>
      </c>
      <c r="M188" s="462">
        <f>IF($D$188="","",ROUND($D$188*mult_slim,0))</f>
        <v>140</v>
      </c>
      <c r="N188" s="462">
        <f>IF($E$188="","",ROUND($E$188*mult_slim,0))</f>
        <v>150</v>
      </c>
      <c r="O188" s="462" t="str">
        <f>IF($F$188="","",ROUND($F$188*mult_slim,0))</f>
        <v/>
      </c>
      <c r="P188" s="462">
        <f>IF($G$188="","",ROUND($G$188*mult_slim,0))</f>
        <v>130</v>
      </c>
      <c r="Q188" s="462">
        <f>IF($H$188="","",ROUND($H$188*mult_wood,0))</f>
        <v>170</v>
      </c>
      <c r="R188" s="462">
        <f>IF($I$188="","",ROUND($I$188*mult_wood,0))</f>
        <v>180</v>
      </c>
      <c r="S188" s="462">
        <f>IF($J$188="","",ROUND($J$188*mult_wood,0))</f>
        <v>175</v>
      </c>
      <c r="T188" s="461">
        <f>mult_slim</f>
        <v>1</v>
      </c>
    </row>
    <row r="189" spans="1:20">
      <c r="M189" s="462"/>
      <c r="N189" s="462"/>
      <c r="O189" s="462"/>
      <c r="P189" s="462"/>
      <c r="Q189" s="462"/>
      <c r="R189" s="462"/>
      <c r="S189" s="462"/>
      <c r="T189" s="411"/>
    </row>
    <row r="190" spans="1:20">
      <c r="A190" t="s">
        <v>2734</v>
      </c>
      <c r="M190" s="462"/>
      <c r="N190" s="462"/>
      <c r="O190" s="462"/>
      <c r="P190" s="462"/>
      <c r="Q190" s="462"/>
      <c r="R190" s="462"/>
      <c r="S190" s="462"/>
      <c r="T190" s="411"/>
    </row>
    <row r="191" spans="1:20">
      <c r="A191" t="s">
        <v>2744</v>
      </c>
      <c r="B191" t="s">
        <v>2745</v>
      </c>
      <c r="C191" t="s">
        <v>317</v>
      </c>
      <c r="D191">
        <v>170</v>
      </c>
      <c r="E191">
        <v>200</v>
      </c>
      <c r="L191" t="s">
        <v>2988</v>
      </c>
      <c r="M191" s="462">
        <f>IF($D$191="","",ROUND($D$191*mult_mtong,0))</f>
        <v>170</v>
      </c>
      <c r="N191" s="462">
        <f>IF($E$191="","",ROUND($E$191*mult_mtong,0))</f>
        <v>200</v>
      </c>
      <c r="O191" s="462" t="str">
        <f>IF($F$191="","",ROUND($F$191*mult_mtong,0))</f>
        <v/>
      </c>
      <c r="P191" s="462" t="str">
        <f>IF($G$191="","",ROUND($G$191*mult_mtong,0))</f>
        <v/>
      </c>
      <c r="Q191" s="462" t="str">
        <f>IF($H$191="","",ROUND($H$191*mult_wood,0))</f>
        <v/>
      </c>
      <c r="R191" s="462" t="str">
        <f>IF($I$191="","",ROUND($I$191*mult_wood,0))</f>
        <v/>
      </c>
      <c r="S191" s="462" t="str">
        <f>IF($J$191="","",ROUND($J$191*mult_wood,0))</f>
        <v/>
      </c>
      <c r="T191" s="461">
        <f>mult_mtong</f>
        <v>1</v>
      </c>
    </row>
    <row r="192" spans="1:20">
      <c r="A192" t="s">
        <v>2746</v>
      </c>
      <c r="B192" t="s">
        <v>2747</v>
      </c>
      <c r="C192" t="s">
        <v>317</v>
      </c>
      <c r="D192">
        <v>320</v>
      </c>
      <c r="L192" t="s">
        <v>76</v>
      </c>
      <c r="M192" s="462">
        <f>IF($D$192="","",ROUND($D$192*mult_mtong,0))</f>
        <v>320</v>
      </c>
      <c r="N192" s="462" t="str">
        <f>IF($E$192="","",ROUND($E$192*mult_mtong,0))</f>
        <v/>
      </c>
      <c r="O192" s="462" t="str">
        <f>IF($F$192="","",ROUND($F$192*mult_mtong,0))</f>
        <v/>
      </c>
      <c r="P192" s="462" t="str">
        <f>IF($G$192="","",ROUND($G$192*mult_mtong,0))</f>
        <v/>
      </c>
      <c r="Q192" s="462" t="str">
        <f>IF($H$192="","",ROUND($H$192*mult_wood,0))</f>
        <v/>
      </c>
      <c r="R192" s="462" t="str">
        <f>IF($I$192="","",ROUND($I$192*mult_wood,0))</f>
        <v/>
      </c>
      <c r="S192" s="462" t="str">
        <f>IF($J$192="","",ROUND($J$192*mult_wood,0))</f>
        <v/>
      </c>
      <c r="T192" s="461">
        <f>mult_mtong</f>
        <v>1</v>
      </c>
    </row>
    <row r="193" spans="1:20">
      <c r="A193" t="s">
        <v>2786</v>
      </c>
      <c r="M193" s="462"/>
      <c r="N193" s="462"/>
      <c r="O193" s="462"/>
      <c r="P193" s="462"/>
      <c r="Q193" s="462"/>
      <c r="R193" s="462"/>
      <c r="S193" s="462"/>
      <c r="T193" s="411"/>
    </row>
    <row r="194" spans="1:20">
      <c r="A194" t="s">
        <v>666</v>
      </c>
      <c r="B194" t="s">
        <v>2787</v>
      </c>
      <c r="C194" t="s">
        <v>317</v>
      </c>
      <c r="D194" s="212">
        <v>500</v>
      </c>
      <c r="L194" t="s">
        <v>2989</v>
      </c>
      <c r="M194" s="462">
        <f>IF($D$194="","",ROUND($D$194*mult_mtong,0))</f>
        <v>500</v>
      </c>
      <c r="N194" s="462" t="str">
        <f>IF($E$194="","",ROUND($E$194*mult_mtong,0))</f>
        <v/>
      </c>
      <c r="O194" s="462" t="str">
        <f>IF($F$194="","",ROUND($F$194*mult_mtong,0))</f>
        <v/>
      </c>
      <c r="P194" s="462" t="str">
        <f>IF($G$194="","",ROUND($G$194*mult_mtong,0))</f>
        <v/>
      </c>
      <c r="Q194" s="462" t="str">
        <f>IF($H$194="","",ROUND($H$194*mult_wood,0))</f>
        <v/>
      </c>
      <c r="R194" s="462" t="str">
        <f>IF($I$194="","",ROUND($I$194*mult_wood,0))</f>
        <v/>
      </c>
      <c r="S194" s="462" t="str">
        <f>IF($J$194="","",ROUND($J$194*mult_wood,0))</f>
        <v/>
      </c>
      <c r="T194" s="461">
        <f t="shared" ref="T194:T204" si="13">mult_mtong</f>
        <v>1</v>
      </c>
    </row>
    <row r="195" spans="1:20">
      <c r="A195" t="s">
        <v>667</v>
      </c>
      <c r="B195" t="s">
        <v>2787</v>
      </c>
      <c r="C195" t="s">
        <v>317</v>
      </c>
      <c r="D195" s="212">
        <v>310</v>
      </c>
      <c r="L195" t="s">
        <v>2990</v>
      </c>
      <c r="M195" s="462">
        <f>IF($D$195="","",ROUND($D$195*mult_mtong,0))</f>
        <v>310</v>
      </c>
      <c r="N195" s="462" t="str">
        <f>IF($E$195="","",ROUND($E$195*mult_mtong,0))</f>
        <v/>
      </c>
      <c r="O195" s="462" t="str">
        <f>IF($F$195="","",ROUND($F$195*mult_mtong,0))</f>
        <v/>
      </c>
      <c r="P195" s="462" t="str">
        <f>IF($G$195="","",ROUND($G$195*mult_mtong,0))</f>
        <v/>
      </c>
      <c r="Q195" s="462" t="str">
        <f>IF($H$195="","",ROUND($H$195*mult_wood,0))</f>
        <v/>
      </c>
      <c r="R195" s="462" t="str">
        <f>IF($I$195="","",ROUND($I$195*mult_wood,0))</f>
        <v/>
      </c>
      <c r="S195" s="462" t="str">
        <f>IF($J$195="","",ROUND($J$195*mult_wood,0))</f>
        <v/>
      </c>
      <c r="T195" s="461">
        <f t="shared" si="13"/>
        <v>1</v>
      </c>
    </row>
    <row r="196" spans="1:20">
      <c r="A196" t="s">
        <v>572</v>
      </c>
      <c r="B196" t="s">
        <v>2787</v>
      </c>
      <c r="C196" t="s">
        <v>317</v>
      </c>
      <c r="D196" s="212">
        <v>395</v>
      </c>
      <c r="L196" t="s">
        <v>2991</v>
      </c>
      <c r="M196" s="462">
        <f>IF($D$196="","",ROUND($D$196*mult_mtong,0))</f>
        <v>395</v>
      </c>
      <c r="N196" s="462" t="str">
        <f>IF($E$196="","",ROUND($E$196*mult_mtong,0))</f>
        <v/>
      </c>
      <c r="O196" s="462" t="str">
        <f>IF($F$196="","",ROUND($F$196*mult_mtong,0))</f>
        <v/>
      </c>
      <c r="P196" s="462" t="str">
        <f>IF($G$196="","",ROUND($G$196*mult_mtong,0))</f>
        <v/>
      </c>
      <c r="Q196" s="462" t="str">
        <f>IF($H$196="","",ROUND($H$196*mult_wood,0))</f>
        <v/>
      </c>
      <c r="R196" s="462" t="str">
        <f>IF($I$196="","",ROUND($I$196*mult_wood,0))</f>
        <v/>
      </c>
      <c r="S196" s="462" t="str">
        <f>IF($J$196="","",ROUND($J$196*mult_wood,0))</f>
        <v/>
      </c>
      <c r="T196" s="461">
        <f t="shared" si="13"/>
        <v>1</v>
      </c>
    </row>
    <row r="197" spans="1:20">
      <c r="A197" t="s">
        <v>668</v>
      </c>
      <c r="B197" t="s">
        <v>2787</v>
      </c>
      <c r="C197" t="s">
        <v>317</v>
      </c>
      <c r="D197" s="212">
        <v>485</v>
      </c>
      <c r="L197" t="s">
        <v>2989</v>
      </c>
      <c r="M197" s="462">
        <f>IF($D$197="","",ROUND($D$197*mult_mtong,0))</f>
        <v>485</v>
      </c>
      <c r="N197" s="462" t="str">
        <f>IF($E$197="","",ROUND($E$197*mult_mtong,0))</f>
        <v/>
      </c>
      <c r="O197" s="462" t="str">
        <f>IF($F$197="","",ROUND($F$197*mult_mtong,0))</f>
        <v/>
      </c>
      <c r="P197" s="462" t="str">
        <f>IF($G$197="","",ROUND($G$197*mult_mtong,0))</f>
        <v/>
      </c>
      <c r="Q197" s="462" t="str">
        <f>IF($H$197="","",ROUND($H$197*mult_wood,0))</f>
        <v/>
      </c>
      <c r="R197" s="462" t="str">
        <f>IF($I$197="","",ROUND($I$197*mult_wood,0))</f>
        <v/>
      </c>
      <c r="S197" s="462" t="str">
        <f>IF($J$197="","",ROUND($J$197*mult_wood,0))</f>
        <v/>
      </c>
      <c r="T197" s="461">
        <f t="shared" si="13"/>
        <v>1</v>
      </c>
    </row>
    <row r="198" spans="1:20">
      <c r="A198" t="s">
        <v>669</v>
      </c>
      <c r="B198" t="s">
        <v>2787</v>
      </c>
      <c r="C198" t="s">
        <v>317</v>
      </c>
      <c r="D198" s="212">
        <v>905</v>
      </c>
      <c r="L198" t="s">
        <v>3064</v>
      </c>
      <c r="M198" s="462">
        <f>IF($D$198="","",ROUND($D$198*mult_mtong,0))</f>
        <v>905</v>
      </c>
      <c r="N198" s="462" t="str">
        <f>IF($E$198="","",ROUND($E$198*mult_mtong,0))</f>
        <v/>
      </c>
      <c r="O198" s="462" t="str">
        <f>IF($F$198="","",ROUND($F$198*mult_mtong,0))</f>
        <v/>
      </c>
      <c r="P198" s="462" t="str">
        <f>IF($G$198="","",ROUND($G$198*mult_mtong,0))</f>
        <v/>
      </c>
      <c r="Q198" s="462" t="str">
        <f>IF($H$198="","",ROUND($H$198*mult_wood,0))</f>
        <v/>
      </c>
      <c r="R198" s="462" t="str">
        <f>IF($I$198="","",ROUND($I$198*mult_wood,0))</f>
        <v/>
      </c>
      <c r="S198" s="462" t="str">
        <f>IF($J$198="","",ROUND($J$198*mult_wood,0))</f>
        <v/>
      </c>
      <c r="T198" s="461">
        <f t="shared" si="13"/>
        <v>1</v>
      </c>
    </row>
    <row r="199" spans="1:20">
      <c r="A199" t="s">
        <v>571</v>
      </c>
      <c r="B199" t="s">
        <v>2787</v>
      </c>
      <c r="C199" t="s">
        <v>317</v>
      </c>
      <c r="D199" s="212">
        <v>770</v>
      </c>
      <c r="L199" t="s">
        <v>2992</v>
      </c>
      <c r="M199" s="462">
        <f>IF($D$199="","",ROUND($D$199*mult_mtong,0))</f>
        <v>770</v>
      </c>
      <c r="N199" s="462" t="str">
        <f>IF($E$199="","",ROUND($E$199*mult_mtong,0))</f>
        <v/>
      </c>
      <c r="O199" s="462" t="str">
        <f>IF($F$199="","",ROUND($F$199*mult_mtong,0))</f>
        <v/>
      </c>
      <c r="P199" s="462" t="str">
        <f>IF($G$199="","",ROUND($G$199*mult_mtong,0))</f>
        <v/>
      </c>
      <c r="Q199" s="462" t="str">
        <f>IF($H$199="","",ROUND($H$199*mult_wood,0))</f>
        <v/>
      </c>
      <c r="R199" s="462" t="str">
        <f>IF($I$199="","",ROUND($I$199*mult_wood,0))</f>
        <v/>
      </c>
      <c r="S199" s="462" t="str">
        <f>IF($J$199="","",ROUND($J$199*mult_wood,0))</f>
        <v/>
      </c>
      <c r="T199" s="461">
        <f t="shared" si="13"/>
        <v>1</v>
      </c>
    </row>
    <row r="200" spans="1:20">
      <c r="A200" t="s">
        <v>570</v>
      </c>
      <c r="B200" t="s">
        <v>2787</v>
      </c>
      <c r="C200" t="s">
        <v>317</v>
      </c>
      <c r="D200" s="212">
        <v>1220</v>
      </c>
      <c r="L200" t="s">
        <v>2993</v>
      </c>
      <c r="M200" s="462">
        <f>IF($D$200="","",ROUND($D$200*mult_mtong,0))</f>
        <v>1220</v>
      </c>
      <c r="N200" s="462" t="str">
        <f>IF($E$200="","",ROUND($E$200*mult_mtong,0))</f>
        <v/>
      </c>
      <c r="O200" s="462" t="str">
        <f>IF($F$200="","",ROUND($F$200*mult_mtong,0))</f>
        <v/>
      </c>
      <c r="P200" s="462" t="str">
        <f>IF($G$200="","",ROUND($G$200*mult_mtong,0))</f>
        <v/>
      </c>
      <c r="Q200" s="462" t="str">
        <f>IF($H$200="","",ROUND($H$200*mult_wood,0))</f>
        <v/>
      </c>
      <c r="R200" s="462" t="str">
        <f>IF($I$200="","",ROUND($I$200*mult_wood,0))</f>
        <v/>
      </c>
      <c r="S200" s="462" t="str">
        <f>IF($J$200="","",ROUND($J$200*mult_wood,0))</f>
        <v/>
      </c>
      <c r="T200" s="461">
        <f t="shared" si="13"/>
        <v>1</v>
      </c>
    </row>
    <row r="201" spans="1:20">
      <c r="A201" t="s">
        <v>371</v>
      </c>
      <c r="B201" t="s">
        <v>2787</v>
      </c>
      <c r="C201" t="s">
        <v>317</v>
      </c>
      <c r="D201" s="212">
        <v>158</v>
      </c>
      <c r="L201" t="s">
        <v>2994</v>
      </c>
      <c r="M201" s="462">
        <f>IF($D$201="","",ROUND($D$201*mult_mtong,0))</f>
        <v>158</v>
      </c>
      <c r="N201" s="462" t="str">
        <f>IF($E$201="","",ROUND($E$201*mult_mtong,0))</f>
        <v/>
      </c>
      <c r="O201" s="462" t="str">
        <f>IF($F$201="","",ROUND($F$201*mult_mtong,0))</f>
        <v/>
      </c>
      <c r="P201" s="462" t="str">
        <f>IF($G$201="","",ROUND($G$201*mult_mtong,0))</f>
        <v/>
      </c>
      <c r="Q201" s="462" t="str">
        <f>IF($H$201="","",ROUND($H$201*mult_wood,0))</f>
        <v/>
      </c>
      <c r="R201" s="462" t="str">
        <f>IF($I$201="","",ROUND($I$201*mult_wood,0))</f>
        <v/>
      </c>
      <c r="S201" s="462" t="str">
        <f>IF($J$201="","",ROUND($J$201*mult_wood,0))</f>
        <v/>
      </c>
      <c r="T201" s="461">
        <f t="shared" si="13"/>
        <v>1</v>
      </c>
    </row>
    <row r="202" spans="1:20">
      <c r="A202" t="s">
        <v>573</v>
      </c>
      <c r="B202" t="s">
        <v>2787</v>
      </c>
      <c r="C202" t="s">
        <v>317</v>
      </c>
      <c r="D202" s="212">
        <v>616</v>
      </c>
      <c r="L202" t="s">
        <v>2994</v>
      </c>
      <c r="M202" s="462">
        <f>IF($D$202="","",ROUND($D$202*mult_mtong,0))</f>
        <v>616</v>
      </c>
      <c r="N202" s="462" t="str">
        <f>IF($E$202="","",ROUND($E$202*mult_mtong,0))</f>
        <v/>
      </c>
      <c r="O202" s="462" t="str">
        <f>IF($F$202="","",ROUND($F$202*mult_mtong,0))</f>
        <v/>
      </c>
      <c r="P202" s="462" t="str">
        <f>IF($G$202="","",ROUND($G$202*mult_mtong,0))</f>
        <v/>
      </c>
      <c r="Q202" s="462" t="str">
        <f>IF($H$202="","",ROUND($H$202*mult_wood,0))</f>
        <v/>
      </c>
      <c r="R202" s="462" t="str">
        <f>IF($I$202="","",ROUND($I$202*mult_wood,0))</f>
        <v/>
      </c>
      <c r="S202" s="462" t="str">
        <f>IF($J$202="","",ROUND($J$202*mult_wood,0))</f>
        <v/>
      </c>
      <c r="T202" s="461">
        <f t="shared" si="13"/>
        <v>1</v>
      </c>
    </row>
    <row r="203" spans="1:20">
      <c r="A203" t="s">
        <v>576</v>
      </c>
      <c r="B203" t="s">
        <v>2787</v>
      </c>
      <c r="C203" t="s">
        <v>317</v>
      </c>
      <c r="D203" s="212">
        <v>2208</v>
      </c>
      <c r="L203" t="s">
        <v>2995</v>
      </c>
      <c r="M203" s="462">
        <f>IF($D$203="","",ROUND($D$203*mult_mtong,0))</f>
        <v>2208</v>
      </c>
      <c r="N203" s="462" t="str">
        <f>IF($E$203="","",ROUND($E$203*mult_mtong,0))</f>
        <v/>
      </c>
      <c r="O203" s="462" t="str">
        <f>IF($F$203="","",ROUND($F$203*mult_mtong,0))</f>
        <v/>
      </c>
      <c r="P203" s="462" t="str">
        <f>IF($G$203="","",ROUND($G$203*mult_mtong,0))</f>
        <v/>
      </c>
      <c r="Q203" s="462" t="str">
        <f>IF($H$203="","",ROUND($H$203*mult_wood,0))</f>
        <v/>
      </c>
      <c r="R203" s="462" t="str">
        <f>IF($I$203="","",ROUND($I$203*mult_wood,0))</f>
        <v/>
      </c>
      <c r="S203" s="462" t="str">
        <f>IF($J$203="","",ROUND($J$203*mult_wood,0))</f>
        <v/>
      </c>
      <c r="T203" s="461">
        <f t="shared" si="13"/>
        <v>1</v>
      </c>
    </row>
    <row r="204" spans="1:20">
      <c r="A204" t="s">
        <v>2906</v>
      </c>
      <c r="B204" t="s">
        <v>2907</v>
      </c>
      <c r="C204" t="s">
        <v>317</v>
      </c>
      <c r="D204">
        <v>280</v>
      </c>
      <c r="L204" t="s">
        <v>462</v>
      </c>
      <c r="M204" s="462">
        <f>IF($D$204="","",ROUND($D$204*mult_mtong,0))</f>
        <v>280</v>
      </c>
      <c r="N204" s="462" t="str">
        <f>IF($E$204="","",ROUND($E$204*mult_mtong,0))</f>
        <v/>
      </c>
      <c r="O204" s="462" t="str">
        <f>IF($F$204="","",ROUND($F$204*mult_mtong,0))</f>
        <v/>
      </c>
      <c r="P204" s="462" t="str">
        <f>IF($G$204="","",ROUND($G$204*mult_mtong,0))</f>
        <v/>
      </c>
      <c r="Q204" s="462" t="str">
        <f>IF($H$204="","",ROUND($H$204*mult_wood,0))</f>
        <v/>
      </c>
      <c r="R204" s="462" t="str">
        <f>IF($I$204="","",ROUND($I$204*mult_wood,0))</f>
        <v/>
      </c>
      <c r="S204" s="462" t="str">
        <f>IF($J$204="","",ROUND($J$204*mult_wood,0))</f>
        <v/>
      </c>
      <c r="T204" s="461">
        <f t="shared" si="13"/>
        <v>1</v>
      </c>
    </row>
    <row r="205" spans="1:20">
      <c r="A205" t="s">
        <v>3060</v>
      </c>
      <c r="B205" t="s">
        <v>3061</v>
      </c>
      <c r="C205" t="s">
        <v>317</v>
      </c>
      <c r="D205">
        <v>2273</v>
      </c>
      <c r="K205" t="s">
        <v>3062</v>
      </c>
      <c r="L205" t="s">
        <v>3063</v>
      </c>
      <c r="M205" s="462">
        <f>IF($D$205="","",ROUND($D$205*mult_mtong,0))</f>
        <v>2273</v>
      </c>
      <c r="N205" s="462" t="str">
        <f>IF($E$205="","",ROUND($E$205*mult_mtong,0))</f>
        <v/>
      </c>
      <c r="O205" s="462" t="str">
        <f>IF($F$205="","",ROUND($F$205*mult_mtong,0))</f>
        <v/>
      </c>
      <c r="P205" s="462" t="str">
        <f>IF($G$205="","",ROUND($G$205*mult_mtong,0))</f>
        <v/>
      </c>
      <c r="Q205" s="462" t="str">
        <f>IF($H$205="","",ROUND($H$205*mult_wood,0))</f>
        <v/>
      </c>
      <c r="R205" s="462" t="str">
        <f>IF($I$205="","",ROUND($I$205*mult_wood,0))</f>
        <v/>
      </c>
      <c r="S205" s="462" t="str">
        <f>IF($J$205="","",ROUND($J$205*mult_wood,0))</f>
        <v/>
      </c>
      <c r="T205" s="461">
        <f>mult_mtong</f>
        <v>1</v>
      </c>
    </row>
    <row r="206" spans="1:20">
      <c r="A206" t="s">
        <v>1518</v>
      </c>
      <c r="B206" t="s">
        <v>455</v>
      </c>
      <c r="C206" t="s">
        <v>108</v>
      </c>
      <c r="D206">
        <v>995</v>
      </c>
      <c r="K206" t="s">
        <v>2972</v>
      </c>
      <c r="L206" t="s">
        <v>455</v>
      </c>
      <c r="M206" s="462">
        <f>IF($D$206="","",ROUND($D$206*mult_sms,0))</f>
        <v>995</v>
      </c>
      <c r="N206" s="462" t="str">
        <f>IF($E$206="","",ROUND($E$206*mult_sms,0))</f>
        <v/>
      </c>
      <c r="O206" s="462" t="str">
        <f>IF($F$206="","",ROUND($F$206*mult_sms,0))</f>
        <v/>
      </c>
      <c r="P206" s="462" t="str">
        <f>IF($G$206="","",ROUND($G$206*mult_sms,0))</f>
        <v/>
      </c>
      <c r="Q206" s="462" t="str">
        <f>IF($H$206="","",ROUND($H$206*mult_wood,0))</f>
        <v/>
      </c>
      <c r="R206" s="462" t="str">
        <f>IF($I$206="","",ROUND($I$206*mult_wood,0))</f>
        <v/>
      </c>
      <c r="S206" s="462" t="str">
        <f>IF($J$206="","",ROUND($J$206*mult_wood,0))</f>
        <v/>
      </c>
      <c r="T206" s="461">
        <f t="shared" ref="T206:T213" si="14">mult_sms</f>
        <v>1</v>
      </c>
    </row>
    <row r="207" spans="1:20">
      <c r="A207" t="s">
        <v>2735</v>
      </c>
      <c r="B207" t="s">
        <v>455</v>
      </c>
      <c r="C207" t="s">
        <v>108</v>
      </c>
      <c r="D207">
        <v>1000</v>
      </c>
      <c r="K207" t="s">
        <v>2972</v>
      </c>
      <c r="L207" t="s">
        <v>455</v>
      </c>
      <c r="M207" s="462">
        <f>IF($D$207="","",ROUND($D$207*mult_sms,0))</f>
        <v>1000</v>
      </c>
      <c r="N207" s="462" t="str">
        <f>IF($E$207="","",ROUND($E$207*mult_sms,0))</f>
        <v/>
      </c>
      <c r="O207" s="462" t="str">
        <f>IF($F$207="","",ROUND($F$207*mult_sms,0))</f>
        <v/>
      </c>
      <c r="P207" s="462" t="str">
        <f>IF($G$207="","",ROUND($G$207*mult_sms,0))</f>
        <v/>
      </c>
      <c r="Q207" s="462" t="str">
        <f>IF($H$207="","",ROUND($H$207*mult_wood,0))</f>
        <v/>
      </c>
      <c r="R207" s="462" t="str">
        <f>IF($I$207="","",ROUND($I$207*mult_wood,0))</f>
        <v/>
      </c>
      <c r="S207" s="462" t="str">
        <f>IF($J$207="","",ROUND($J$207*mult_wood,0))</f>
        <v/>
      </c>
      <c r="T207" s="461">
        <f t="shared" si="14"/>
        <v>1</v>
      </c>
    </row>
    <row r="208" spans="1:20">
      <c r="A208" t="s">
        <v>1519</v>
      </c>
      <c r="B208" t="s">
        <v>455</v>
      </c>
      <c r="C208" t="s">
        <v>108</v>
      </c>
      <c r="D208">
        <v>395</v>
      </c>
      <c r="K208" t="s">
        <v>2972</v>
      </c>
      <c r="L208" t="s">
        <v>455</v>
      </c>
      <c r="M208" s="462">
        <f>IF($D$208="","",ROUND($D$208*mult_sms,0))</f>
        <v>395</v>
      </c>
      <c r="N208" s="462" t="str">
        <f>IF($E$208="","",ROUND($E$208*mult_sms,0))</f>
        <v/>
      </c>
      <c r="O208" s="462" t="str">
        <f>IF($F$208="","",ROUND($F$208*mult_sms,0))</f>
        <v/>
      </c>
      <c r="P208" s="462" t="str">
        <f>IF($G$208="","",ROUND($G$208*mult_sms,0))</f>
        <v/>
      </c>
      <c r="Q208" s="462" t="str">
        <f>IF($H$208="","",ROUND($H$208*mult_wood,0))</f>
        <v/>
      </c>
      <c r="R208" s="462" t="str">
        <f>IF($I$208="","",ROUND($I$208*mult_wood,0))</f>
        <v/>
      </c>
      <c r="S208" s="462" t="str">
        <f>IF($J$208="","",ROUND($J$208*mult_wood,0))</f>
        <v/>
      </c>
      <c r="T208" s="461">
        <f t="shared" si="14"/>
        <v>1</v>
      </c>
    </row>
    <row r="209" spans="1:20">
      <c r="A209" t="s">
        <v>2736</v>
      </c>
      <c r="B209" t="s">
        <v>455</v>
      </c>
      <c r="C209" t="s">
        <v>108</v>
      </c>
      <c r="D209">
        <v>840</v>
      </c>
      <c r="K209" t="s">
        <v>2972</v>
      </c>
      <c r="L209" t="s">
        <v>455</v>
      </c>
      <c r="M209" s="462">
        <f>IF($D$209="","",ROUND($D$209*mult_sms,0))</f>
        <v>840</v>
      </c>
      <c r="N209" s="462" t="str">
        <f>IF($E$209="","",ROUND($E$209*mult_sms,0))</f>
        <v/>
      </c>
      <c r="O209" s="462" t="str">
        <f>IF($F$209="","",ROUND($F$209*mult_sms,0))</f>
        <v/>
      </c>
      <c r="P209" s="462" t="str">
        <f>IF($G$209="","",ROUND($G$209*mult_sms,0))</f>
        <v/>
      </c>
      <c r="Q209" s="462" t="str">
        <f>IF($H$209="","",ROUND($H$209*mult_wood,0))</f>
        <v/>
      </c>
      <c r="R209" s="462" t="str">
        <f>IF($I$209="","",ROUND($I$209*mult_wood,0))</f>
        <v/>
      </c>
      <c r="S209" s="462" t="str">
        <f>IF($J$209="","",ROUND($J$209*mult_wood,0))</f>
        <v/>
      </c>
      <c r="T209" s="461">
        <f t="shared" si="14"/>
        <v>1</v>
      </c>
    </row>
    <row r="210" spans="1:20">
      <c r="A210" t="s">
        <v>2737</v>
      </c>
      <c r="B210" t="s">
        <v>455</v>
      </c>
      <c r="C210" t="s">
        <v>108</v>
      </c>
      <c r="D210">
        <v>600</v>
      </c>
      <c r="K210" t="s">
        <v>2972</v>
      </c>
      <c r="L210" t="s">
        <v>455</v>
      </c>
      <c r="M210" s="462">
        <f>IF($D$210="","",ROUND($D$210*mult_sms,0))</f>
        <v>600</v>
      </c>
      <c r="N210" s="462" t="str">
        <f>IF($E$210="","",ROUND($E$210*mult_sms,0))</f>
        <v/>
      </c>
      <c r="O210" s="462" t="str">
        <f>IF($F$210="","",ROUND($F$210*mult_sms,0))</f>
        <v/>
      </c>
      <c r="P210" s="462" t="str">
        <f>IF($G$210="","",ROUND($G$210*mult_sms,0))</f>
        <v/>
      </c>
      <c r="Q210" s="462" t="str">
        <f>IF($H$210="","",ROUND($H$210*mult_wood,0))</f>
        <v/>
      </c>
      <c r="R210" s="462" t="str">
        <f>IF($I$210="","",ROUND($I$210*mult_wood,0))</f>
        <v/>
      </c>
      <c r="S210" s="462" t="str">
        <f>IF($J$210="","",ROUND($J$210*mult_wood,0))</f>
        <v/>
      </c>
      <c r="T210" s="461">
        <f t="shared" si="14"/>
        <v>1</v>
      </c>
    </row>
    <row r="211" spans="1:20">
      <c r="A211" t="s">
        <v>2738</v>
      </c>
      <c r="B211" t="s">
        <v>455</v>
      </c>
      <c r="C211" t="s">
        <v>108</v>
      </c>
      <c r="D211">
        <v>195</v>
      </c>
      <c r="K211" t="s">
        <v>2972</v>
      </c>
      <c r="L211" t="s">
        <v>455</v>
      </c>
      <c r="M211" s="462">
        <f>IF($D$211="","",ROUND($D$211*mult_sms,0))</f>
        <v>195</v>
      </c>
      <c r="N211" s="462" t="str">
        <f>IF($E$211="","",ROUND($E$211*mult_sms,0))</f>
        <v/>
      </c>
      <c r="O211" s="462" t="str">
        <f>IF($F$211="","",ROUND($F$211*mult_sms,0))</f>
        <v/>
      </c>
      <c r="P211" s="462" t="str">
        <f>IF($G$211="","",ROUND($G$211*mult_sms,0))</f>
        <v/>
      </c>
      <c r="Q211" s="462" t="str">
        <f>IF($H$211="","",ROUND($H$211*mult_wood,0))</f>
        <v/>
      </c>
      <c r="R211" s="462" t="str">
        <f>IF($I$211="","",ROUND($I$211*mult_wood,0))</f>
        <v/>
      </c>
      <c r="S211" s="462" t="str">
        <f>IF($J$211="","",ROUND($J$211*mult_wood,0))</f>
        <v/>
      </c>
      <c r="T211" s="461">
        <f t="shared" si="14"/>
        <v>1</v>
      </c>
    </row>
    <row r="212" spans="1:20">
      <c r="A212" t="s">
        <v>2739</v>
      </c>
      <c r="B212" t="s">
        <v>455</v>
      </c>
      <c r="C212" t="s">
        <v>108</v>
      </c>
      <c r="D212">
        <v>1175</v>
      </c>
      <c r="K212" t="s">
        <v>2972</v>
      </c>
      <c r="L212" t="s">
        <v>455</v>
      </c>
      <c r="M212" s="462">
        <f>IF($D$212="","",ROUND($D$212*mult_sms,0))</f>
        <v>1175</v>
      </c>
      <c r="N212" s="462" t="str">
        <f>IF($E$212="","",ROUND($E$212*mult_sms,0))</f>
        <v/>
      </c>
      <c r="O212" s="462" t="str">
        <f>IF($F$212="","",ROUND($F$212*mult_sms,0))</f>
        <v/>
      </c>
      <c r="P212" s="462" t="str">
        <f>IF($G$212="","",ROUND($G$212*mult_sms,0))</f>
        <v/>
      </c>
      <c r="Q212" s="462" t="str">
        <f>IF($H$212="","",ROUND($H$212*mult_wood,0))</f>
        <v/>
      </c>
      <c r="R212" s="462" t="str">
        <f>IF($I$212="","",ROUND($I$212*mult_wood,0))</f>
        <v/>
      </c>
      <c r="S212" s="462" t="str">
        <f>IF($J$212="","",ROUND($J$212*mult_wood,0))</f>
        <v/>
      </c>
      <c r="T212" s="461">
        <f t="shared" si="14"/>
        <v>1</v>
      </c>
    </row>
    <row r="213" spans="1:20">
      <c r="A213" t="s">
        <v>1521</v>
      </c>
      <c r="B213" t="s">
        <v>455</v>
      </c>
      <c r="C213" t="s">
        <v>108</v>
      </c>
      <c r="D213">
        <v>60</v>
      </c>
      <c r="K213" t="s">
        <v>2972</v>
      </c>
      <c r="L213" t="s">
        <v>455</v>
      </c>
      <c r="M213" s="462">
        <f>IF($D$213="","",ROUND($D$213*mult_sms,0))</f>
        <v>60</v>
      </c>
      <c r="N213" s="462" t="str">
        <f>IF($E$213="","",ROUND($E$213*mult_sms,0))</f>
        <v/>
      </c>
      <c r="O213" s="462" t="str">
        <f>IF($F$213="","",ROUND($F$213*mult_sms,0))</f>
        <v/>
      </c>
      <c r="P213" s="462" t="str">
        <f>IF($G$213="","",ROUND($G$213*mult_sms,0))</f>
        <v/>
      </c>
      <c r="Q213" s="462" t="str">
        <f>IF($H$213="","",ROUND($H$213*mult_wood,0))</f>
        <v/>
      </c>
      <c r="R213" s="462" t="str">
        <f>IF($I$213="","",ROUND($I$213*mult_wood,0))</f>
        <v/>
      </c>
      <c r="S213" s="462" t="str">
        <f>IF($J$213="","",ROUND($J$213*mult_wood,0))</f>
        <v/>
      </c>
      <c r="T213" s="461">
        <f t="shared" si="14"/>
        <v>1</v>
      </c>
    </row>
    <row r="214" spans="1:20">
      <c r="A214" t="s">
        <v>2740</v>
      </c>
      <c r="B214" t="s">
        <v>77</v>
      </c>
      <c r="C214" t="s">
        <v>401</v>
      </c>
      <c r="D214">
        <v>768</v>
      </c>
      <c r="L214" t="s">
        <v>77</v>
      </c>
      <c r="M214" s="462">
        <f>IF($D$214="","",ROUND($D$214*mult_velora,0))</f>
        <v>768</v>
      </c>
      <c r="N214" s="462" t="str">
        <f>IF($E$214="","",ROUND($E$214*mult_velora,0))</f>
        <v/>
      </c>
      <c r="O214" s="462" t="str">
        <f>IF($F$214="","",ROUND($F$214*mult_velora,0))</f>
        <v/>
      </c>
      <c r="P214" s="462" t="str">
        <f>IF($G$214="","",ROUND($G$214*mult_velora,0))</f>
        <v/>
      </c>
      <c r="Q214" s="462" t="str">
        <f>IF($H$214="","",ROUND($H$214*mult_wood,0))</f>
        <v/>
      </c>
      <c r="R214" s="462" t="str">
        <f>IF($I$214="","",ROUND($I$214*mult_wood,0))</f>
        <v/>
      </c>
      <c r="S214" s="462" t="str">
        <f>IF($J$214="","",ROUND($J$214*mult_wood,0))</f>
        <v/>
      </c>
      <c r="T214" s="461">
        <f>mult_velora</f>
        <v>1</v>
      </c>
    </row>
    <row r="215" spans="1:20">
      <c r="A215" t="s">
        <v>2741</v>
      </c>
      <c r="B215" t="s">
        <v>77</v>
      </c>
      <c r="C215" t="s">
        <v>401</v>
      </c>
      <c r="D215">
        <v>720</v>
      </c>
      <c r="L215" t="s">
        <v>77</v>
      </c>
      <c r="M215" s="462">
        <f>IF($D$215="","",ROUND($D$215*mult_velora,0))</f>
        <v>720</v>
      </c>
      <c r="N215" s="462" t="str">
        <f>IF($E$215="","",ROUND($E$215*mult_velora,0))</f>
        <v/>
      </c>
      <c r="O215" s="462" t="str">
        <f>IF($F$215="","",ROUND($F$215*mult_velora,0))</f>
        <v/>
      </c>
      <c r="P215" s="462" t="str">
        <f>IF($G$215="","",ROUND($G$215*mult_velora,0))</f>
        <v/>
      </c>
      <c r="Q215" s="462" t="str">
        <f>IF($H$215="","",ROUND($H$215*mult_wood,0))</f>
        <v/>
      </c>
      <c r="R215" s="462" t="str">
        <f>IF($I$215="","",ROUND($I$215*mult_wood,0))</f>
        <v/>
      </c>
      <c r="S215" s="462" t="str">
        <f>IF($J$215="","",ROUND($J$215*mult_wood,0))</f>
        <v/>
      </c>
      <c r="T215" s="461">
        <f>mult_velora</f>
        <v>1</v>
      </c>
    </row>
    <row r="216" spans="1:20">
      <c r="A216" t="s">
        <v>1468</v>
      </c>
      <c r="B216" t="s">
        <v>948</v>
      </c>
      <c r="C216" t="s">
        <v>404</v>
      </c>
      <c r="D216">
        <v>742</v>
      </c>
      <c r="L216" t="s">
        <v>948</v>
      </c>
      <c r="M216" s="462">
        <f>IF($D$216="","",ROUND($D$216*mult_sms,0))</f>
        <v>742</v>
      </c>
      <c r="N216" s="462" t="str">
        <f>IF($E$216="","",ROUND($E$216*mult_sms,0))</f>
        <v/>
      </c>
      <c r="O216" s="462" t="str">
        <f>IF($F$216="","",ROUND($F$216*mult_sms,0))</f>
        <v/>
      </c>
      <c r="P216" s="462" t="str">
        <f>IF($G$216="","",ROUND($G$216*mult_sms,0))</f>
        <v/>
      </c>
      <c r="Q216" s="462" t="str">
        <f>IF($H$216="","",ROUND($H$216*mult_wood,0))</f>
        <v/>
      </c>
      <c r="R216" s="462" t="str">
        <f>IF($I$216="","",ROUND($I$216*mult_wood,0))</f>
        <v/>
      </c>
      <c r="S216" s="462" t="str">
        <f>IF($J$216="","",ROUND($J$216*mult_wood,0))</f>
        <v/>
      </c>
      <c r="T216" s="461">
        <f>mult_sms</f>
        <v>1</v>
      </c>
    </row>
    <row r="217" spans="1:20">
      <c r="A217" t="s">
        <v>2742</v>
      </c>
      <c r="B217" t="s">
        <v>948</v>
      </c>
      <c r="C217" t="s">
        <v>404</v>
      </c>
      <c r="D217">
        <v>825</v>
      </c>
      <c r="L217" t="s">
        <v>948</v>
      </c>
      <c r="M217" s="462">
        <f>IF($D$217="","",ROUND($D$217*mult_sms,0))</f>
        <v>825</v>
      </c>
      <c r="N217" s="462" t="str">
        <f>IF($E$217="","",ROUND($E$217*mult_sms,0))</f>
        <v/>
      </c>
      <c r="O217" s="462" t="str">
        <f>IF($F$217="","",ROUND($F$217*mult_sms,0))</f>
        <v/>
      </c>
      <c r="P217" s="462" t="str">
        <f>IF($G$217="","",ROUND($G$217*mult_sms,0))</f>
        <v/>
      </c>
      <c r="Q217" s="462" t="str">
        <f>IF($H$217="","",ROUND($H$217*mult_wood,0))</f>
        <v/>
      </c>
      <c r="R217" s="462" t="str">
        <f>IF($I$217="","",ROUND($I$217*mult_wood,0))</f>
        <v/>
      </c>
      <c r="S217" s="462" t="str">
        <f>IF($J$217="","",ROUND($J$217*mult_wood,0))</f>
        <v/>
      </c>
      <c r="T217" s="461">
        <f>mult_sms</f>
        <v>1</v>
      </c>
    </row>
    <row r="218" spans="1:20">
      <c r="A218" t="s">
        <v>2743</v>
      </c>
      <c r="B218" t="s">
        <v>948</v>
      </c>
      <c r="C218" t="s">
        <v>404</v>
      </c>
      <c r="D218">
        <v>2152</v>
      </c>
      <c r="L218" t="s">
        <v>948</v>
      </c>
      <c r="M218" s="462">
        <f>IF($D$218="","",ROUND($D$218*mult_sms,0))</f>
        <v>2152</v>
      </c>
      <c r="N218" s="462" t="str">
        <f>IF($E$218="","",ROUND($E$218*mult_sms,0))</f>
        <v/>
      </c>
      <c r="O218" s="462" t="str">
        <f>IF($F$218="","",ROUND($F$218*mult_sms,0))</f>
        <v/>
      </c>
      <c r="P218" s="462" t="str">
        <f>IF($G$218="","",ROUND($G$218*mult_sms,0))</f>
        <v/>
      </c>
      <c r="Q218" s="462" t="str">
        <f>IF($H$218="","",ROUND($H$218*mult_wood,0))</f>
        <v/>
      </c>
      <c r="R218" s="462" t="str">
        <f>IF($I$218="","",ROUND($I$218*mult_wood,0))</f>
        <v/>
      </c>
      <c r="S218" s="462" t="str">
        <f>IF($J$218="","",ROUND($J$218*mult_wood,0))</f>
        <v/>
      </c>
      <c r="T218" s="461">
        <f>mult_sms</f>
        <v>1</v>
      </c>
    </row>
    <row r="219" spans="1:20">
      <c r="A219" t="s">
        <v>950</v>
      </c>
      <c r="B219" t="s">
        <v>2955</v>
      </c>
      <c r="C219" t="s">
        <v>175</v>
      </c>
      <c r="D219">
        <v>435</v>
      </c>
      <c r="E219">
        <v>465</v>
      </c>
      <c r="F219">
        <f>E219</f>
        <v>465</v>
      </c>
      <c r="G219">
        <v>475</v>
      </c>
      <c r="I219">
        <v>660</v>
      </c>
      <c r="J219">
        <v>660</v>
      </c>
      <c r="K219" t="s">
        <v>2956</v>
      </c>
      <c r="L219" t="s">
        <v>2984</v>
      </c>
      <c r="M219" s="462">
        <f>IF($D$219="","",ROUND($D$219*mult_euro,0))</f>
        <v>435</v>
      </c>
      <c r="N219" s="462">
        <f>IF($E$219="","",ROUND($E$219*mult_euro,0))</f>
        <v>465</v>
      </c>
      <c r="O219" s="462">
        <f>IF($F$219="","",ROUND($F$219*mult_euro,0))</f>
        <v>465</v>
      </c>
      <c r="P219" s="462">
        <f>IF($G$219="","",ROUND($G$219*mult_euro,0))</f>
        <v>475</v>
      </c>
      <c r="Q219" s="462" t="str">
        <f>IF($H$219="","",ROUND($H$219*mult_wood,0))</f>
        <v/>
      </c>
      <c r="R219" s="462">
        <f>IF($I$219="","",ROUND($I$219*mult_wood,0))</f>
        <v>660</v>
      </c>
      <c r="S219" s="462">
        <f>IF($J$219="","",ROUND($J$219*mult_wood,0))</f>
        <v>660</v>
      </c>
      <c r="T219" s="461">
        <f>mult_euro</f>
        <v>1</v>
      </c>
    </row>
    <row r="220" spans="1:20">
      <c r="A220" t="s">
        <v>2957</v>
      </c>
      <c r="B220" t="s">
        <v>2958</v>
      </c>
      <c r="C220" t="s">
        <v>175</v>
      </c>
      <c r="D220">
        <v>2165</v>
      </c>
      <c r="E220">
        <v>2310</v>
      </c>
      <c r="F220">
        <f>E220</f>
        <v>2310</v>
      </c>
      <c r="G220">
        <v>2355</v>
      </c>
      <c r="I220">
        <v>3260</v>
      </c>
      <c r="J220">
        <v>3260</v>
      </c>
      <c r="K220" t="s">
        <v>2956</v>
      </c>
      <c r="L220" t="s">
        <v>2984</v>
      </c>
      <c r="M220" s="462">
        <f>IF($D$220="","",ROUND($D$220*mult_euro,0))</f>
        <v>2165</v>
      </c>
      <c r="N220" s="462">
        <f>IF($E$220="","",ROUND($E$220*mult_euro,0))</f>
        <v>2310</v>
      </c>
      <c r="O220" s="462">
        <f>IF($F$220="","",ROUND($F$220*mult_euro,0))</f>
        <v>2310</v>
      </c>
      <c r="P220" s="462">
        <f>IF($G$220="","",ROUND($G$220*mult_euro,0))</f>
        <v>2355</v>
      </c>
      <c r="Q220" s="462" t="str">
        <f>IF($H$220="","",ROUND($H$220*mult_wood,0))</f>
        <v/>
      </c>
      <c r="R220" s="462">
        <f>IF($I$220="","",ROUND($I$220*mult_wood,0))</f>
        <v>3260</v>
      </c>
      <c r="S220" s="462">
        <f>IF($J$220="","",ROUND($J$220*mult_wood,0))</f>
        <v>3260</v>
      </c>
      <c r="T220" s="461">
        <f>mult_euro</f>
        <v>1</v>
      </c>
    </row>
  </sheetData>
  <mergeCells count="1">
    <mergeCell ref="A1:J1"/>
  </mergeCells>
  <hyperlinks>
    <hyperlink ref="L1" location="'สารบัญ'!A1" display="🏠 สารบัญ" xr:uid="{8716244B-4AE5-4840-8FE8-144757D04D8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37"/>
  <sheetViews>
    <sheetView workbookViewId="0">
      <selection activeCell="A7" sqref="A7:F11"/>
    </sheetView>
  </sheetViews>
  <sheetFormatPr defaultRowHeight="14.4"/>
  <cols>
    <col min="1" max="1" width="24" customWidth="1"/>
    <col min="2" max="2" width="7.44140625" customWidth="1"/>
    <col min="3" max="3" width="9.5546875" customWidth="1"/>
    <col min="4" max="5" width="12.77734375" customWidth="1"/>
    <col min="6" max="6" width="8.5546875" customWidth="1"/>
    <col min="7" max="7" width="4.44140625" customWidth="1"/>
    <col min="9" max="9" width="8.5546875" customWidth="1"/>
  </cols>
  <sheetData>
    <row r="1" spans="1:10" ht="17.399999999999999">
      <c r="A1" s="653" t="s">
        <v>431</v>
      </c>
      <c r="B1" s="650"/>
      <c r="C1" s="650"/>
      <c r="D1" s="650"/>
      <c r="E1" s="650"/>
      <c r="F1" s="650"/>
      <c r="G1" s="650"/>
      <c r="H1" s="650"/>
      <c r="I1" s="442" t="s">
        <v>68</v>
      </c>
      <c r="J1" s="294"/>
    </row>
    <row r="2" spans="1:10">
      <c r="A2" s="652" t="s">
        <v>432</v>
      </c>
      <c r="B2" s="650"/>
      <c r="C2" s="650"/>
      <c r="D2" s="650"/>
      <c r="E2" s="650"/>
      <c r="F2" s="650"/>
      <c r="G2" s="650"/>
      <c r="H2" s="650"/>
    </row>
    <row r="4" spans="1:10">
      <c r="A4" s="262" t="s">
        <v>433</v>
      </c>
    </row>
    <row r="5" spans="1:10">
      <c r="A5" s="273" t="s">
        <v>434</v>
      </c>
      <c r="B5" s="273" t="s">
        <v>74</v>
      </c>
      <c r="C5" s="273" t="s">
        <v>435</v>
      </c>
      <c r="D5" s="273" t="s">
        <v>76</v>
      </c>
      <c r="E5" s="273" t="s">
        <v>77</v>
      </c>
      <c r="F5" s="273" t="s">
        <v>436</v>
      </c>
      <c r="H5" s="390" t="s">
        <v>2779</v>
      </c>
    </row>
    <row r="6" spans="1:10">
      <c r="A6" s="391" t="str">
        <f>อัปเดตราคาอลู!$B$2</f>
        <v>24/8/69</v>
      </c>
      <c r="B6" s="274">
        <f>อัปเดตราคาอลู!B4</f>
        <v>187</v>
      </c>
      <c r="C6" s="274">
        <f>อัปเดตราคาอลู!B5</f>
        <v>187</v>
      </c>
      <c r="D6" s="274">
        <f>อัปเดตราคาอลู!B6</f>
        <v>164</v>
      </c>
      <c r="E6" s="274">
        <f>อัปเดตราคาอลู!B7</f>
        <v>230</v>
      </c>
      <c r="F6" s="274">
        <f>อัปเดตราคาอลู!B8</f>
        <v>188</v>
      </c>
    </row>
    <row r="7" spans="1:10">
      <c r="A7" s="391"/>
      <c r="B7" s="274"/>
      <c r="C7" s="274"/>
      <c r="D7" s="274"/>
      <c r="E7" s="274"/>
      <c r="F7" s="274"/>
    </row>
    <row r="8" spans="1:10">
      <c r="A8" s="391"/>
      <c r="B8" s="274"/>
      <c r="C8" s="274"/>
      <c r="D8" s="274"/>
      <c r="E8" s="274"/>
      <c r="F8" s="274"/>
    </row>
    <row r="9" spans="1:10">
      <c r="A9" s="391"/>
      <c r="B9" s="274"/>
      <c r="C9" s="274"/>
      <c r="D9" s="274"/>
      <c r="E9" s="274"/>
      <c r="F9" s="274"/>
    </row>
    <row r="10" spans="1:10">
      <c r="A10" s="391"/>
      <c r="B10" s="274"/>
      <c r="C10" s="274"/>
      <c r="D10" s="274"/>
      <c r="E10" s="274"/>
      <c r="F10" s="274"/>
    </row>
    <row r="11" spans="1:10">
      <c r="A11" s="391"/>
      <c r="B11" s="274"/>
      <c r="C11" s="274"/>
      <c r="D11" s="274"/>
      <c r="E11" s="274"/>
      <c r="F11" s="274"/>
    </row>
    <row r="14" spans="1:10">
      <c r="A14" s="262" t="s">
        <v>437</v>
      </c>
    </row>
    <row r="15" spans="1:10">
      <c r="A15" s="273" t="s">
        <v>399</v>
      </c>
      <c r="B15" s="273" t="s">
        <v>438</v>
      </c>
      <c r="C15" s="273" t="s">
        <v>439</v>
      </c>
      <c r="D15" s="273" t="s">
        <v>440</v>
      </c>
      <c r="E15" s="273" t="s">
        <v>441</v>
      </c>
      <c r="F15" s="273" t="s">
        <v>442</v>
      </c>
      <c r="G15" s="273" t="s">
        <v>443</v>
      </c>
    </row>
    <row r="16" spans="1:10">
      <c r="A16" s="119" t="s">
        <v>444</v>
      </c>
      <c r="B16" s="275" t="s">
        <v>445</v>
      </c>
      <c r="C16" s="276">
        <v>7365</v>
      </c>
      <c r="D16" s="277">
        <v>1881</v>
      </c>
      <c r="E16" s="278">
        <f>ROUND(C16*mult_sms+D16,0)</f>
        <v>9246</v>
      </c>
      <c r="F16" s="275">
        <v>9246</v>
      </c>
      <c r="G16" s="279" t="s">
        <v>446</v>
      </c>
    </row>
    <row r="17" spans="1:7">
      <c r="A17" s="119" t="s">
        <v>447</v>
      </c>
      <c r="B17" s="275" t="s">
        <v>445</v>
      </c>
      <c r="C17" s="276">
        <v>11220</v>
      </c>
      <c r="D17" s="277">
        <v>2145</v>
      </c>
      <c r="E17" s="278">
        <f>ROUND(C17*mult_euro+D17,0)</f>
        <v>13365</v>
      </c>
      <c r="F17" s="275">
        <v>13365</v>
      </c>
      <c r="G17" s="279" t="s">
        <v>446</v>
      </c>
    </row>
    <row r="18" spans="1:7">
      <c r="A18" s="119" t="s">
        <v>448</v>
      </c>
      <c r="B18" s="275" t="s">
        <v>445</v>
      </c>
      <c r="C18" s="276">
        <v>5968</v>
      </c>
      <c r="D18" s="277">
        <v>6953</v>
      </c>
      <c r="E18" s="278">
        <f>ROUND(C18*mult_slim+D18,0)</f>
        <v>12921</v>
      </c>
      <c r="F18" s="275">
        <v>12921</v>
      </c>
      <c r="G18" s="279" t="s">
        <v>446</v>
      </c>
    </row>
    <row r="19" spans="1:7">
      <c r="A19" s="119" t="s">
        <v>449</v>
      </c>
      <c r="B19" s="275" t="s">
        <v>445</v>
      </c>
      <c r="C19" s="276">
        <v>2207</v>
      </c>
      <c r="D19" s="277">
        <v>3263</v>
      </c>
      <c r="E19" s="278">
        <f>ROUND(C19*mult_velora+D19,0)</f>
        <v>5470</v>
      </c>
      <c r="F19" s="275">
        <v>5470</v>
      </c>
      <c r="G19" s="279" t="s">
        <v>446</v>
      </c>
    </row>
    <row r="20" spans="1:7">
      <c r="A20" s="119" t="s">
        <v>450</v>
      </c>
      <c r="B20" s="275" t="s">
        <v>445</v>
      </c>
      <c r="C20" s="276">
        <v>11158</v>
      </c>
      <c r="D20" s="277">
        <v>1527</v>
      </c>
      <c r="E20" s="278">
        <f>ROUND(C20*mult_sms+D20,0)</f>
        <v>12685</v>
      </c>
      <c r="F20" s="275">
        <v>12685</v>
      </c>
      <c r="G20" s="279" t="s">
        <v>446</v>
      </c>
    </row>
    <row r="21" spans="1:7">
      <c r="A21" s="119" t="s">
        <v>451</v>
      </c>
      <c r="B21" s="275" t="s">
        <v>445</v>
      </c>
      <c r="C21" s="276">
        <v>8560</v>
      </c>
      <c r="D21" s="277">
        <v>3255</v>
      </c>
      <c r="E21" s="278">
        <f t="shared" ref="E21:E26" si="0">ROUND(C21*mult_euro+D21,0)</f>
        <v>11815</v>
      </c>
      <c r="F21" s="275">
        <v>11815</v>
      </c>
      <c r="G21" s="279" t="s">
        <v>446</v>
      </c>
    </row>
    <row r="22" spans="1:7">
      <c r="A22" s="119" t="s">
        <v>452</v>
      </c>
      <c r="B22" s="275" t="s">
        <v>453</v>
      </c>
      <c r="C22" s="276">
        <v>5430</v>
      </c>
      <c r="D22" s="277">
        <v>3044</v>
      </c>
      <c r="E22" s="278">
        <f t="shared" si="0"/>
        <v>8474</v>
      </c>
      <c r="F22" s="275">
        <v>8474</v>
      </c>
      <c r="G22" s="279" t="s">
        <v>446</v>
      </c>
    </row>
    <row r="23" spans="1:7">
      <c r="A23" s="119" t="s">
        <v>454</v>
      </c>
      <c r="B23" s="275" t="s">
        <v>453</v>
      </c>
      <c r="C23" s="276">
        <v>4340</v>
      </c>
      <c r="D23" s="277">
        <v>1924</v>
      </c>
      <c r="E23" s="278">
        <f t="shared" si="0"/>
        <v>6264</v>
      </c>
      <c r="F23" s="275">
        <v>6264</v>
      </c>
      <c r="G23" s="279" t="s">
        <v>446</v>
      </c>
    </row>
    <row r="24" spans="1:7">
      <c r="A24" s="119" t="s">
        <v>455</v>
      </c>
      <c r="B24" s="275" t="s">
        <v>453</v>
      </c>
      <c r="C24" s="276">
        <v>5005</v>
      </c>
      <c r="D24" s="277">
        <v>3419</v>
      </c>
      <c r="E24" s="278">
        <f t="shared" si="0"/>
        <v>8424</v>
      </c>
      <c r="F24" s="275">
        <v>8424</v>
      </c>
      <c r="G24" s="279" t="s">
        <v>446</v>
      </c>
    </row>
    <row r="25" spans="1:7">
      <c r="A25" s="119" t="s">
        <v>456</v>
      </c>
      <c r="B25" s="275" t="s">
        <v>457</v>
      </c>
      <c r="C25" s="276">
        <v>10470</v>
      </c>
      <c r="D25" s="277">
        <v>6807</v>
      </c>
      <c r="E25" s="278">
        <f t="shared" si="0"/>
        <v>17277</v>
      </c>
      <c r="F25" s="275">
        <v>17277</v>
      </c>
      <c r="G25" s="279" t="s">
        <v>446</v>
      </c>
    </row>
    <row r="26" spans="1:7">
      <c r="A26" s="119" t="s">
        <v>458</v>
      </c>
      <c r="B26" s="275" t="s">
        <v>457</v>
      </c>
      <c r="C26" s="276">
        <v>13294</v>
      </c>
      <c r="D26" s="277">
        <v>2917</v>
      </c>
      <c r="E26" s="278">
        <f t="shared" si="0"/>
        <v>16211</v>
      </c>
      <c r="F26" s="275">
        <v>16211</v>
      </c>
      <c r="G26" s="279" t="s">
        <v>446</v>
      </c>
    </row>
    <row r="27" spans="1:7">
      <c r="A27" s="119" t="s">
        <v>459</v>
      </c>
      <c r="B27" s="275" t="s">
        <v>367</v>
      </c>
      <c r="C27" s="276">
        <v>3240</v>
      </c>
      <c r="D27" s="277">
        <v>764</v>
      </c>
      <c r="E27" s="278">
        <f>ROUND(C27*mult_mtong+D27,0)</f>
        <v>4004</v>
      </c>
      <c r="F27" s="275">
        <v>4004</v>
      </c>
      <c r="G27" s="279" t="s">
        <v>446</v>
      </c>
    </row>
    <row r="28" spans="1:7">
      <c r="A28" s="119" t="s">
        <v>460</v>
      </c>
      <c r="B28" s="275" t="s">
        <v>367</v>
      </c>
      <c r="C28" s="276">
        <v>0</v>
      </c>
      <c r="D28" s="277">
        <v>5100</v>
      </c>
      <c r="E28" s="278">
        <f>ROUND(C28*mult_mtong+D28,0)</f>
        <v>5100</v>
      </c>
      <c r="F28" s="275">
        <v>5100</v>
      </c>
      <c r="G28" s="279" t="s">
        <v>446</v>
      </c>
    </row>
    <row r="29" spans="1:7">
      <c r="A29" s="119" t="s">
        <v>461</v>
      </c>
      <c r="B29" s="275" t="s">
        <v>445</v>
      </c>
      <c r="C29" s="276">
        <v>0</v>
      </c>
      <c r="D29" s="277">
        <v>28077</v>
      </c>
      <c r="E29" s="278">
        <f>ROUND(C29*mult_mtong+D29,0)</f>
        <v>28077</v>
      </c>
      <c r="F29" s="275">
        <v>28077</v>
      </c>
      <c r="G29" s="279" t="s">
        <v>446</v>
      </c>
    </row>
    <row r="30" spans="1:7">
      <c r="A30" s="119" t="s">
        <v>462</v>
      </c>
      <c r="B30" s="275" t="s">
        <v>445</v>
      </c>
      <c r="C30" s="276">
        <v>4770</v>
      </c>
      <c r="D30" s="277">
        <v>7803</v>
      </c>
      <c r="E30" s="278">
        <f>ROUND(2990*mult_mtong+1780*mult_sms+D30,0)</f>
        <v>12573</v>
      </c>
      <c r="F30" s="275">
        <v>12573</v>
      </c>
      <c r="G30" s="279" t="s">
        <v>446</v>
      </c>
    </row>
    <row r="32" spans="1:7">
      <c r="A32" s="280" t="s">
        <v>463</v>
      </c>
    </row>
    <row r="33" spans="1:7">
      <c r="A33" s="281" t="s">
        <v>464</v>
      </c>
    </row>
    <row r="34" spans="1:7">
      <c r="A34" s="281" t="s">
        <v>465</v>
      </c>
    </row>
    <row r="35" spans="1:7">
      <c r="A35" s="282" t="s">
        <v>466</v>
      </c>
    </row>
    <row r="37" spans="1:7">
      <c r="A37" s="651" t="s">
        <v>467</v>
      </c>
      <c r="B37" s="650"/>
      <c r="C37" s="650"/>
      <c r="D37" s="650"/>
      <c r="E37" s="650"/>
      <c r="F37" s="650"/>
      <c r="G37" s="650"/>
    </row>
  </sheetData>
  <mergeCells count="3">
    <mergeCell ref="A37:G37"/>
    <mergeCell ref="A2:H2"/>
    <mergeCell ref="A1:H1"/>
  </mergeCells>
  <hyperlinks>
    <hyperlink ref="I1" location="'สารบัญ'!A1" display="🏠 สารบัญ" xr:uid="{AC906D03-E91D-4906-B6FC-3458FD7B7109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46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24" customWidth="1"/>
    <col min="2" max="2" width="21.109375" customWidth="1"/>
    <col min="3" max="3" width="5.44140625" customWidth="1"/>
    <col min="4" max="4" width="18" customWidth="1"/>
    <col min="7" max="7" width="8.5546875" customWidth="1"/>
  </cols>
  <sheetData>
    <row r="1" spans="1:8" ht="15.6">
      <c r="A1" s="301" t="s">
        <v>468</v>
      </c>
      <c r="G1" s="580" t="s">
        <v>68</v>
      </c>
      <c r="H1" s="294"/>
    </row>
    <row r="3" spans="1:8">
      <c r="A3" s="255" t="s">
        <v>49</v>
      </c>
    </row>
    <row r="4" spans="1:8">
      <c r="A4" s="118" t="s">
        <v>469</v>
      </c>
      <c r="B4" s="118" t="s">
        <v>470</v>
      </c>
      <c r="C4" s="118" t="s">
        <v>471</v>
      </c>
      <c r="D4" s="118" t="s">
        <v>472</v>
      </c>
    </row>
    <row r="5" spans="1:8">
      <c r="A5" s="119" t="s">
        <v>473</v>
      </c>
      <c r="B5" s="119" t="s">
        <v>474</v>
      </c>
      <c r="C5" s="119" t="s">
        <v>475</v>
      </c>
      <c r="D5" s="602">
        <v>284</v>
      </c>
    </row>
    <row r="6" spans="1:8">
      <c r="A6" s="119" t="s">
        <v>473</v>
      </c>
      <c r="B6" s="119" t="s">
        <v>476</v>
      </c>
      <c r="C6" s="119" t="s">
        <v>477</v>
      </c>
      <c r="D6" s="602">
        <v>50</v>
      </c>
    </row>
    <row r="7" spans="1:8">
      <c r="A7" s="119" t="s">
        <v>473</v>
      </c>
      <c r="B7" s="119" t="s">
        <v>478</v>
      </c>
      <c r="C7" s="119" t="s">
        <v>477</v>
      </c>
      <c r="D7" s="602">
        <v>50</v>
      </c>
    </row>
    <row r="8" spans="1:8">
      <c r="A8" s="119" t="s">
        <v>473</v>
      </c>
      <c r="B8" s="119" t="s">
        <v>479</v>
      </c>
      <c r="C8" s="119" t="s">
        <v>477</v>
      </c>
      <c r="D8" s="602">
        <v>50</v>
      </c>
    </row>
    <row r="9" spans="1:8">
      <c r="A9" s="119" t="s">
        <v>473</v>
      </c>
      <c r="B9" s="119" t="s">
        <v>480</v>
      </c>
      <c r="C9" s="119" t="s">
        <v>481</v>
      </c>
      <c r="D9" s="602">
        <v>0.5</v>
      </c>
    </row>
    <row r="10" spans="1:8">
      <c r="A10" s="119" t="s">
        <v>473</v>
      </c>
      <c r="B10" s="119" t="s">
        <v>482</v>
      </c>
      <c r="C10" s="119" t="s">
        <v>481</v>
      </c>
      <c r="D10" s="602">
        <v>0.5</v>
      </c>
    </row>
    <row r="11" spans="1:8">
      <c r="A11" s="119" t="s">
        <v>473</v>
      </c>
      <c r="B11" s="119" t="s">
        <v>483</v>
      </c>
      <c r="C11" s="119" t="s">
        <v>484</v>
      </c>
      <c r="D11" s="602">
        <v>240</v>
      </c>
    </row>
    <row r="12" spans="1:8">
      <c r="A12" s="119" t="s">
        <v>473</v>
      </c>
      <c r="B12" s="119" t="s">
        <v>485</v>
      </c>
      <c r="C12" s="119" t="s">
        <v>486</v>
      </c>
      <c r="D12" s="602">
        <v>70</v>
      </c>
    </row>
    <row r="13" spans="1:8">
      <c r="A13" s="119" t="s">
        <v>473</v>
      </c>
      <c r="B13" s="119" t="s">
        <v>487</v>
      </c>
      <c r="C13" s="119" t="s">
        <v>477</v>
      </c>
      <c r="D13" s="602">
        <v>70</v>
      </c>
    </row>
    <row r="14" spans="1:8">
      <c r="A14" s="119" t="s">
        <v>473</v>
      </c>
      <c r="B14" s="119" t="s">
        <v>488</v>
      </c>
      <c r="C14" s="119" t="s">
        <v>475</v>
      </c>
      <c r="D14" s="602">
        <v>130</v>
      </c>
    </row>
    <row r="15" spans="1:8">
      <c r="A15" s="255" t="s">
        <v>52</v>
      </c>
    </row>
    <row r="16" spans="1:8">
      <c r="A16" s="118" t="s">
        <v>469</v>
      </c>
      <c r="B16" s="118" t="s">
        <v>470</v>
      </c>
      <c r="C16" s="118" t="s">
        <v>471</v>
      </c>
      <c r="D16" s="118" t="s">
        <v>472</v>
      </c>
    </row>
    <row r="17" spans="1:4">
      <c r="A17" s="119" t="s">
        <v>489</v>
      </c>
      <c r="B17" s="119" t="s">
        <v>490</v>
      </c>
      <c r="C17" s="119" t="s">
        <v>491</v>
      </c>
      <c r="D17" s="602">
        <v>300</v>
      </c>
    </row>
    <row r="18" spans="1:4">
      <c r="A18" s="119" t="s">
        <v>489</v>
      </c>
      <c r="B18" s="119" t="s">
        <v>492</v>
      </c>
      <c r="C18" s="119" t="s">
        <v>493</v>
      </c>
      <c r="D18" s="602">
        <v>300</v>
      </c>
    </row>
    <row r="19" spans="1:4">
      <c r="A19" s="119" t="s">
        <v>489</v>
      </c>
      <c r="B19" s="119" t="s">
        <v>494</v>
      </c>
      <c r="C19" s="119" t="s">
        <v>493</v>
      </c>
      <c r="D19" s="602">
        <v>300</v>
      </c>
    </row>
    <row r="20" spans="1:4">
      <c r="A20" s="119" t="s">
        <v>489</v>
      </c>
      <c r="B20" s="119" t="s">
        <v>495</v>
      </c>
      <c r="C20" s="119" t="s">
        <v>496</v>
      </c>
      <c r="D20" s="602">
        <v>35</v>
      </c>
    </row>
    <row r="21" spans="1:4">
      <c r="A21" s="119" t="s">
        <v>489</v>
      </c>
      <c r="B21" s="119" t="s">
        <v>497</v>
      </c>
      <c r="C21" s="119" t="s">
        <v>498</v>
      </c>
      <c r="D21" s="602">
        <v>40</v>
      </c>
    </row>
    <row r="22" spans="1:4">
      <c r="A22" s="119" t="s">
        <v>489</v>
      </c>
      <c r="B22" s="119" t="s">
        <v>499</v>
      </c>
      <c r="C22" s="119" t="s">
        <v>498</v>
      </c>
      <c r="D22" s="602">
        <v>6.666666666666667</v>
      </c>
    </row>
    <row r="23" spans="1:4">
      <c r="A23" s="119" t="s">
        <v>489</v>
      </c>
      <c r="B23" s="119" t="s">
        <v>500</v>
      </c>
      <c r="C23" s="119" t="s">
        <v>469</v>
      </c>
      <c r="D23" s="602">
        <v>400</v>
      </c>
    </row>
    <row r="24" spans="1:4">
      <c r="A24" s="255" t="s">
        <v>50</v>
      </c>
    </row>
    <row r="25" spans="1:4">
      <c r="A25" s="118" t="s">
        <v>469</v>
      </c>
      <c r="B25" s="118" t="s">
        <v>470</v>
      </c>
      <c r="C25" s="118" t="s">
        <v>471</v>
      </c>
      <c r="D25" s="118" t="s">
        <v>472</v>
      </c>
    </row>
    <row r="26" spans="1:4">
      <c r="A26" s="119" t="s">
        <v>501</v>
      </c>
      <c r="B26" s="119" t="s">
        <v>502</v>
      </c>
      <c r="C26" s="119" t="s">
        <v>475</v>
      </c>
      <c r="D26" s="602">
        <v>500</v>
      </c>
    </row>
    <row r="27" spans="1:4">
      <c r="A27" s="119" t="s">
        <v>501</v>
      </c>
      <c r="B27" s="119" t="s">
        <v>503</v>
      </c>
      <c r="C27" s="119" t="s">
        <v>477</v>
      </c>
      <c r="D27" s="602">
        <v>440</v>
      </c>
    </row>
    <row r="28" spans="1:4">
      <c r="A28" s="119" t="s">
        <v>501</v>
      </c>
      <c r="B28" s="119" t="s">
        <v>504</v>
      </c>
      <c r="C28" s="119" t="s">
        <v>477</v>
      </c>
      <c r="D28" s="602">
        <v>62</v>
      </c>
    </row>
    <row r="29" spans="1:4">
      <c r="A29" s="119" t="s">
        <v>501</v>
      </c>
      <c r="B29" s="119" t="s">
        <v>505</v>
      </c>
      <c r="C29" s="119" t="s">
        <v>477</v>
      </c>
      <c r="D29" s="602">
        <v>62</v>
      </c>
    </row>
    <row r="30" spans="1:4">
      <c r="A30" s="119" t="s">
        <v>501</v>
      </c>
      <c r="B30" s="119" t="s">
        <v>506</v>
      </c>
      <c r="C30" s="119" t="s">
        <v>475</v>
      </c>
      <c r="D30" s="602">
        <v>130</v>
      </c>
    </row>
    <row r="31" spans="1:4">
      <c r="A31" s="119" t="s">
        <v>501</v>
      </c>
      <c r="B31" s="119" t="s">
        <v>480</v>
      </c>
      <c r="C31" s="119" t="s">
        <v>481</v>
      </c>
      <c r="D31" s="602">
        <v>0.5</v>
      </c>
    </row>
    <row r="32" spans="1:4">
      <c r="A32" s="119" t="s">
        <v>501</v>
      </c>
      <c r="B32" s="119" t="s">
        <v>482</v>
      </c>
      <c r="C32" s="119" t="s">
        <v>481</v>
      </c>
      <c r="D32" s="602">
        <v>0.5</v>
      </c>
    </row>
    <row r="33" spans="1:4">
      <c r="A33" s="119" t="s">
        <v>501</v>
      </c>
      <c r="B33" s="119" t="s">
        <v>483</v>
      </c>
      <c r="C33" s="119" t="s">
        <v>484</v>
      </c>
      <c r="D33" s="602">
        <v>240</v>
      </c>
    </row>
    <row r="34" spans="1:4">
      <c r="A34" s="119" t="s">
        <v>501</v>
      </c>
      <c r="B34" s="119" t="s">
        <v>485</v>
      </c>
      <c r="C34" s="119" t="s">
        <v>486</v>
      </c>
      <c r="D34" s="602">
        <v>70</v>
      </c>
    </row>
    <row r="35" spans="1:4">
      <c r="A35" s="255" t="s">
        <v>51</v>
      </c>
    </row>
    <row r="36" spans="1:4">
      <c r="A36" s="118" t="s">
        <v>469</v>
      </c>
      <c r="B36" s="118" t="s">
        <v>470</v>
      </c>
      <c r="C36" s="118" t="s">
        <v>471</v>
      </c>
      <c r="D36" s="118" t="s">
        <v>472</v>
      </c>
    </row>
    <row r="37" spans="1:4">
      <c r="A37" s="119" t="s">
        <v>507</v>
      </c>
      <c r="B37" s="119" t="s">
        <v>508</v>
      </c>
      <c r="C37" s="119" t="s">
        <v>475</v>
      </c>
      <c r="D37" s="602">
        <v>2016</v>
      </c>
    </row>
    <row r="38" spans="1:4">
      <c r="A38" s="119" t="s">
        <v>507</v>
      </c>
      <c r="B38" s="119" t="s">
        <v>509</v>
      </c>
      <c r="C38" s="119" t="s">
        <v>475</v>
      </c>
      <c r="D38" s="602">
        <v>2520</v>
      </c>
    </row>
    <row r="39" spans="1:4">
      <c r="A39" s="119" t="s">
        <v>507</v>
      </c>
      <c r="B39" s="119" t="s">
        <v>510</v>
      </c>
      <c r="C39" s="119" t="s">
        <v>477</v>
      </c>
      <c r="D39" s="602">
        <v>1220</v>
      </c>
    </row>
    <row r="40" spans="1:4">
      <c r="A40" s="119" t="s">
        <v>507</v>
      </c>
      <c r="B40" s="119" t="s">
        <v>511</v>
      </c>
      <c r="C40" s="119" t="s">
        <v>477</v>
      </c>
      <c r="D40" s="602">
        <v>70</v>
      </c>
    </row>
    <row r="41" spans="1:4">
      <c r="A41" s="119" t="s">
        <v>507</v>
      </c>
      <c r="B41" s="119" t="s">
        <v>512</v>
      </c>
      <c r="C41" s="119" t="s">
        <v>469</v>
      </c>
      <c r="D41" s="602">
        <v>50</v>
      </c>
    </row>
    <row r="42" spans="1:4">
      <c r="A42" s="119" t="s">
        <v>66</v>
      </c>
      <c r="B42" s="119" t="s">
        <v>513</v>
      </c>
      <c r="C42" s="119" t="s">
        <v>514</v>
      </c>
      <c r="D42" s="602">
        <v>90</v>
      </c>
    </row>
    <row r="43" spans="1:4">
      <c r="A43" s="255" t="s">
        <v>2947</v>
      </c>
      <c r="B43" t="s">
        <v>2948</v>
      </c>
      <c r="C43" t="s">
        <v>475</v>
      </c>
      <c r="D43">
        <v>750</v>
      </c>
    </row>
    <row r="44" spans="1:4">
      <c r="A44" s="118" t="s">
        <v>469</v>
      </c>
      <c r="B44" s="118" t="s">
        <v>470</v>
      </c>
      <c r="C44" s="118" t="s">
        <v>471</v>
      </c>
      <c r="D44" s="118" t="s">
        <v>472</v>
      </c>
    </row>
    <row r="45" spans="1:4">
      <c r="A45" s="119" t="s">
        <v>515</v>
      </c>
      <c r="B45" s="119" t="s">
        <v>516</v>
      </c>
      <c r="C45" s="119" t="s">
        <v>477</v>
      </c>
      <c r="D45" s="602">
        <v>190</v>
      </c>
    </row>
    <row r="46" spans="1:4">
      <c r="A46" s="119" t="s">
        <v>515</v>
      </c>
      <c r="B46" s="119" t="s">
        <v>517</v>
      </c>
      <c r="C46" s="119" t="s">
        <v>477</v>
      </c>
      <c r="D46" s="602">
        <v>50</v>
      </c>
    </row>
  </sheetData>
  <sheetProtection sheet="1" objects="1" scenarios="1"/>
  <hyperlinks>
    <hyperlink ref="G1" location="'สารบัญ'!A1" display="🏠 สารบัญ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3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5.88671875" customWidth="1"/>
    <col min="2" max="2" width="24" customWidth="1"/>
    <col min="3" max="3" width="7.44140625" customWidth="1"/>
    <col min="4" max="4" width="6.44140625" customWidth="1"/>
    <col min="5" max="5" width="24" customWidth="1"/>
    <col min="7" max="7" width="8.5546875" customWidth="1"/>
  </cols>
  <sheetData>
    <row r="1" spans="1:8" ht="15.6">
      <c r="A1" s="649" t="s">
        <v>518</v>
      </c>
      <c r="B1" s="650"/>
      <c r="C1" s="650"/>
      <c r="D1" s="650"/>
      <c r="E1" s="650"/>
      <c r="F1" s="243"/>
      <c r="G1" s="580" t="s">
        <v>68</v>
      </c>
      <c r="H1" s="294"/>
    </row>
    <row r="2" spans="1:8">
      <c r="A2" s="96" t="s">
        <v>519</v>
      </c>
      <c r="B2" s="96" t="s">
        <v>520</v>
      </c>
      <c r="C2" s="96" t="s">
        <v>521</v>
      </c>
      <c r="D2" s="96" t="s">
        <v>522</v>
      </c>
      <c r="E2" s="96" t="s">
        <v>523</v>
      </c>
    </row>
    <row r="3" spans="1:8">
      <c r="A3" s="103" t="s">
        <v>524</v>
      </c>
      <c r="B3" s="103" t="s">
        <v>525</v>
      </c>
      <c r="C3" s="603">
        <v>4500</v>
      </c>
      <c r="D3" s="603">
        <v>1700</v>
      </c>
      <c r="E3" s="103"/>
    </row>
    <row r="4" spans="1:8">
      <c r="A4" s="97"/>
      <c r="B4" s="97" t="s">
        <v>526</v>
      </c>
      <c r="C4" s="604">
        <v>12500</v>
      </c>
      <c r="D4" s="604">
        <v>1700</v>
      </c>
      <c r="E4" s="97"/>
    </row>
    <row r="5" spans="1:8">
      <c r="A5" s="103" t="s">
        <v>527</v>
      </c>
      <c r="B5" s="103" t="s">
        <v>528</v>
      </c>
      <c r="C5" s="603">
        <v>4500</v>
      </c>
      <c r="D5" s="603">
        <v>1700</v>
      </c>
      <c r="E5" s="103"/>
    </row>
    <row r="6" spans="1:8">
      <c r="A6" s="97"/>
      <c r="B6" s="97" t="s">
        <v>529</v>
      </c>
      <c r="C6" s="604">
        <v>12500</v>
      </c>
      <c r="D6" s="604">
        <v>1700</v>
      </c>
      <c r="E6" s="97"/>
    </row>
    <row r="7" spans="1:8">
      <c r="A7" s="97"/>
      <c r="B7" s="97" t="s">
        <v>530</v>
      </c>
      <c r="C7" s="604">
        <v>13325</v>
      </c>
      <c r="D7" s="604">
        <v>1700</v>
      </c>
      <c r="E7" s="97" t="s">
        <v>2785</v>
      </c>
    </row>
    <row r="8" spans="1:8">
      <c r="A8" s="97"/>
      <c r="B8" s="97" t="s">
        <v>531</v>
      </c>
      <c r="C8" s="604">
        <v>340</v>
      </c>
      <c r="D8" s="604"/>
      <c r="E8" s="97" t="s">
        <v>2783</v>
      </c>
    </row>
    <row r="9" spans="1:8">
      <c r="A9" s="97"/>
      <c r="B9" s="97" t="s">
        <v>532</v>
      </c>
      <c r="C9" s="604">
        <v>1100</v>
      </c>
      <c r="D9" s="604"/>
      <c r="E9" s="97" t="s">
        <v>2784</v>
      </c>
    </row>
    <row r="10" spans="1:8">
      <c r="A10" s="103" t="s">
        <v>534</v>
      </c>
      <c r="B10" s="103" t="s">
        <v>535</v>
      </c>
      <c r="C10" s="603">
        <v>1800</v>
      </c>
      <c r="D10" s="603"/>
      <c r="E10" s="103" t="s">
        <v>536</v>
      </c>
    </row>
    <row r="11" spans="1:8">
      <c r="A11" s="103" t="s">
        <v>537</v>
      </c>
      <c r="B11" s="103" t="s">
        <v>538</v>
      </c>
      <c r="C11" s="603">
        <v>1800</v>
      </c>
      <c r="D11" s="603"/>
      <c r="E11" s="103" t="s">
        <v>539</v>
      </c>
    </row>
    <row r="12" spans="1:8">
      <c r="A12" s="103" t="s">
        <v>454</v>
      </c>
      <c r="B12" s="103" t="s">
        <v>540</v>
      </c>
      <c r="C12" s="603">
        <v>3575</v>
      </c>
      <c r="D12" s="603">
        <v>1700</v>
      </c>
      <c r="E12" s="103" t="s">
        <v>541</v>
      </c>
    </row>
    <row r="13" spans="1:8">
      <c r="A13" s="97"/>
      <c r="B13" s="97" t="s">
        <v>542</v>
      </c>
      <c r="C13" s="604">
        <v>3725</v>
      </c>
      <c r="D13" s="604">
        <v>1700</v>
      </c>
      <c r="E13" s="97" t="s">
        <v>541</v>
      </c>
    </row>
    <row r="14" spans="1:8">
      <c r="A14" s="97"/>
      <c r="B14" s="97" t="s">
        <v>543</v>
      </c>
      <c r="C14" s="604">
        <v>1900</v>
      </c>
      <c r="D14" s="604">
        <v>1700</v>
      </c>
      <c r="E14" s="97"/>
    </row>
    <row r="15" spans="1:8">
      <c r="A15" s="97"/>
      <c r="B15" s="97" t="s">
        <v>544</v>
      </c>
      <c r="C15" s="604">
        <v>2600</v>
      </c>
      <c r="D15" s="604">
        <v>1700</v>
      </c>
      <c r="E15" s="97"/>
    </row>
    <row r="16" spans="1:8">
      <c r="A16" s="97"/>
      <c r="B16" s="97" t="s">
        <v>545</v>
      </c>
      <c r="C16" s="604">
        <v>600</v>
      </c>
      <c r="D16" s="604"/>
      <c r="E16" s="97" t="s">
        <v>546</v>
      </c>
    </row>
    <row r="17" spans="1:5">
      <c r="A17" s="103" t="s">
        <v>547</v>
      </c>
      <c r="B17" s="103" t="s">
        <v>548</v>
      </c>
      <c r="C17" s="603">
        <v>13480</v>
      </c>
      <c r="D17" s="603">
        <v>1700</v>
      </c>
      <c r="E17" s="103" t="s">
        <v>453</v>
      </c>
    </row>
    <row r="18" spans="1:5">
      <c r="A18" s="97"/>
      <c r="B18" s="97" t="s">
        <v>549</v>
      </c>
      <c r="C18" s="604">
        <v>75</v>
      </c>
      <c r="D18" s="604"/>
      <c r="E18" s="97" t="s">
        <v>550</v>
      </c>
    </row>
    <row r="19" spans="1:5">
      <c r="A19" s="97"/>
      <c r="B19" s="97" t="s">
        <v>551</v>
      </c>
      <c r="C19" s="604">
        <v>6500</v>
      </c>
      <c r="D19" s="604"/>
      <c r="E19" s="97" t="s">
        <v>552</v>
      </c>
    </row>
    <row r="20" spans="1:5">
      <c r="A20" s="97"/>
      <c r="B20" s="97" t="s">
        <v>553</v>
      </c>
      <c r="C20" s="604">
        <v>8000</v>
      </c>
      <c r="D20" s="604"/>
      <c r="E20" s="97" t="s">
        <v>536</v>
      </c>
    </row>
    <row r="21" spans="1:5">
      <c r="A21" s="97"/>
      <c r="B21" s="97" t="s">
        <v>554</v>
      </c>
      <c r="C21" s="604">
        <v>1000</v>
      </c>
      <c r="D21" s="604"/>
      <c r="E21" s="97" t="s">
        <v>555</v>
      </c>
    </row>
    <row r="22" spans="1:5">
      <c r="A22" s="97"/>
      <c r="B22" s="97" t="s">
        <v>556</v>
      </c>
      <c r="C22" s="604">
        <v>950</v>
      </c>
      <c r="D22" s="604"/>
      <c r="E22" s="97" t="s">
        <v>557</v>
      </c>
    </row>
    <row r="23" spans="1:5">
      <c r="A23" s="97"/>
      <c r="B23" s="97" t="s">
        <v>558</v>
      </c>
      <c r="C23" s="604">
        <v>1000</v>
      </c>
      <c r="D23" s="604"/>
      <c r="E23" s="97" t="s">
        <v>533</v>
      </c>
    </row>
    <row r="24" spans="1:5">
      <c r="A24" s="97"/>
      <c r="B24" s="97" t="s">
        <v>559</v>
      </c>
      <c r="C24" s="604">
        <v>9000</v>
      </c>
      <c r="D24" s="604"/>
      <c r="E24" s="97" t="s">
        <v>533</v>
      </c>
    </row>
    <row r="25" spans="1:5">
      <c r="A25" s="103" t="s">
        <v>76</v>
      </c>
      <c r="B25" s="103" t="s">
        <v>560</v>
      </c>
      <c r="C25" s="603">
        <v>6900</v>
      </c>
      <c r="D25" s="603">
        <v>1700</v>
      </c>
      <c r="E25" s="103" t="s">
        <v>561</v>
      </c>
    </row>
    <row r="26" spans="1:5">
      <c r="A26" s="97"/>
      <c r="B26" s="97" t="s">
        <v>562</v>
      </c>
      <c r="C26" s="604">
        <v>2250</v>
      </c>
      <c r="D26" s="604"/>
      <c r="E26" s="97" t="s">
        <v>563</v>
      </c>
    </row>
    <row r="27" spans="1:5">
      <c r="A27" s="97"/>
      <c r="B27" s="97" t="s">
        <v>564</v>
      </c>
      <c r="C27" s="604">
        <v>1100</v>
      </c>
      <c r="D27" s="604"/>
      <c r="E27" s="97" t="s">
        <v>565</v>
      </c>
    </row>
    <row r="28" spans="1:5">
      <c r="A28" s="97"/>
      <c r="B28" s="97" t="s">
        <v>566</v>
      </c>
      <c r="C28" s="604">
        <v>2750</v>
      </c>
      <c r="D28" s="604"/>
      <c r="E28" s="97" t="s">
        <v>567</v>
      </c>
    </row>
    <row r="29" spans="1:5">
      <c r="A29" s="97"/>
      <c r="B29" s="97" t="s">
        <v>568</v>
      </c>
      <c r="C29" s="604">
        <v>100</v>
      </c>
      <c r="D29" s="604"/>
      <c r="E29" s="97" t="s">
        <v>567</v>
      </c>
    </row>
    <row r="30" spans="1:5">
      <c r="A30" s="489" t="s">
        <v>663</v>
      </c>
      <c r="B30" s="489" t="s">
        <v>2942</v>
      </c>
      <c r="C30" s="605">
        <v>10000</v>
      </c>
      <c r="D30" s="605"/>
      <c r="E30" s="489" t="s">
        <v>3057</v>
      </c>
    </row>
    <row r="31" spans="1:5" ht="22.05" customHeight="1">
      <c r="A31" s="490"/>
      <c r="B31" s="489" t="s">
        <v>2943</v>
      </c>
      <c r="C31" s="605">
        <v>500</v>
      </c>
      <c r="D31" s="605"/>
      <c r="E31" s="489" t="s">
        <v>3058</v>
      </c>
    </row>
    <row r="32" spans="1:5">
      <c r="A32" s="489"/>
      <c r="B32" s="489" t="s">
        <v>2944</v>
      </c>
      <c r="C32" s="605">
        <v>2000</v>
      </c>
      <c r="D32" s="605"/>
      <c r="E32" s="489" t="s">
        <v>3059</v>
      </c>
    </row>
  </sheetData>
  <mergeCells count="1">
    <mergeCell ref="A1:E1"/>
  </mergeCells>
  <hyperlinks>
    <hyperlink ref="G1" location="'สารบัญ'!A1" display="🏠 สารบัญ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21"/>
  <sheetViews>
    <sheetView workbookViewId="0"/>
  </sheetViews>
  <sheetFormatPr defaultRowHeight="14.4"/>
  <cols>
    <col min="1" max="1" width="46" customWidth="1"/>
    <col min="2" max="2" width="19.109375" customWidth="1"/>
    <col min="3" max="4" width="11.6640625" customWidth="1"/>
    <col min="5" max="5" width="18" customWidth="1"/>
    <col min="6" max="6" width="8.5546875" customWidth="1"/>
  </cols>
  <sheetData>
    <row r="1" spans="1:6" ht="15.6">
      <c r="A1" s="654" t="s">
        <v>2865</v>
      </c>
      <c r="B1" s="650"/>
      <c r="C1" s="650"/>
      <c r="D1" s="650"/>
      <c r="E1" s="650"/>
      <c r="F1" s="580" t="s">
        <v>68</v>
      </c>
    </row>
    <row r="2" spans="1:6">
      <c r="A2" s="655" t="s">
        <v>577</v>
      </c>
      <c r="B2" s="650"/>
      <c r="C2" s="650"/>
      <c r="D2" s="650"/>
      <c r="E2" s="650"/>
    </row>
    <row r="3" spans="1:6">
      <c r="B3" s="125" t="s">
        <v>470</v>
      </c>
      <c r="C3" s="125" t="s">
        <v>471</v>
      </c>
      <c r="D3" s="125" t="s">
        <v>472</v>
      </c>
      <c r="E3" s="125" t="s">
        <v>569</v>
      </c>
    </row>
    <row r="4" spans="1:6">
      <c r="B4" s="127" t="s">
        <v>578</v>
      </c>
      <c r="C4" s="128" t="s">
        <v>579</v>
      </c>
      <c r="D4" s="129">
        <v>1540</v>
      </c>
      <c r="E4" s="130" t="s">
        <v>580</v>
      </c>
    </row>
    <row r="5" spans="1:6">
      <c r="B5" s="127" t="s">
        <v>581</v>
      </c>
      <c r="C5" s="128" t="s">
        <v>582</v>
      </c>
      <c r="D5" s="129">
        <v>245</v>
      </c>
      <c r="E5" s="130" t="s">
        <v>583</v>
      </c>
    </row>
    <row r="6" spans="1:6">
      <c r="B6" s="127" t="s">
        <v>584</v>
      </c>
      <c r="C6" s="128" t="s">
        <v>585</v>
      </c>
      <c r="D6" s="129">
        <v>4700</v>
      </c>
      <c r="E6" s="130" t="s">
        <v>586</v>
      </c>
    </row>
    <row r="7" spans="1:6">
      <c r="B7" s="127" t="s">
        <v>587</v>
      </c>
      <c r="C7" s="128" t="s">
        <v>498</v>
      </c>
      <c r="D7" s="129">
        <v>1200</v>
      </c>
      <c r="E7" s="130" t="s">
        <v>588</v>
      </c>
    </row>
    <row r="8" spans="1:6">
      <c r="B8" s="127" t="s">
        <v>589</v>
      </c>
      <c r="C8" s="128" t="s">
        <v>590</v>
      </c>
      <c r="D8" s="129">
        <v>420</v>
      </c>
      <c r="E8" s="130" t="s">
        <v>591</v>
      </c>
    </row>
    <row r="9" spans="1:6">
      <c r="B9" s="127" t="s">
        <v>592</v>
      </c>
      <c r="C9" s="128" t="s">
        <v>593</v>
      </c>
      <c r="D9" s="129">
        <v>2800</v>
      </c>
      <c r="E9" s="130" t="s">
        <v>594</v>
      </c>
    </row>
    <row r="10" spans="1:6">
      <c r="B10" s="127" t="s">
        <v>595</v>
      </c>
      <c r="C10" s="128" t="s">
        <v>593</v>
      </c>
      <c r="D10" s="129">
        <v>2100</v>
      </c>
      <c r="E10" s="130" t="s">
        <v>594</v>
      </c>
    </row>
    <row r="11" spans="1:6">
      <c r="B11" s="127" t="s">
        <v>596</v>
      </c>
      <c r="C11" s="128" t="s">
        <v>593</v>
      </c>
      <c r="D11" s="129">
        <v>2200</v>
      </c>
      <c r="E11" s="130" t="s">
        <v>580</v>
      </c>
    </row>
    <row r="12" spans="1:6">
      <c r="B12" s="127" t="s">
        <v>597</v>
      </c>
      <c r="C12" s="128" t="s">
        <v>593</v>
      </c>
      <c r="D12" s="129">
        <f>ราคากระจก!$B$32</f>
        <v>883</v>
      </c>
      <c r="E12" s="130" t="s">
        <v>2868</v>
      </c>
    </row>
    <row r="13" spans="1:6">
      <c r="B13" s="127" t="s">
        <v>598</v>
      </c>
      <c r="C13" s="128" t="s">
        <v>593</v>
      </c>
      <c r="D13" s="129">
        <f>ราคากระจก!$B$33</f>
        <v>861</v>
      </c>
      <c r="E13" s="130" t="s">
        <v>2868</v>
      </c>
    </row>
    <row r="14" spans="1:6">
      <c r="A14" s="303"/>
      <c r="B14" s="127" t="s">
        <v>599</v>
      </c>
      <c r="C14" s="128" t="s">
        <v>593</v>
      </c>
      <c r="D14" s="129">
        <v>1050</v>
      </c>
      <c r="E14" s="130" t="s">
        <v>600</v>
      </c>
    </row>
    <row r="15" spans="1:6">
      <c r="B15" s="127" t="s">
        <v>601</v>
      </c>
      <c r="C15" s="128" t="s">
        <v>593</v>
      </c>
      <c r="D15" s="129">
        <v>4348</v>
      </c>
      <c r="E15" s="130" t="s">
        <v>602</v>
      </c>
    </row>
    <row r="16" spans="1:6">
      <c r="B16" s="127" t="s">
        <v>603</v>
      </c>
      <c r="C16" s="128" t="s">
        <v>477</v>
      </c>
      <c r="D16" s="129">
        <v>4080</v>
      </c>
      <c r="E16" s="130"/>
    </row>
    <row r="17" spans="1:5">
      <c r="B17" s="127" t="s">
        <v>604</v>
      </c>
      <c r="C17" s="128" t="s">
        <v>593</v>
      </c>
      <c r="D17" s="129">
        <v>1400</v>
      </c>
      <c r="E17" s="130" t="s">
        <v>605</v>
      </c>
    </row>
    <row r="19" spans="1:5">
      <c r="A19" t="s">
        <v>2949</v>
      </c>
    </row>
    <row r="20" spans="1:5">
      <c r="B20" t="s">
        <v>2950</v>
      </c>
      <c r="C20" t="s">
        <v>498</v>
      </c>
      <c r="D20" s="423">
        <v>990</v>
      </c>
      <c r="E20" t="s">
        <v>2951</v>
      </c>
    </row>
    <row r="21" spans="1:5">
      <c r="B21" t="s">
        <v>2952</v>
      </c>
      <c r="C21" t="s">
        <v>498</v>
      </c>
      <c r="D21" s="423">
        <v>1035</v>
      </c>
      <c r="E21" t="s">
        <v>2951</v>
      </c>
    </row>
  </sheetData>
  <mergeCells count="2">
    <mergeCell ref="A1:E1"/>
    <mergeCell ref="A2:E2"/>
  </mergeCells>
  <hyperlinks>
    <hyperlink ref="F1" location="'สารบัญ'!A1" display="🏠 สารบัญ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F10"/>
  <sheetViews>
    <sheetView workbookViewId="0"/>
  </sheetViews>
  <sheetFormatPr defaultRowHeight="14.4"/>
  <cols>
    <col min="1" max="1" width="14" customWidth="1"/>
    <col min="2" max="3" width="12" customWidth="1"/>
    <col min="4" max="4" width="15" customWidth="1"/>
    <col min="5" max="5" width="14" customWidth="1"/>
    <col min="6" max="6" width="12.77734375" customWidth="1"/>
  </cols>
  <sheetData>
    <row r="1" spans="1:6" ht="15.6">
      <c r="A1" s="654" t="s">
        <v>2871</v>
      </c>
      <c r="B1" s="650"/>
      <c r="C1" s="650"/>
      <c r="D1" s="650"/>
      <c r="E1" s="650"/>
      <c r="F1" s="583" t="s">
        <v>68</v>
      </c>
    </row>
    <row r="2" spans="1:6">
      <c r="A2" s="656" t="s">
        <v>2872</v>
      </c>
      <c r="B2" s="657"/>
      <c r="C2" s="657"/>
      <c r="D2" s="657"/>
      <c r="E2" s="658"/>
    </row>
    <row r="3" spans="1:6" ht="27.6">
      <c r="A3" s="125" t="s">
        <v>606</v>
      </c>
      <c r="B3" s="125" t="s">
        <v>607</v>
      </c>
      <c r="C3" s="125" t="s">
        <v>608</v>
      </c>
      <c r="D3" s="125" t="s">
        <v>609</v>
      </c>
      <c r="E3" s="125" t="s">
        <v>610</v>
      </c>
      <c r="F3" t="s">
        <v>2795</v>
      </c>
    </row>
    <row r="4" spans="1:6">
      <c r="A4" s="127" t="s">
        <v>2873</v>
      </c>
      <c r="B4" s="127" t="s">
        <v>611</v>
      </c>
      <c r="C4" s="127">
        <v>6</v>
      </c>
      <c r="D4" s="129">
        <v>170</v>
      </c>
      <c r="E4" s="127">
        <f>ROUND(D4/C4,2)</f>
        <v>28.33</v>
      </c>
      <c r="F4" t="s">
        <v>2796</v>
      </c>
    </row>
    <row r="5" spans="1:6">
      <c r="A5" s="127" t="s">
        <v>2873</v>
      </c>
      <c r="B5" s="127" t="s">
        <v>612</v>
      </c>
      <c r="C5" s="127">
        <v>6</v>
      </c>
      <c r="D5" s="129">
        <v>460</v>
      </c>
      <c r="E5" s="127">
        <f>ROUND(D5/C5,2)</f>
        <v>76.67</v>
      </c>
      <c r="F5" s="393" t="s">
        <v>2797</v>
      </c>
    </row>
    <row r="6" spans="1:6">
      <c r="A6" s="127" t="s">
        <v>2873</v>
      </c>
      <c r="B6" s="127" t="s">
        <v>613</v>
      </c>
      <c r="C6" s="127">
        <v>6</v>
      </c>
      <c r="D6" s="129">
        <v>600</v>
      </c>
      <c r="E6" s="127">
        <f>ROUND(D6/C6,2)</f>
        <v>100</v>
      </c>
      <c r="F6" s="394" t="s">
        <v>2798</v>
      </c>
    </row>
    <row r="7" spans="1:6">
      <c r="A7" s="127" t="s">
        <v>2873</v>
      </c>
      <c r="B7" s="127" t="s">
        <v>614</v>
      </c>
      <c r="C7" s="127">
        <v>6</v>
      </c>
      <c r="D7" s="129">
        <v>940</v>
      </c>
      <c r="E7" s="127">
        <f>ROUND(D7/C7,2)</f>
        <v>156.66999999999999</v>
      </c>
      <c r="F7" s="393" t="s">
        <v>2797</v>
      </c>
    </row>
    <row r="8" spans="1:6">
      <c r="A8" s="127" t="s">
        <v>2873</v>
      </c>
      <c r="B8" s="127" t="s">
        <v>615</v>
      </c>
      <c r="C8" s="127">
        <v>6</v>
      </c>
      <c r="D8" s="129">
        <v>280</v>
      </c>
      <c r="E8" s="127">
        <f>ROUND(D8/C8,2)</f>
        <v>46.67</v>
      </c>
      <c r="F8" t="s">
        <v>2799</v>
      </c>
    </row>
    <row r="9" spans="1:6">
      <c r="A9" s="127" t="s">
        <v>2874</v>
      </c>
      <c r="B9" s="127" t="s">
        <v>367</v>
      </c>
      <c r="C9" s="127" t="s">
        <v>367</v>
      </c>
      <c r="D9" s="444">
        <v>15</v>
      </c>
      <c r="E9" s="127"/>
      <c r="F9" t="s">
        <v>2864</v>
      </c>
    </row>
    <row r="10" spans="1:6">
      <c r="A10" s="127" t="s">
        <v>2945</v>
      </c>
      <c r="B10" s="127" t="s">
        <v>367</v>
      </c>
      <c r="C10" s="127">
        <v>6</v>
      </c>
      <c r="D10" s="129">
        <v>860</v>
      </c>
      <c r="E10" s="127"/>
      <c r="F10" t="s">
        <v>2946</v>
      </c>
    </row>
  </sheetData>
  <mergeCells count="2">
    <mergeCell ref="A2:E2"/>
    <mergeCell ref="A1:E1"/>
  </mergeCells>
  <hyperlinks>
    <hyperlink ref="F1" location="'สารบัญ'!A1" display="🏠 สารบัญ" xr:uid="{E08F43AB-5932-4BC6-963F-5D8C086F736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N68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12.77734375" customWidth="1"/>
    <col min="4" max="4" width="14.77734375" customWidth="1"/>
    <col min="5" max="5" width="13.77734375" customWidth="1"/>
    <col min="7" max="7" width="10.6640625" customWidth="1"/>
    <col min="8" max="8" width="11.6640625" customWidth="1"/>
    <col min="9" max="9" width="10.6640625" customWidth="1"/>
    <col min="10" max="10" width="16.88671875" customWidth="1"/>
    <col min="11" max="11" width="18" customWidth="1"/>
    <col min="14" max="14" width="26" customWidth="1"/>
  </cols>
  <sheetData>
    <row r="1" spans="1:14" ht="24" customHeight="1">
      <c r="A1" s="659" t="s">
        <v>616</v>
      </c>
      <c r="B1" s="650"/>
      <c r="C1" s="650"/>
      <c r="D1" s="650"/>
      <c r="E1" s="650"/>
      <c r="F1" s="243"/>
      <c r="G1" s="580" t="s">
        <v>68</v>
      </c>
      <c r="H1" s="294"/>
    </row>
    <row r="3" spans="1:14" ht="15" customHeight="1">
      <c r="A3" s="26" t="s">
        <v>617</v>
      </c>
      <c r="B3" s="584" t="s">
        <v>77</v>
      </c>
    </row>
    <row r="4" spans="1:14" ht="15" customHeight="1">
      <c r="A4" s="26" t="s">
        <v>618</v>
      </c>
      <c r="B4" s="584">
        <v>15.4</v>
      </c>
    </row>
    <row r="5" spans="1:14" ht="15" customHeight="1">
      <c r="A5" s="21" t="s">
        <v>619</v>
      </c>
      <c r="B5" s="92">
        <f>MAX(0,VLOOKUP(B3,$A$12:$E$58,2,0)+VLOOKUP(B3,$A$12:$E$58,3,0)*B4)</f>
        <v>1373.75</v>
      </c>
    </row>
    <row r="6" spans="1:14" ht="15" customHeight="1">
      <c r="A6" s="21" t="s">
        <v>620</v>
      </c>
      <c r="B6" s="92">
        <f>MAX(0,VLOOKUP(B3,$A$12:$E$58,4,0)+VLOOKUP(B3,$A$12:$E$58,5,0)*B4)</f>
        <v>1723.75</v>
      </c>
    </row>
    <row r="7" spans="1:14" ht="15" customHeight="1">
      <c r="A7" s="21" t="s">
        <v>621</v>
      </c>
      <c r="B7" s="93">
        <f>B5+B6</f>
        <v>3097.5</v>
      </c>
    </row>
    <row r="10" spans="1:14" ht="15" customHeight="1">
      <c r="A10" s="40" t="s">
        <v>622</v>
      </c>
      <c r="G10" s="395" t="s">
        <v>2800</v>
      </c>
      <c r="I10" s="585">
        <v>87.5</v>
      </c>
      <c r="N10" s="380" t="s">
        <v>623</v>
      </c>
    </row>
    <row r="11" spans="1:14" ht="15" customHeight="1">
      <c r="A11" s="51" t="s">
        <v>624</v>
      </c>
      <c r="B11" s="51" t="s">
        <v>625</v>
      </c>
      <c r="C11" s="51" t="s">
        <v>626</v>
      </c>
      <c r="D11" s="51" t="s">
        <v>627</v>
      </c>
      <c r="E11" s="51" t="s">
        <v>628</v>
      </c>
      <c r="G11" s="21" t="s">
        <v>629</v>
      </c>
      <c r="H11" s="21" t="s">
        <v>630</v>
      </c>
      <c r="I11" s="21" t="s">
        <v>631</v>
      </c>
      <c r="J11" s="21" t="s">
        <v>632</v>
      </c>
      <c r="K11" s="21" t="s">
        <v>633</v>
      </c>
      <c r="L11" s="21" t="s">
        <v>634</v>
      </c>
      <c r="M11" s="21" t="s">
        <v>635</v>
      </c>
      <c r="N11" s="21" t="s">
        <v>636</v>
      </c>
    </row>
    <row r="12" spans="1:14" ht="15" customHeight="1">
      <c r="A12" s="36" t="s">
        <v>444</v>
      </c>
      <c r="B12" s="410">
        <f t="shared" ref="B12:B24" si="0">G12*I12*L12</f>
        <v>787.5</v>
      </c>
      <c r="C12" s="410">
        <f t="shared" ref="C12:C24" si="1">J12*I12*L12</f>
        <v>43.3125</v>
      </c>
      <c r="D12" s="410">
        <f t="shared" ref="D12:D24" si="2">H12*I12*M12</f>
        <v>1225</v>
      </c>
      <c r="E12" s="410">
        <f t="shared" ref="E12:E24" si="3">K12*I12*M12</f>
        <v>29.750000000000004</v>
      </c>
      <c r="G12" s="425">
        <v>6</v>
      </c>
      <c r="H12" s="425">
        <v>7</v>
      </c>
      <c r="I12" s="427">
        <f t="shared" ref="I12:I58" si="4">$I$10</f>
        <v>87.5</v>
      </c>
      <c r="J12" s="425">
        <v>0.33</v>
      </c>
      <c r="K12" s="425">
        <v>0.17</v>
      </c>
      <c r="L12" s="426">
        <v>1.5</v>
      </c>
      <c r="M12" s="426">
        <v>2</v>
      </c>
      <c r="N12" s="381" t="s">
        <v>637</v>
      </c>
    </row>
    <row r="13" spans="1:14" ht="15" customHeight="1">
      <c r="A13" s="36" t="s">
        <v>447</v>
      </c>
      <c r="B13" s="410">
        <f t="shared" si="0"/>
        <v>787.5</v>
      </c>
      <c r="C13" s="410">
        <f t="shared" si="1"/>
        <v>49.875</v>
      </c>
      <c r="D13" s="410">
        <f t="shared" si="2"/>
        <v>1050</v>
      </c>
      <c r="E13" s="410">
        <f t="shared" si="3"/>
        <v>38.5</v>
      </c>
      <c r="G13" s="425">
        <v>6</v>
      </c>
      <c r="H13" s="425">
        <v>6</v>
      </c>
      <c r="I13" s="427">
        <f t="shared" si="4"/>
        <v>87.5</v>
      </c>
      <c r="J13" s="425">
        <v>0.38</v>
      </c>
      <c r="K13" s="425">
        <v>0.22</v>
      </c>
      <c r="L13" s="426">
        <v>1.5</v>
      </c>
      <c r="M13" s="426">
        <v>2</v>
      </c>
      <c r="N13" s="381" t="s">
        <v>637</v>
      </c>
    </row>
    <row r="14" spans="1:14" ht="22.8">
      <c r="A14" t="s">
        <v>462</v>
      </c>
      <c r="B14" s="411">
        <f>G14*I14*L14</f>
        <v>918.75</v>
      </c>
      <c r="C14" s="411">
        <f>J14*I14*L14</f>
        <v>32.8125</v>
      </c>
      <c r="D14" s="411">
        <f>H14*I14*M14</f>
        <v>1837.5</v>
      </c>
      <c r="E14" s="411">
        <f>K14*I14*M14</f>
        <v>65.625</v>
      </c>
      <c r="G14" s="425">
        <v>7</v>
      </c>
      <c r="H14" s="425">
        <v>7</v>
      </c>
      <c r="I14" s="427">
        <f t="shared" si="4"/>
        <v>87.5</v>
      </c>
      <c r="J14" s="425">
        <v>0.25</v>
      </c>
      <c r="K14" s="425">
        <v>0.25</v>
      </c>
      <c r="L14" s="426">
        <v>1.5</v>
      </c>
      <c r="M14" s="426">
        <v>3</v>
      </c>
      <c r="N14" s="381" t="s">
        <v>642</v>
      </c>
    </row>
    <row r="15" spans="1:14" ht="15" customHeight="1">
      <c r="A15" s="36" t="s">
        <v>76</v>
      </c>
      <c r="B15" s="410">
        <f t="shared" si="0"/>
        <v>918.75</v>
      </c>
      <c r="C15" s="410">
        <f t="shared" si="1"/>
        <v>59.0625</v>
      </c>
      <c r="D15" s="410">
        <f t="shared" si="2"/>
        <v>1837.5</v>
      </c>
      <c r="E15" s="410">
        <f t="shared" si="3"/>
        <v>65.625</v>
      </c>
      <c r="G15" s="425">
        <v>7</v>
      </c>
      <c r="H15" s="425">
        <v>7</v>
      </c>
      <c r="I15" s="427">
        <f t="shared" si="4"/>
        <v>87.5</v>
      </c>
      <c r="J15" s="425">
        <v>0.45</v>
      </c>
      <c r="K15" s="425">
        <v>0.25</v>
      </c>
      <c r="L15" s="426">
        <v>1.5</v>
      </c>
      <c r="M15" s="426">
        <v>3</v>
      </c>
      <c r="N15" s="381" t="s">
        <v>637</v>
      </c>
    </row>
    <row r="16" spans="1:14" ht="15" customHeight="1">
      <c r="A16" s="36" t="s">
        <v>77</v>
      </c>
      <c r="B16" s="410">
        <f t="shared" si="0"/>
        <v>700</v>
      </c>
      <c r="C16" s="410">
        <f t="shared" si="1"/>
        <v>43.75</v>
      </c>
      <c r="D16" s="410">
        <f t="shared" si="2"/>
        <v>1050</v>
      </c>
      <c r="E16" s="410">
        <f t="shared" si="3"/>
        <v>43.75</v>
      </c>
      <c r="G16" s="425">
        <v>8</v>
      </c>
      <c r="H16" s="425">
        <v>6</v>
      </c>
      <c r="I16" s="427">
        <f t="shared" si="4"/>
        <v>87.5</v>
      </c>
      <c r="J16" s="425">
        <v>0.5</v>
      </c>
      <c r="K16" s="425">
        <v>0.25</v>
      </c>
      <c r="L16" s="426">
        <v>1</v>
      </c>
      <c r="M16" s="426">
        <v>2</v>
      </c>
      <c r="N16" s="381" t="s">
        <v>637</v>
      </c>
    </row>
    <row r="17" spans="1:14" ht="15" customHeight="1">
      <c r="A17" s="36" t="s">
        <v>451</v>
      </c>
      <c r="B17" s="410">
        <f t="shared" si="0"/>
        <v>787.5</v>
      </c>
      <c r="C17" s="410">
        <f t="shared" si="1"/>
        <v>32.8125</v>
      </c>
      <c r="D17" s="410">
        <f t="shared" si="2"/>
        <v>1225</v>
      </c>
      <c r="E17" s="410">
        <f t="shared" si="3"/>
        <v>43.75</v>
      </c>
      <c r="G17" s="425">
        <v>6</v>
      </c>
      <c r="H17" s="425">
        <v>7</v>
      </c>
      <c r="I17" s="427">
        <f t="shared" si="4"/>
        <v>87.5</v>
      </c>
      <c r="J17" s="425">
        <v>0.25</v>
      </c>
      <c r="K17" s="425">
        <v>0.25</v>
      </c>
      <c r="L17" s="426">
        <v>1.5</v>
      </c>
      <c r="M17" s="426">
        <v>2</v>
      </c>
      <c r="N17" s="381" t="s">
        <v>637</v>
      </c>
    </row>
    <row r="18" spans="1:14" ht="22.8">
      <c r="A18" s="36" t="s">
        <v>461</v>
      </c>
      <c r="B18" s="412">
        <f>G18*I18*L18</f>
        <v>0</v>
      </c>
      <c r="C18" s="413">
        <f>J18*I18*L18</f>
        <v>52.5</v>
      </c>
      <c r="D18" s="412">
        <f>H18*I18*M18</f>
        <v>1225</v>
      </c>
      <c r="E18" s="413">
        <f>K18*I18*M18</f>
        <v>17.5</v>
      </c>
      <c r="G18" s="428">
        <v>0</v>
      </c>
      <c r="H18" s="428">
        <v>7</v>
      </c>
      <c r="I18" s="427">
        <f t="shared" ref="I18:I54" si="5">$I$10</f>
        <v>87.5</v>
      </c>
      <c r="J18" s="425">
        <v>0.4</v>
      </c>
      <c r="K18" s="425">
        <v>0.1</v>
      </c>
      <c r="L18" s="426">
        <v>1.5</v>
      </c>
      <c r="M18" s="426">
        <v>2</v>
      </c>
      <c r="N18" s="381" t="s">
        <v>642</v>
      </c>
    </row>
    <row r="19" spans="1:14" ht="15" customHeight="1">
      <c r="A19" s="36" t="s">
        <v>638</v>
      </c>
      <c r="B19" s="410">
        <f t="shared" si="0"/>
        <v>787.5</v>
      </c>
      <c r="C19" s="410">
        <f t="shared" si="1"/>
        <v>35.4375</v>
      </c>
      <c r="D19" s="410">
        <f t="shared" si="2"/>
        <v>743.75</v>
      </c>
      <c r="E19" s="410">
        <f t="shared" si="3"/>
        <v>45.5</v>
      </c>
      <c r="G19" s="425">
        <v>6</v>
      </c>
      <c r="H19" s="425">
        <v>2.125</v>
      </c>
      <c r="I19" s="427">
        <f t="shared" si="4"/>
        <v>87.5</v>
      </c>
      <c r="J19" s="425">
        <v>0.27</v>
      </c>
      <c r="K19" s="425">
        <v>0.13</v>
      </c>
      <c r="L19" s="426">
        <v>1.5</v>
      </c>
      <c r="M19" s="426">
        <v>4</v>
      </c>
      <c r="N19" s="381" t="s">
        <v>637</v>
      </c>
    </row>
    <row r="20" spans="1:14" ht="22.8">
      <c r="A20" t="s">
        <v>646</v>
      </c>
      <c r="B20" s="411">
        <f>G20*I20*L20</f>
        <v>1050</v>
      </c>
      <c r="C20" s="411">
        <f>J20*I20*L20</f>
        <v>35.4375</v>
      </c>
      <c r="D20" s="411">
        <f>H20*I20*M20</f>
        <v>2450</v>
      </c>
      <c r="E20" s="411">
        <f>K20*I20*M20</f>
        <v>82.6875</v>
      </c>
      <c r="G20" s="425">
        <v>8</v>
      </c>
      <c r="H20" s="425">
        <v>8</v>
      </c>
      <c r="I20" s="427">
        <f t="shared" si="4"/>
        <v>87.5</v>
      </c>
      <c r="J20" s="425">
        <v>0.27</v>
      </c>
      <c r="K20" s="425">
        <v>0.27</v>
      </c>
      <c r="L20" s="426">
        <v>1.5</v>
      </c>
      <c r="M20" s="426">
        <v>3.5</v>
      </c>
      <c r="N20" s="381" t="s">
        <v>642</v>
      </c>
    </row>
    <row r="21" spans="1:14" ht="15" customHeight="1">
      <c r="A21" s="36" t="s">
        <v>639</v>
      </c>
      <c r="B21" s="410">
        <f t="shared" si="0"/>
        <v>525</v>
      </c>
      <c r="C21" s="410">
        <f t="shared" si="1"/>
        <v>0</v>
      </c>
      <c r="D21" s="410">
        <f t="shared" si="2"/>
        <v>525</v>
      </c>
      <c r="E21" s="410">
        <f t="shared" si="3"/>
        <v>0</v>
      </c>
      <c r="G21" s="425">
        <v>3</v>
      </c>
      <c r="H21" s="425">
        <v>3</v>
      </c>
      <c r="I21" s="427">
        <f t="shared" si="4"/>
        <v>87.5</v>
      </c>
      <c r="J21" s="425">
        <v>0</v>
      </c>
      <c r="K21" s="425">
        <v>0</v>
      </c>
      <c r="L21" s="426">
        <v>2</v>
      </c>
      <c r="M21" s="426">
        <v>2</v>
      </c>
      <c r="N21" s="381" t="s">
        <v>3194</v>
      </c>
    </row>
    <row r="22" spans="1:14" ht="34.200000000000003">
      <c r="A22" t="s">
        <v>643</v>
      </c>
      <c r="B22" s="411">
        <f>G22*I22*L22</f>
        <v>525</v>
      </c>
      <c r="C22" s="411">
        <f>J22*I22*L22</f>
        <v>0</v>
      </c>
      <c r="D22" s="411">
        <f>H22*I22*M22</f>
        <v>525</v>
      </c>
      <c r="E22" s="411">
        <f>K22*I22*M22</f>
        <v>0</v>
      </c>
      <c r="G22" s="425">
        <v>3</v>
      </c>
      <c r="H22" s="425">
        <v>3</v>
      </c>
      <c r="I22" s="427">
        <f t="shared" si="4"/>
        <v>87.5</v>
      </c>
      <c r="J22" s="425">
        <v>0</v>
      </c>
      <c r="K22" s="425">
        <v>0</v>
      </c>
      <c r="L22" s="426">
        <v>2</v>
      </c>
      <c r="M22" s="426">
        <v>2</v>
      </c>
      <c r="N22" s="381" t="s">
        <v>3194</v>
      </c>
    </row>
    <row r="23" spans="1:14" ht="22.8">
      <c r="A23" s="36" t="s">
        <v>60</v>
      </c>
      <c r="B23" s="410">
        <f>G23*I23*L23</f>
        <v>3062.5</v>
      </c>
      <c r="C23" s="410">
        <f>J23*I23*L23</f>
        <v>63.4375</v>
      </c>
      <c r="D23" s="410">
        <f>H23*I23*M23</f>
        <v>2450</v>
      </c>
      <c r="E23" s="410">
        <f>K23*I23*M23</f>
        <v>55.125</v>
      </c>
      <c r="G23" s="425">
        <v>14</v>
      </c>
      <c r="H23" s="425">
        <v>8</v>
      </c>
      <c r="I23" s="427">
        <f t="shared" si="5"/>
        <v>87.5</v>
      </c>
      <c r="J23" s="425">
        <v>0.28999999999999998</v>
      </c>
      <c r="K23" s="425">
        <v>0.18</v>
      </c>
      <c r="L23" s="426">
        <v>2.5</v>
      </c>
      <c r="M23" s="426">
        <v>3.5</v>
      </c>
      <c r="N23" s="381" t="s">
        <v>642</v>
      </c>
    </row>
    <row r="24" spans="1:14" ht="15" customHeight="1">
      <c r="A24" s="36" t="s">
        <v>640</v>
      </c>
      <c r="B24" s="410">
        <f t="shared" si="0"/>
        <v>2100</v>
      </c>
      <c r="C24" s="410">
        <f t="shared" si="1"/>
        <v>35.4375</v>
      </c>
      <c r="D24" s="410">
        <f t="shared" si="2"/>
        <v>1071.875</v>
      </c>
      <c r="E24" s="410">
        <f t="shared" si="3"/>
        <v>39.8125</v>
      </c>
      <c r="G24" s="425">
        <v>16</v>
      </c>
      <c r="H24" s="425">
        <v>3.5</v>
      </c>
      <c r="I24" s="427">
        <f t="shared" si="4"/>
        <v>87.5</v>
      </c>
      <c r="J24" s="425">
        <v>0.27</v>
      </c>
      <c r="K24" s="425">
        <v>0.13</v>
      </c>
      <c r="L24" s="426">
        <v>1.5</v>
      </c>
      <c r="M24" s="426">
        <v>3.5</v>
      </c>
      <c r="N24" s="381" t="s">
        <v>637</v>
      </c>
    </row>
    <row r="25" spans="1:14" ht="22.8">
      <c r="A25" t="s">
        <v>459</v>
      </c>
      <c r="B25" s="411">
        <f t="shared" ref="B25:B53" si="6">G25*I25*L25</f>
        <v>787.5</v>
      </c>
      <c r="C25" s="411">
        <f t="shared" ref="C25:C53" si="7">J25*I25*L25</f>
        <v>64.96875</v>
      </c>
      <c r="D25" s="411">
        <f t="shared" ref="D25:D53" si="8">H25*I25*M25</f>
        <v>1225</v>
      </c>
      <c r="E25" s="411">
        <f t="shared" ref="E25:E53" si="9">K25*I25*M25</f>
        <v>101.0625</v>
      </c>
      <c r="G25" s="425">
        <v>6</v>
      </c>
      <c r="H25" s="425">
        <v>4</v>
      </c>
      <c r="I25" s="427">
        <f t="shared" si="4"/>
        <v>87.5</v>
      </c>
      <c r="J25" s="425">
        <v>0.495</v>
      </c>
      <c r="K25" s="425">
        <v>0.33</v>
      </c>
      <c r="L25" s="426">
        <v>1.5</v>
      </c>
      <c r="M25" s="426">
        <v>3.5</v>
      </c>
      <c r="N25" s="381" t="s">
        <v>642</v>
      </c>
    </row>
    <row r="26" spans="1:14" ht="22.8">
      <c r="A26" t="s">
        <v>460</v>
      </c>
      <c r="B26" s="411">
        <f t="shared" si="6"/>
        <v>1050</v>
      </c>
      <c r="C26" s="411">
        <f t="shared" si="7"/>
        <v>52.5</v>
      </c>
      <c r="D26" s="411">
        <f t="shared" si="8"/>
        <v>2450</v>
      </c>
      <c r="E26" s="411">
        <f t="shared" si="9"/>
        <v>137.8125</v>
      </c>
      <c r="G26" s="425">
        <v>8</v>
      </c>
      <c r="H26" s="425">
        <v>8</v>
      </c>
      <c r="I26" s="427">
        <f t="shared" si="4"/>
        <v>87.5</v>
      </c>
      <c r="J26" s="425">
        <v>0.4</v>
      </c>
      <c r="K26" s="425">
        <v>0.45</v>
      </c>
      <c r="L26" s="426">
        <v>1.5</v>
      </c>
      <c r="M26" s="426">
        <v>3.5</v>
      </c>
      <c r="N26" s="381" t="s">
        <v>642</v>
      </c>
    </row>
    <row r="27" spans="1:14" ht="22.8">
      <c r="A27" t="s">
        <v>452</v>
      </c>
      <c r="B27" s="411">
        <f t="shared" si="6"/>
        <v>1225</v>
      </c>
      <c r="C27" s="411">
        <f t="shared" si="7"/>
        <v>35</v>
      </c>
      <c r="D27" s="411">
        <f t="shared" si="8"/>
        <v>1400</v>
      </c>
      <c r="E27" s="411">
        <f t="shared" si="9"/>
        <v>52.5</v>
      </c>
      <c r="G27" s="425">
        <v>14</v>
      </c>
      <c r="H27" s="425">
        <v>8</v>
      </c>
      <c r="I27" s="427">
        <f t="shared" si="4"/>
        <v>87.5</v>
      </c>
      <c r="J27" s="425">
        <v>0.4</v>
      </c>
      <c r="K27" s="425">
        <v>0.3</v>
      </c>
      <c r="L27" s="426">
        <v>1</v>
      </c>
      <c r="M27" s="426">
        <v>2</v>
      </c>
      <c r="N27" s="381" t="s">
        <v>642</v>
      </c>
    </row>
    <row r="28" spans="1:14" ht="22.8">
      <c r="A28" s="36" t="s">
        <v>658</v>
      </c>
      <c r="B28" s="410">
        <f t="shared" si="6"/>
        <v>1312.5</v>
      </c>
      <c r="C28" s="410">
        <f t="shared" si="7"/>
        <v>68.25</v>
      </c>
      <c r="D28" s="410">
        <f t="shared" si="8"/>
        <v>1225</v>
      </c>
      <c r="E28" s="410">
        <f t="shared" si="9"/>
        <v>40.25</v>
      </c>
      <c r="G28" s="425">
        <v>10</v>
      </c>
      <c r="H28" s="425">
        <v>7</v>
      </c>
      <c r="I28" s="427">
        <f t="shared" si="5"/>
        <v>87.5</v>
      </c>
      <c r="J28" s="425">
        <v>0.52</v>
      </c>
      <c r="K28" s="425">
        <v>0.23</v>
      </c>
      <c r="L28" s="426">
        <v>1.5</v>
      </c>
      <c r="M28" s="426">
        <v>2</v>
      </c>
      <c r="N28" s="381" t="s">
        <v>642</v>
      </c>
    </row>
    <row r="29" spans="1:14" ht="22.8">
      <c r="A29" s="36" t="s">
        <v>659</v>
      </c>
      <c r="B29" s="410">
        <f t="shared" si="6"/>
        <v>1750</v>
      </c>
      <c r="C29" s="410">
        <f t="shared" si="7"/>
        <v>109.375</v>
      </c>
      <c r="D29" s="410">
        <f t="shared" si="8"/>
        <v>1225</v>
      </c>
      <c r="E29" s="410">
        <f t="shared" si="9"/>
        <v>43.75</v>
      </c>
      <c r="G29" s="425">
        <v>8</v>
      </c>
      <c r="H29" s="425">
        <v>7</v>
      </c>
      <c r="I29" s="427">
        <f t="shared" si="5"/>
        <v>87.5</v>
      </c>
      <c r="J29" s="425">
        <v>0.5</v>
      </c>
      <c r="K29" s="425">
        <v>0.25</v>
      </c>
      <c r="L29" s="426">
        <v>2.5</v>
      </c>
      <c r="M29" s="426">
        <v>2</v>
      </c>
      <c r="N29" s="381" t="s">
        <v>642</v>
      </c>
    </row>
    <row r="30" spans="1:14" ht="22.8">
      <c r="A30" s="36" t="s">
        <v>664</v>
      </c>
      <c r="B30" s="412">
        <f t="shared" si="6"/>
        <v>262.5</v>
      </c>
      <c r="C30" s="413">
        <f t="shared" si="7"/>
        <v>39.375</v>
      </c>
      <c r="D30" s="412">
        <f t="shared" si="8"/>
        <v>875</v>
      </c>
      <c r="E30" s="413">
        <f t="shared" si="9"/>
        <v>52.5</v>
      </c>
      <c r="G30" s="428">
        <v>6</v>
      </c>
      <c r="H30" s="428">
        <v>5</v>
      </c>
      <c r="I30" s="427">
        <f t="shared" si="5"/>
        <v>87.5</v>
      </c>
      <c r="J30" s="425">
        <v>0.9</v>
      </c>
      <c r="K30" s="425">
        <v>0.3</v>
      </c>
      <c r="L30" s="426">
        <v>0.5</v>
      </c>
      <c r="M30" s="426">
        <v>2</v>
      </c>
      <c r="N30" s="381" t="s">
        <v>642</v>
      </c>
    </row>
    <row r="31" spans="1:14" ht="22.8">
      <c r="A31" s="36" t="s">
        <v>662</v>
      </c>
      <c r="B31" s="410">
        <f t="shared" si="6"/>
        <v>0</v>
      </c>
      <c r="C31" s="410">
        <f t="shared" si="7"/>
        <v>0</v>
      </c>
      <c r="D31" s="410">
        <f t="shared" si="8"/>
        <v>3675</v>
      </c>
      <c r="E31" s="410">
        <f t="shared" si="9"/>
        <v>0</v>
      </c>
      <c r="G31" s="425">
        <v>0</v>
      </c>
      <c r="H31" s="425">
        <v>14</v>
      </c>
      <c r="I31" s="427">
        <f t="shared" si="5"/>
        <v>87.5</v>
      </c>
      <c r="J31" s="425">
        <v>0</v>
      </c>
      <c r="K31" s="425">
        <v>0</v>
      </c>
      <c r="L31" s="426">
        <v>2</v>
      </c>
      <c r="M31" s="426">
        <v>3</v>
      </c>
      <c r="N31" s="381" t="s">
        <v>642</v>
      </c>
    </row>
    <row r="32" spans="1:14" ht="22.8">
      <c r="A32" s="36" t="s">
        <v>64</v>
      </c>
      <c r="B32" s="410">
        <f t="shared" si="6"/>
        <v>306.25</v>
      </c>
      <c r="C32" s="410">
        <f t="shared" si="7"/>
        <v>31.0625</v>
      </c>
      <c r="D32" s="410">
        <f t="shared" si="8"/>
        <v>1225</v>
      </c>
      <c r="E32" s="410">
        <f t="shared" si="9"/>
        <v>24.500000000000004</v>
      </c>
      <c r="G32" s="425">
        <v>7</v>
      </c>
      <c r="H32" s="425">
        <v>7</v>
      </c>
      <c r="I32" s="427">
        <f t="shared" si="5"/>
        <v>87.5</v>
      </c>
      <c r="J32" s="425">
        <v>0.71</v>
      </c>
      <c r="K32" s="425">
        <v>0.14000000000000001</v>
      </c>
      <c r="L32" s="426">
        <v>0.5</v>
      </c>
      <c r="M32" s="426">
        <v>2</v>
      </c>
      <c r="N32" s="381" t="s">
        <v>642</v>
      </c>
    </row>
    <row r="33" spans="1:14">
      <c r="A33" s="409" t="s">
        <v>2804</v>
      </c>
      <c r="B33" s="409"/>
      <c r="C33" s="409"/>
      <c r="D33" s="409"/>
      <c r="E33" s="409"/>
      <c r="F33" s="396"/>
      <c r="G33" s="396"/>
      <c r="H33" s="396"/>
      <c r="I33" s="396"/>
      <c r="J33" s="396"/>
      <c r="K33" s="396"/>
      <c r="L33" s="397"/>
      <c r="M33" s="397"/>
      <c r="N33" s="398"/>
    </row>
    <row r="34" spans="1:14" ht="22.8">
      <c r="A34" s="408" t="s">
        <v>678</v>
      </c>
      <c r="B34" s="414">
        <f t="shared" ref="B34:B47" si="10">G34*I34*L34</f>
        <v>0</v>
      </c>
      <c r="C34" s="414">
        <f t="shared" ref="C34:C47" si="11">J34*I34*L34</f>
        <v>0</v>
      </c>
      <c r="D34" s="414">
        <f t="shared" ref="D34:D47" si="12">H34*I34*M34</f>
        <v>875</v>
      </c>
      <c r="E34" s="414">
        <f t="shared" ref="E34:E47" si="13">K34*I34*M34</f>
        <v>0</v>
      </c>
      <c r="G34" s="425">
        <v>0</v>
      </c>
      <c r="H34" s="425">
        <v>5</v>
      </c>
      <c r="I34" s="427">
        <f t="shared" ref="I34:I47" si="14">$I$10</f>
        <v>87.5</v>
      </c>
      <c r="J34" s="425">
        <v>0</v>
      </c>
      <c r="K34" s="425">
        <v>0</v>
      </c>
      <c r="L34" s="426">
        <v>2</v>
      </c>
      <c r="M34" s="426">
        <v>2</v>
      </c>
      <c r="N34" s="381" t="s">
        <v>637</v>
      </c>
    </row>
    <row r="35" spans="1:14" ht="22.8">
      <c r="A35" s="408" t="s">
        <v>683</v>
      </c>
      <c r="B35" s="414">
        <f t="shared" si="10"/>
        <v>0</v>
      </c>
      <c r="C35" s="414">
        <f t="shared" si="11"/>
        <v>0</v>
      </c>
      <c r="D35" s="414">
        <f t="shared" si="12"/>
        <v>875</v>
      </c>
      <c r="E35" s="414">
        <f t="shared" si="13"/>
        <v>0</v>
      </c>
      <c r="G35" s="425">
        <v>0</v>
      </c>
      <c r="H35" s="425">
        <v>5</v>
      </c>
      <c r="I35" s="427">
        <f t="shared" si="14"/>
        <v>87.5</v>
      </c>
      <c r="J35" s="425">
        <v>0</v>
      </c>
      <c r="K35" s="425">
        <v>0</v>
      </c>
      <c r="L35" s="426">
        <v>2</v>
      </c>
      <c r="M35" s="426">
        <v>2</v>
      </c>
      <c r="N35" s="381" t="s">
        <v>637</v>
      </c>
    </row>
    <row r="36" spans="1:14" ht="22.8">
      <c r="A36" s="408" t="s">
        <v>685</v>
      </c>
      <c r="B36" s="414">
        <f t="shared" si="10"/>
        <v>0</v>
      </c>
      <c r="C36" s="414">
        <f t="shared" si="11"/>
        <v>0</v>
      </c>
      <c r="D36" s="414">
        <f t="shared" si="12"/>
        <v>875</v>
      </c>
      <c r="E36" s="414">
        <f t="shared" si="13"/>
        <v>0</v>
      </c>
      <c r="G36" s="425">
        <v>0</v>
      </c>
      <c r="H36" s="425">
        <v>5</v>
      </c>
      <c r="I36" s="427">
        <f t="shared" si="14"/>
        <v>87.5</v>
      </c>
      <c r="J36" s="425">
        <v>0</v>
      </c>
      <c r="K36" s="425">
        <v>0</v>
      </c>
      <c r="L36" s="426">
        <v>2</v>
      </c>
      <c r="M36" s="426">
        <v>2</v>
      </c>
      <c r="N36" s="381" t="s">
        <v>637</v>
      </c>
    </row>
    <row r="37" spans="1:14" ht="22.8">
      <c r="A37" s="408" t="s">
        <v>687</v>
      </c>
      <c r="B37" s="414">
        <f t="shared" si="10"/>
        <v>0</v>
      </c>
      <c r="C37" s="414">
        <f t="shared" si="11"/>
        <v>0</v>
      </c>
      <c r="D37" s="414">
        <f t="shared" si="12"/>
        <v>875</v>
      </c>
      <c r="E37" s="414">
        <f t="shared" si="13"/>
        <v>0</v>
      </c>
      <c r="G37" s="425">
        <v>0</v>
      </c>
      <c r="H37" s="425">
        <v>5</v>
      </c>
      <c r="I37" s="427">
        <f t="shared" si="14"/>
        <v>87.5</v>
      </c>
      <c r="J37" s="425">
        <v>0</v>
      </c>
      <c r="K37" s="425">
        <v>0</v>
      </c>
      <c r="L37" s="426">
        <v>2</v>
      </c>
      <c r="M37" s="426">
        <v>2</v>
      </c>
      <c r="N37" s="381" t="s">
        <v>637</v>
      </c>
    </row>
    <row r="38" spans="1:14" ht="22.8">
      <c r="A38" s="408" t="s">
        <v>689</v>
      </c>
      <c r="B38" s="414">
        <f t="shared" si="10"/>
        <v>0</v>
      </c>
      <c r="C38" s="414">
        <f t="shared" si="11"/>
        <v>0</v>
      </c>
      <c r="D38" s="414">
        <f t="shared" si="12"/>
        <v>875</v>
      </c>
      <c r="E38" s="414">
        <f t="shared" si="13"/>
        <v>0</v>
      </c>
      <c r="G38" s="425">
        <v>0</v>
      </c>
      <c r="H38" s="425">
        <v>5</v>
      </c>
      <c r="I38" s="427">
        <f t="shared" si="14"/>
        <v>87.5</v>
      </c>
      <c r="J38" s="425">
        <v>0</v>
      </c>
      <c r="K38" s="425">
        <v>0</v>
      </c>
      <c r="L38" s="426">
        <v>2</v>
      </c>
      <c r="M38" s="426">
        <v>2</v>
      </c>
      <c r="N38" s="381" t="s">
        <v>637</v>
      </c>
    </row>
    <row r="39" spans="1:14" ht="22.8">
      <c r="A39" s="408" t="s">
        <v>690</v>
      </c>
      <c r="B39" s="414">
        <f t="shared" si="10"/>
        <v>0</v>
      </c>
      <c r="C39" s="414">
        <f t="shared" si="11"/>
        <v>0</v>
      </c>
      <c r="D39" s="414">
        <f t="shared" si="12"/>
        <v>875</v>
      </c>
      <c r="E39" s="414">
        <f t="shared" si="13"/>
        <v>89.999999999999986</v>
      </c>
      <c r="G39" s="425">
        <v>0</v>
      </c>
      <c r="H39" s="425">
        <v>5</v>
      </c>
      <c r="I39" s="427">
        <f t="shared" si="14"/>
        <v>87.5</v>
      </c>
      <c r="J39" s="425">
        <v>0</v>
      </c>
      <c r="K39" s="425">
        <v>0.51428571428571423</v>
      </c>
      <c r="L39" s="426">
        <v>2</v>
      </c>
      <c r="M39" s="426">
        <v>2</v>
      </c>
      <c r="N39" s="381" t="s">
        <v>637</v>
      </c>
    </row>
    <row r="40" spans="1:14" ht="22.8">
      <c r="A40" s="408" t="s">
        <v>691</v>
      </c>
      <c r="B40" s="414">
        <f t="shared" si="10"/>
        <v>0</v>
      </c>
      <c r="C40" s="414">
        <f t="shared" si="11"/>
        <v>0</v>
      </c>
      <c r="D40" s="414">
        <f t="shared" si="12"/>
        <v>875</v>
      </c>
      <c r="E40" s="414">
        <f t="shared" si="13"/>
        <v>89.999999999999986</v>
      </c>
      <c r="G40" s="425">
        <v>0</v>
      </c>
      <c r="H40" s="425">
        <v>5</v>
      </c>
      <c r="I40" s="427">
        <f t="shared" si="14"/>
        <v>87.5</v>
      </c>
      <c r="J40" s="425">
        <v>0</v>
      </c>
      <c r="K40" s="425">
        <v>0.51428571428571423</v>
      </c>
      <c r="L40" s="426">
        <v>2</v>
      </c>
      <c r="M40" s="426">
        <v>2</v>
      </c>
      <c r="N40" s="381" t="s">
        <v>637</v>
      </c>
    </row>
    <row r="41" spans="1:14" ht="22.8">
      <c r="A41" s="408" t="s">
        <v>693</v>
      </c>
      <c r="B41" s="414">
        <f t="shared" si="10"/>
        <v>0</v>
      </c>
      <c r="C41" s="414">
        <f t="shared" si="11"/>
        <v>0</v>
      </c>
      <c r="D41" s="414">
        <f t="shared" si="12"/>
        <v>875</v>
      </c>
      <c r="E41" s="414">
        <f t="shared" si="13"/>
        <v>89.999999999999986</v>
      </c>
      <c r="G41" s="425">
        <v>0</v>
      </c>
      <c r="H41" s="425">
        <v>5</v>
      </c>
      <c r="I41" s="427">
        <f t="shared" si="14"/>
        <v>87.5</v>
      </c>
      <c r="J41" s="425">
        <v>0</v>
      </c>
      <c r="K41" s="425">
        <v>0.51428571428571423</v>
      </c>
      <c r="L41" s="426">
        <v>2</v>
      </c>
      <c r="M41" s="426">
        <v>2</v>
      </c>
      <c r="N41" s="381" t="s">
        <v>637</v>
      </c>
    </row>
    <row r="42" spans="1:14" ht="22.8">
      <c r="A42" s="408" t="s">
        <v>695</v>
      </c>
      <c r="B42" s="414">
        <f t="shared" si="10"/>
        <v>0</v>
      </c>
      <c r="C42" s="414">
        <f t="shared" si="11"/>
        <v>0</v>
      </c>
      <c r="D42" s="414">
        <f t="shared" si="12"/>
        <v>875</v>
      </c>
      <c r="E42" s="414">
        <f t="shared" si="13"/>
        <v>89.999999999999986</v>
      </c>
      <c r="G42" s="425">
        <v>0</v>
      </c>
      <c r="H42" s="425">
        <v>5</v>
      </c>
      <c r="I42" s="427">
        <f t="shared" si="14"/>
        <v>87.5</v>
      </c>
      <c r="J42" s="425">
        <v>0</v>
      </c>
      <c r="K42" s="425">
        <v>0.51428571428571423</v>
      </c>
      <c r="L42" s="426">
        <v>2</v>
      </c>
      <c r="M42" s="426">
        <v>2</v>
      </c>
      <c r="N42" s="381" t="s">
        <v>637</v>
      </c>
    </row>
    <row r="43" spans="1:14" ht="22.8">
      <c r="A43" s="408" t="s">
        <v>696</v>
      </c>
      <c r="B43" s="414">
        <f t="shared" si="10"/>
        <v>0</v>
      </c>
      <c r="C43" s="414">
        <f t="shared" si="11"/>
        <v>0</v>
      </c>
      <c r="D43" s="414">
        <f t="shared" si="12"/>
        <v>875</v>
      </c>
      <c r="E43" s="414">
        <f t="shared" si="13"/>
        <v>89.999999999999986</v>
      </c>
      <c r="G43" s="425">
        <v>0</v>
      </c>
      <c r="H43" s="425">
        <v>5</v>
      </c>
      <c r="I43" s="427">
        <f t="shared" si="14"/>
        <v>87.5</v>
      </c>
      <c r="J43" s="425">
        <v>0</v>
      </c>
      <c r="K43" s="425">
        <v>0.51428571428571423</v>
      </c>
      <c r="L43" s="426">
        <v>2</v>
      </c>
      <c r="M43" s="426">
        <v>2</v>
      </c>
      <c r="N43" s="381" t="s">
        <v>637</v>
      </c>
    </row>
    <row r="44" spans="1:14" ht="22.8">
      <c r="A44" s="408" t="s">
        <v>697</v>
      </c>
      <c r="B44" s="414">
        <f t="shared" si="10"/>
        <v>0</v>
      </c>
      <c r="C44" s="414">
        <f t="shared" si="11"/>
        <v>0</v>
      </c>
      <c r="D44" s="414">
        <f t="shared" si="12"/>
        <v>875</v>
      </c>
      <c r="E44" s="414">
        <f t="shared" si="13"/>
        <v>89.999999999999986</v>
      </c>
      <c r="G44" s="425">
        <v>0</v>
      </c>
      <c r="H44" s="425">
        <v>5</v>
      </c>
      <c r="I44" s="427">
        <f t="shared" si="14"/>
        <v>87.5</v>
      </c>
      <c r="J44" s="425">
        <v>0</v>
      </c>
      <c r="K44" s="425">
        <v>0.51428571428571423</v>
      </c>
      <c r="L44" s="426">
        <v>2</v>
      </c>
      <c r="M44" s="426">
        <v>2</v>
      </c>
      <c r="N44" s="381" t="s">
        <v>637</v>
      </c>
    </row>
    <row r="45" spans="1:14" ht="22.8">
      <c r="A45" s="408" t="s">
        <v>644</v>
      </c>
      <c r="B45" s="414">
        <f t="shared" si="10"/>
        <v>240</v>
      </c>
      <c r="C45" s="414">
        <f t="shared" si="11"/>
        <v>60</v>
      </c>
      <c r="D45" s="414">
        <f t="shared" si="12"/>
        <v>175</v>
      </c>
      <c r="E45" s="414">
        <f t="shared" si="13"/>
        <v>45</v>
      </c>
      <c r="G45" s="425">
        <v>1.3714285714285714</v>
      </c>
      <c r="H45" s="425">
        <v>0.8</v>
      </c>
      <c r="I45" s="427">
        <f t="shared" si="14"/>
        <v>87.5</v>
      </c>
      <c r="J45" s="425">
        <v>0.34285714285714286</v>
      </c>
      <c r="K45" s="425">
        <v>0.20571428571428571</v>
      </c>
      <c r="L45" s="426">
        <v>2</v>
      </c>
      <c r="M45" s="426">
        <v>2.5</v>
      </c>
      <c r="N45" s="381" t="s">
        <v>637</v>
      </c>
    </row>
    <row r="46" spans="1:14" ht="22.8">
      <c r="A46" s="408" t="s">
        <v>701</v>
      </c>
      <c r="B46" s="414">
        <f t="shared" si="10"/>
        <v>280</v>
      </c>
      <c r="C46" s="414">
        <f t="shared" si="11"/>
        <v>0</v>
      </c>
      <c r="D46" s="414">
        <f t="shared" si="12"/>
        <v>110</v>
      </c>
      <c r="E46" s="414">
        <f t="shared" si="13"/>
        <v>0</v>
      </c>
      <c r="G46" s="425">
        <v>1.6</v>
      </c>
      <c r="H46" s="425">
        <v>0.50285714285714289</v>
      </c>
      <c r="I46" s="427">
        <f t="shared" si="14"/>
        <v>87.5</v>
      </c>
      <c r="J46" s="425">
        <v>0</v>
      </c>
      <c r="K46" s="425">
        <v>0</v>
      </c>
      <c r="L46" s="426">
        <v>2</v>
      </c>
      <c r="M46" s="426">
        <v>2.5</v>
      </c>
      <c r="N46" s="381" t="s">
        <v>637</v>
      </c>
    </row>
    <row r="47" spans="1:14" ht="22.8">
      <c r="A47" s="408" t="s">
        <v>704</v>
      </c>
      <c r="B47" s="414">
        <f t="shared" si="10"/>
        <v>176</v>
      </c>
      <c r="C47" s="414">
        <f t="shared" si="11"/>
        <v>0</v>
      </c>
      <c r="D47" s="414">
        <f t="shared" si="12"/>
        <v>110</v>
      </c>
      <c r="E47" s="414">
        <f t="shared" si="13"/>
        <v>0</v>
      </c>
      <c r="G47" s="425">
        <v>1.0057142857142858</v>
      </c>
      <c r="H47" s="425">
        <v>0.50285714285714289</v>
      </c>
      <c r="I47" s="427">
        <f t="shared" si="14"/>
        <v>87.5</v>
      </c>
      <c r="J47" s="425">
        <v>0</v>
      </c>
      <c r="K47" s="425">
        <v>0</v>
      </c>
      <c r="L47" s="426">
        <v>2</v>
      </c>
      <c r="M47" s="426">
        <v>2.5</v>
      </c>
      <c r="N47" s="381" t="s">
        <v>637</v>
      </c>
    </row>
    <row r="48" spans="1:14">
      <c r="A48" s="396" t="s">
        <v>2801</v>
      </c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7"/>
      <c r="M48" s="397"/>
      <c r="N48" s="398"/>
    </row>
    <row r="49" spans="1:14">
      <c r="A49" t="s">
        <v>665</v>
      </c>
      <c r="B49" s="411">
        <f t="shared" si="6"/>
        <v>1575</v>
      </c>
      <c r="C49" s="411">
        <f t="shared" si="7"/>
        <v>107.625</v>
      </c>
      <c r="D49" s="411">
        <f t="shared" si="8"/>
        <v>3500</v>
      </c>
      <c r="E49" s="411">
        <f t="shared" si="9"/>
        <v>73.5</v>
      </c>
      <c r="G49" s="425">
        <v>12</v>
      </c>
      <c r="H49" s="425">
        <v>10</v>
      </c>
      <c r="I49" s="427">
        <f t="shared" si="5"/>
        <v>87.5</v>
      </c>
      <c r="J49" s="425">
        <v>0.82</v>
      </c>
      <c r="K49" s="425">
        <v>0.21</v>
      </c>
      <c r="L49" s="429">
        <v>1.5</v>
      </c>
      <c r="M49" s="429">
        <v>4</v>
      </c>
      <c r="N49" s="131" t="s">
        <v>642</v>
      </c>
    </row>
    <row r="50" spans="1:14">
      <c r="A50" t="s">
        <v>1738</v>
      </c>
      <c r="B50" s="411">
        <f t="shared" ref="B50:B51" si="15">G50*I50*L50</f>
        <v>1750</v>
      </c>
      <c r="C50" s="411">
        <f t="shared" ref="C50:C51" si="16">J50*I50*L50</f>
        <v>75.25</v>
      </c>
      <c r="D50" s="411">
        <f t="shared" ref="D50:D51" si="17">H50*I50*M50</f>
        <v>3500</v>
      </c>
      <c r="E50" s="411">
        <f t="shared" ref="E50:E51" si="18">K50*I50*M50</f>
        <v>101.5</v>
      </c>
      <c r="G50" s="425">
        <v>10</v>
      </c>
      <c r="H50" s="425">
        <v>10</v>
      </c>
      <c r="I50" s="427">
        <f t="shared" si="5"/>
        <v>87.5</v>
      </c>
      <c r="J50" s="425">
        <v>0.43</v>
      </c>
      <c r="K50" s="425">
        <v>0.28999999999999998</v>
      </c>
      <c r="L50" s="429">
        <v>2</v>
      </c>
      <c r="M50" s="429">
        <v>4</v>
      </c>
      <c r="N50" s="131" t="s">
        <v>642</v>
      </c>
    </row>
    <row r="51" spans="1:14">
      <c r="A51" t="s">
        <v>537</v>
      </c>
      <c r="B51" s="411">
        <f t="shared" si="15"/>
        <v>1443.75</v>
      </c>
      <c r="C51" s="411">
        <f t="shared" si="16"/>
        <v>98.4375</v>
      </c>
      <c r="D51" s="411">
        <f t="shared" si="17"/>
        <v>3500</v>
      </c>
      <c r="E51" s="411">
        <f t="shared" si="18"/>
        <v>133</v>
      </c>
      <c r="G51" s="425">
        <v>11</v>
      </c>
      <c r="H51" s="425">
        <v>10</v>
      </c>
      <c r="I51" s="427">
        <f t="shared" si="5"/>
        <v>87.5</v>
      </c>
      <c r="J51" s="425">
        <v>0.75</v>
      </c>
      <c r="K51" s="425">
        <v>0.38</v>
      </c>
      <c r="L51" s="429">
        <v>1.5</v>
      </c>
      <c r="M51" s="429">
        <v>4</v>
      </c>
      <c r="N51" s="131" t="s">
        <v>642</v>
      </c>
    </row>
    <row r="52" spans="1:14" ht="22.8">
      <c r="A52" s="36" t="s">
        <v>663</v>
      </c>
      <c r="B52" s="412">
        <f t="shared" si="6"/>
        <v>1837.5</v>
      </c>
      <c r="C52" s="413">
        <f t="shared" si="7"/>
        <v>108.9375</v>
      </c>
      <c r="D52" s="412">
        <f t="shared" si="8"/>
        <v>10500</v>
      </c>
      <c r="E52" s="413">
        <f t="shared" si="9"/>
        <v>118.125</v>
      </c>
      <c r="G52" s="428">
        <v>14</v>
      </c>
      <c r="H52" s="428">
        <v>24</v>
      </c>
      <c r="I52" s="427">
        <f t="shared" si="5"/>
        <v>87.5</v>
      </c>
      <c r="J52" s="425">
        <v>0.83</v>
      </c>
      <c r="K52" s="425">
        <v>0.27</v>
      </c>
      <c r="L52" s="426">
        <v>1.5</v>
      </c>
      <c r="M52" s="426">
        <v>5</v>
      </c>
      <c r="N52" s="381" t="s">
        <v>642</v>
      </c>
    </row>
    <row r="53" spans="1:14" ht="22.8">
      <c r="A53" s="36" t="s">
        <v>660</v>
      </c>
      <c r="B53" s="410">
        <f t="shared" si="6"/>
        <v>525</v>
      </c>
      <c r="C53" s="410">
        <f t="shared" si="7"/>
        <v>35.4375</v>
      </c>
      <c r="D53" s="410">
        <f t="shared" si="8"/>
        <v>2143.75</v>
      </c>
      <c r="E53" s="410">
        <f t="shared" si="9"/>
        <v>82.6875</v>
      </c>
      <c r="G53" s="425">
        <v>4</v>
      </c>
      <c r="H53" s="425">
        <v>7</v>
      </c>
      <c r="I53" s="427">
        <f t="shared" si="5"/>
        <v>87.5</v>
      </c>
      <c r="J53" s="425">
        <v>0.27</v>
      </c>
      <c r="K53" s="425">
        <v>0.27</v>
      </c>
      <c r="L53" s="426">
        <v>1.5</v>
      </c>
      <c r="M53" s="426">
        <v>3.5</v>
      </c>
      <c r="N53" s="381" t="s">
        <v>642</v>
      </c>
    </row>
    <row r="54" spans="1:14" ht="22.05" customHeight="1">
      <c r="A54" s="36" t="s">
        <v>661</v>
      </c>
      <c r="B54" s="410">
        <f t="shared" ref="B54" si="19">G54*I54*L54</f>
        <v>0</v>
      </c>
      <c r="C54" s="410">
        <f t="shared" ref="C54" si="20">J54*I54*L54</f>
        <v>0</v>
      </c>
      <c r="D54" s="410">
        <f t="shared" ref="D54" si="21">H54*I54*M54</f>
        <v>1225</v>
      </c>
      <c r="E54" s="410">
        <f t="shared" ref="E54" si="22">K54*I54*M54</f>
        <v>58.33625</v>
      </c>
      <c r="G54" s="425">
        <v>0</v>
      </c>
      <c r="H54" s="425">
        <v>7</v>
      </c>
      <c r="I54" s="427">
        <f t="shared" si="5"/>
        <v>87.5</v>
      </c>
      <c r="J54" s="425">
        <v>0</v>
      </c>
      <c r="K54" s="425">
        <v>0.33334999999999998</v>
      </c>
      <c r="L54" s="426">
        <v>1.5</v>
      </c>
      <c r="M54" s="426">
        <v>2</v>
      </c>
      <c r="N54" s="381" t="s">
        <v>642</v>
      </c>
    </row>
    <row r="55" spans="1:14" ht="22.05" customHeight="1">
      <c r="A55" s="399" t="s">
        <v>48</v>
      </c>
      <c r="B55" s="399"/>
      <c r="C55" s="399"/>
      <c r="D55" s="399"/>
      <c r="E55" s="399"/>
      <c r="F55" s="396"/>
      <c r="G55" s="396"/>
      <c r="H55" s="396"/>
      <c r="I55" s="396"/>
      <c r="J55" s="396"/>
      <c r="K55" s="396"/>
      <c r="L55" s="397"/>
      <c r="M55" s="397"/>
      <c r="N55" s="398"/>
    </row>
    <row r="56" spans="1:14" ht="15" customHeight="1">
      <c r="A56" s="269" t="s">
        <v>641</v>
      </c>
      <c r="B56" s="415">
        <f t="shared" ref="B56:B58" si="23">G56*I56*L56</f>
        <v>3500</v>
      </c>
      <c r="C56" s="416">
        <f t="shared" ref="C56:C58" si="24">J56*I56*L56</f>
        <v>118.125</v>
      </c>
      <c r="D56" s="415">
        <f t="shared" ref="D56:D58" si="25">H56*I56*M56</f>
        <v>10500</v>
      </c>
      <c r="E56" s="416">
        <f t="shared" ref="E56:E58" si="26">K56*I56*M56</f>
        <v>122.50000000000001</v>
      </c>
      <c r="F56" s="270"/>
      <c r="G56" s="430">
        <v>16</v>
      </c>
      <c r="H56" s="430">
        <v>24</v>
      </c>
      <c r="I56" s="427">
        <f t="shared" si="4"/>
        <v>87.5</v>
      </c>
      <c r="J56" s="425">
        <v>0.54</v>
      </c>
      <c r="K56" s="425">
        <v>0.28000000000000003</v>
      </c>
      <c r="L56" s="426">
        <v>2.5</v>
      </c>
      <c r="M56" s="426">
        <v>5</v>
      </c>
      <c r="N56" s="381" t="s">
        <v>642</v>
      </c>
    </row>
    <row r="57" spans="1:14" ht="22.8">
      <c r="A57" s="270" t="s">
        <v>645</v>
      </c>
      <c r="B57" s="417">
        <f t="shared" si="23"/>
        <v>4375</v>
      </c>
      <c r="C57" s="418">
        <f t="shared" si="24"/>
        <v>159.6875</v>
      </c>
      <c r="D57" s="417">
        <f t="shared" si="25"/>
        <v>11375</v>
      </c>
      <c r="E57" s="418">
        <f t="shared" si="26"/>
        <v>113.75</v>
      </c>
      <c r="F57" s="270"/>
      <c r="G57" s="430">
        <v>20</v>
      </c>
      <c r="H57" s="430">
        <v>26</v>
      </c>
      <c r="I57" s="427">
        <f t="shared" si="4"/>
        <v>87.5</v>
      </c>
      <c r="J57" s="425">
        <v>0.73</v>
      </c>
      <c r="K57" s="425">
        <v>0.26</v>
      </c>
      <c r="L57" s="426">
        <v>2.5</v>
      </c>
      <c r="M57" s="426">
        <v>5</v>
      </c>
      <c r="N57" s="381" t="s">
        <v>642</v>
      </c>
    </row>
    <row r="58" spans="1:14" ht="22.8">
      <c r="A58" s="270" t="s">
        <v>527</v>
      </c>
      <c r="B58" s="417">
        <f t="shared" si="23"/>
        <v>3500</v>
      </c>
      <c r="C58" s="418">
        <f t="shared" si="24"/>
        <v>113.75</v>
      </c>
      <c r="D58" s="417">
        <f t="shared" si="25"/>
        <v>8400</v>
      </c>
      <c r="E58" s="418">
        <f t="shared" si="26"/>
        <v>143.5</v>
      </c>
      <c r="F58" s="270"/>
      <c r="G58" s="430">
        <v>20</v>
      </c>
      <c r="H58" s="430">
        <v>24</v>
      </c>
      <c r="I58" s="427">
        <f t="shared" si="4"/>
        <v>87.5</v>
      </c>
      <c r="J58" s="425">
        <v>0.65</v>
      </c>
      <c r="K58" s="425">
        <v>0.41</v>
      </c>
      <c r="L58" s="426">
        <v>2</v>
      </c>
      <c r="M58" s="426">
        <v>4</v>
      </c>
      <c r="N58" s="381" t="s">
        <v>642</v>
      </c>
    </row>
    <row r="59" spans="1:14">
      <c r="A59" s="396" t="s">
        <v>2802</v>
      </c>
      <c r="B59" s="400"/>
      <c r="C59" s="401"/>
      <c r="D59" s="400"/>
      <c r="E59" s="401"/>
      <c r="F59" s="396"/>
      <c r="G59" s="401"/>
      <c r="H59" s="401"/>
      <c r="I59" s="396"/>
      <c r="J59" s="396"/>
      <c r="K59" s="396"/>
      <c r="L59" s="397"/>
      <c r="M59" s="397"/>
      <c r="N59" s="398"/>
    </row>
    <row r="60" spans="1:14">
      <c r="A60" s="396" t="s">
        <v>469</v>
      </c>
      <c r="B60" s="402" t="s">
        <v>2803</v>
      </c>
      <c r="C60" s="403" t="s">
        <v>647</v>
      </c>
      <c r="D60" s="402" t="s">
        <v>471</v>
      </c>
      <c r="E60" s="403"/>
      <c r="F60" s="396"/>
      <c r="G60" s="403"/>
      <c r="H60" s="403"/>
      <c r="I60" s="396"/>
      <c r="J60" s="396"/>
      <c r="K60" s="396"/>
      <c r="L60" s="404"/>
      <c r="M60" s="404"/>
      <c r="N60" s="405"/>
    </row>
    <row r="61" spans="1:14">
      <c r="A61" s="119" t="s">
        <v>648</v>
      </c>
      <c r="B61" s="419">
        <f t="shared" ref="B61:B67" si="27">G61*I61*L61</f>
        <v>0</v>
      </c>
      <c r="C61" s="420">
        <f t="shared" ref="C61:C67" si="28">H61*I61*M61</f>
        <v>350</v>
      </c>
      <c r="D61" s="119" t="s">
        <v>649</v>
      </c>
      <c r="G61" s="425">
        <v>0</v>
      </c>
      <c r="H61" s="425">
        <v>4</v>
      </c>
      <c r="I61" s="427">
        <f t="shared" ref="I61:I67" si="29">$I$10</f>
        <v>87.5</v>
      </c>
      <c r="J61" s="425">
        <v>0</v>
      </c>
      <c r="K61" s="425">
        <v>0</v>
      </c>
      <c r="L61" s="429">
        <v>2</v>
      </c>
      <c r="M61" s="429">
        <v>1</v>
      </c>
      <c r="N61" t="s">
        <v>2806</v>
      </c>
    </row>
    <row r="62" spans="1:14">
      <c r="A62" s="119" t="s">
        <v>515</v>
      </c>
      <c r="B62" s="419">
        <f t="shared" si="27"/>
        <v>0</v>
      </c>
      <c r="C62" s="420">
        <f t="shared" si="28"/>
        <v>437.5</v>
      </c>
      <c r="D62" s="119" t="s">
        <v>649</v>
      </c>
      <c r="G62" s="425">
        <v>0</v>
      </c>
      <c r="H62" s="425">
        <v>5</v>
      </c>
      <c r="I62" s="427">
        <f t="shared" si="29"/>
        <v>87.5</v>
      </c>
      <c r="J62" s="425">
        <v>0</v>
      </c>
      <c r="K62" s="425">
        <v>0</v>
      </c>
      <c r="L62" s="429">
        <v>2</v>
      </c>
      <c r="M62" s="429">
        <v>1</v>
      </c>
      <c r="N62" t="s">
        <v>2806</v>
      </c>
    </row>
    <row r="63" spans="1:14">
      <c r="A63" s="119" t="s">
        <v>650</v>
      </c>
      <c r="B63" s="420">
        <f t="shared" si="27"/>
        <v>875</v>
      </c>
      <c r="C63" s="420">
        <f t="shared" si="28"/>
        <v>1575</v>
      </c>
      <c r="D63" s="119" t="s">
        <v>651</v>
      </c>
      <c r="G63" s="425">
        <v>5</v>
      </c>
      <c r="H63" s="425">
        <v>6</v>
      </c>
      <c r="I63" s="427">
        <f t="shared" si="29"/>
        <v>87.5</v>
      </c>
      <c r="J63" s="425">
        <v>0</v>
      </c>
      <c r="K63" s="425">
        <v>0</v>
      </c>
      <c r="L63" s="429">
        <v>2</v>
      </c>
      <c r="M63" s="429">
        <v>3</v>
      </c>
      <c r="N63" t="s">
        <v>2806</v>
      </c>
    </row>
    <row r="64" spans="1:14">
      <c r="A64" s="119" t="s">
        <v>652</v>
      </c>
      <c r="B64" s="420">
        <f t="shared" si="27"/>
        <v>700</v>
      </c>
      <c r="C64" s="420">
        <f t="shared" si="28"/>
        <v>1312.5</v>
      </c>
      <c r="D64" s="119" t="s">
        <v>651</v>
      </c>
      <c r="G64" s="425">
        <v>4</v>
      </c>
      <c r="H64" s="425">
        <v>5</v>
      </c>
      <c r="I64" s="427">
        <f t="shared" si="29"/>
        <v>87.5</v>
      </c>
      <c r="J64" s="425">
        <v>0</v>
      </c>
      <c r="K64" s="425">
        <v>0</v>
      </c>
      <c r="L64" s="429">
        <v>2</v>
      </c>
      <c r="M64" s="429">
        <v>3</v>
      </c>
      <c r="N64" t="s">
        <v>2806</v>
      </c>
    </row>
    <row r="65" spans="1:14">
      <c r="A65" s="26" t="s">
        <v>657</v>
      </c>
      <c r="B65" s="421">
        <f t="shared" si="27"/>
        <v>1050</v>
      </c>
      <c r="C65" s="421">
        <f t="shared" si="28"/>
        <v>787.50000000000011</v>
      </c>
      <c r="D65" s="26" t="s">
        <v>651</v>
      </c>
      <c r="G65" s="425">
        <v>4</v>
      </c>
      <c r="H65" s="425">
        <v>2.5714285714285716</v>
      </c>
      <c r="I65" s="427">
        <f t="shared" si="29"/>
        <v>87.5</v>
      </c>
      <c r="J65" s="425">
        <v>0</v>
      </c>
      <c r="K65" s="425">
        <v>0</v>
      </c>
      <c r="L65" s="429">
        <v>3</v>
      </c>
      <c r="M65" s="429">
        <v>3.5</v>
      </c>
      <c r="N65" t="s">
        <v>2806</v>
      </c>
    </row>
    <row r="66" spans="1:14">
      <c r="A66" s="119" t="s">
        <v>653</v>
      </c>
      <c r="B66" s="422">
        <f t="shared" si="27"/>
        <v>0</v>
      </c>
      <c r="C66" s="420">
        <f t="shared" si="28"/>
        <v>224.99999999999997</v>
      </c>
      <c r="D66" s="119" t="s">
        <v>654</v>
      </c>
      <c r="G66" s="425">
        <v>0</v>
      </c>
      <c r="H66" s="425">
        <v>1.0285714285714285</v>
      </c>
      <c r="I66" s="427">
        <f t="shared" si="29"/>
        <v>87.5</v>
      </c>
      <c r="J66" s="425">
        <v>0</v>
      </c>
      <c r="K66" s="425">
        <v>0</v>
      </c>
      <c r="L66" s="429">
        <v>2</v>
      </c>
      <c r="M66" s="429">
        <v>2.5</v>
      </c>
      <c r="N66" t="s">
        <v>2806</v>
      </c>
    </row>
    <row r="67" spans="1:14">
      <c r="A67" s="119" t="s">
        <v>655</v>
      </c>
      <c r="B67" s="422">
        <f t="shared" si="27"/>
        <v>0</v>
      </c>
      <c r="C67" s="420">
        <f t="shared" si="28"/>
        <v>224.99999999999997</v>
      </c>
      <c r="D67" s="119" t="s">
        <v>656</v>
      </c>
      <c r="G67" s="425">
        <v>0</v>
      </c>
      <c r="H67" s="425">
        <v>1.0285714285714285</v>
      </c>
      <c r="I67" s="427">
        <f t="shared" si="29"/>
        <v>87.5</v>
      </c>
      <c r="J67" s="425">
        <v>0</v>
      </c>
      <c r="K67" s="425">
        <v>0</v>
      </c>
      <c r="L67" s="429">
        <v>2</v>
      </c>
      <c r="M67" s="429">
        <v>2.5</v>
      </c>
      <c r="N67" t="s">
        <v>2806</v>
      </c>
    </row>
    <row r="68" spans="1:14">
      <c r="A68" t="s">
        <v>3197</v>
      </c>
      <c r="C68" s="406"/>
      <c r="D68" s="406"/>
      <c r="E68" s="407"/>
      <c r="F68" s="407"/>
      <c r="G68" s="407"/>
      <c r="H68" s="407"/>
      <c r="I68" s="407"/>
      <c r="J68" s="407"/>
      <c r="K68" s="407"/>
      <c r="L68" s="407"/>
      <c r="M68" s="407"/>
      <c r="N68" s="407"/>
    </row>
  </sheetData>
  <mergeCells count="1">
    <mergeCell ref="A1:E1"/>
  </mergeCells>
  <dataValidations count="1">
    <dataValidation type="list" sqref="B3" xr:uid="{00000000-0002-0000-0800-000000000000}">
      <formula1>$A$12:$A$56</formula1>
      <formula2>0</formula2>
    </dataValidation>
  </dataValidations>
  <hyperlinks>
    <hyperlink ref="G1" location="'สารบัญ'!A1" display="🏠 สารบัญ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K3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3" width="24" customWidth="1"/>
    <col min="4" max="4" width="19.109375" customWidth="1"/>
    <col min="5" max="5" width="24" customWidth="1"/>
    <col min="6" max="6" width="34.77734375" customWidth="1"/>
    <col min="7" max="7" width="22.21875" hidden="1" customWidth="1"/>
    <col min="8" max="8" width="8.5546875" customWidth="1"/>
    <col min="9" max="9" width="24" customWidth="1"/>
    <col min="10" max="10" width="8.5546875" customWidth="1"/>
    <col min="11" max="11" width="23.21875" customWidth="1"/>
  </cols>
  <sheetData>
    <row r="1" spans="1:11" ht="30" customHeight="1">
      <c r="A1" s="304" t="s">
        <v>670</v>
      </c>
      <c r="B1" s="247" t="s">
        <v>671</v>
      </c>
      <c r="C1" s="247" t="s">
        <v>672</v>
      </c>
      <c r="D1" s="247" t="s">
        <v>673</v>
      </c>
      <c r="E1" s="247" t="s">
        <v>569</v>
      </c>
      <c r="F1" s="443" t="s">
        <v>2863</v>
      </c>
      <c r="G1" s="586" t="s">
        <v>674</v>
      </c>
      <c r="H1" s="293" t="s">
        <v>68</v>
      </c>
      <c r="I1" s="296" t="s">
        <v>675</v>
      </c>
      <c r="J1" s="587" t="s">
        <v>676</v>
      </c>
      <c r="K1" s="265" t="s">
        <v>677</v>
      </c>
    </row>
    <row r="2" spans="1:11">
      <c r="A2" s="248" t="s">
        <v>678</v>
      </c>
      <c r="B2" s="263">
        <v>1179</v>
      </c>
      <c r="C2" s="248" t="s">
        <v>679</v>
      </c>
      <c r="D2" s="248" t="s">
        <v>680</v>
      </c>
      <c r="E2" s="248" t="s">
        <v>681</v>
      </c>
      <c r="F2" s="119"/>
      <c r="G2" t="s">
        <v>678</v>
      </c>
      <c r="I2" s="249" t="s">
        <v>682</v>
      </c>
      <c r="J2" s="266">
        <f>ROUND(K2/36.6,0)</f>
        <v>23</v>
      </c>
      <c r="K2" s="267">
        <v>842</v>
      </c>
    </row>
    <row r="3" spans="1:11">
      <c r="A3" s="248" t="s">
        <v>683</v>
      </c>
      <c r="B3" s="263">
        <v>1300</v>
      </c>
      <c r="C3" s="248" t="s">
        <v>679</v>
      </c>
      <c r="D3" s="248" t="s">
        <v>680</v>
      </c>
      <c r="E3" s="248"/>
      <c r="F3" s="119"/>
      <c r="G3" t="s">
        <v>683</v>
      </c>
      <c r="I3" s="249" t="s">
        <v>684</v>
      </c>
      <c r="J3" s="266">
        <f>ROUND(K3/36.6,0)</f>
        <v>38</v>
      </c>
      <c r="K3" s="267">
        <v>1391</v>
      </c>
    </row>
    <row r="4" spans="1:11">
      <c r="A4" s="248" t="s">
        <v>685</v>
      </c>
      <c r="B4" s="263">
        <v>1500</v>
      </c>
      <c r="C4" s="248" t="s">
        <v>679</v>
      </c>
      <c r="D4" s="248" t="s">
        <v>680</v>
      </c>
      <c r="E4" s="248"/>
      <c r="F4" s="119"/>
      <c r="G4" t="s">
        <v>685</v>
      </c>
      <c r="I4" s="249" t="s">
        <v>686</v>
      </c>
      <c r="J4" s="266">
        <f>ROUND(K4/36.6,0)</f>
        <v>352</v>
      </c>
      <c r="K4" s="267">
        <v>12883</v>
      </c>
    </row>
    <row r="5" spans="1:11">
      <c r="A5" s="248" t="s">
        <v>687</v>
      </c>
      <c r="B5" s="263">
        <v>1600</v>
      </c>
      <c r="C5" s="248" t="s">
        <v>679</v>
      </c>
      <c r="D5" s="248" t="s">
        <v>680</v>
      </c>
      <c r="E5" s="248"/>
      <c r="F5" s="119"/>
      <c r="G5" t="s">
        <v>687</v>
      </c>
      <c r="I5" s="249" t="s">
        <v>688</v>
      </c>
      <c r="J5" s="266">
        <f>ROUND(K5/36.6,0)</f>
        <v>82</v>
      </c>
      <c r="K5" s="267">
        <v>3001</v>
      </c>
    </row>
    <row r="6" spans="1:11">
      <c r="A6" s="248" t="s">
        <v>689</v>
      </c>
      <c r="B6" s="263">
        <v>1700</v>
      </c>
      <c r="C6" s="248" t="s">
        <v>679</v>
      </c>
      <c r="D6" s="248" t="s">
        <v>680</v>
      </c>
      <c r="E6" s="248"/>
      <c r="F6" s="119"/>
      <c r="G6" t="s">
        <v>689</v>
      </c>
    </row>
    <row r="7" spans="1:11">
      <c r="A7" s="248" t="s">
        <v>690</v>
      </c>
      <c r="B7" s="263">
        <v>2750</v>
      </c>
      <c r="C7" s="248" t="s">
        <v>679</v>
      </c>
      <c r="D7" s="248" t="s">
        <v>680</v>
      </c>
      <c r="E7" s="248"/>
      <c r="F7" s="119"/>
      <c r="G7" t="s">
        <v>690</v>
      </c>
    </row>
    <row r="8" spans="1:11">
      <c r="A8" s="248" t="s">
        <v>691</v>
      </c>
      <c r="B8" s="263">
        <v>3150</v>
      </c>
      <c r="C8" s="248" t="s">
        <v>679</v>
      </c>
      <c r="D8" s="248" t="s">
        <v>680</v>
      </c>
      <c r="E8" s="248" t="s">
        <v>692</v>
      </c>
      <c r="F8" s="119"/>
      <c r="G8" t="s">
        <v>691</v>
      </c>
    </row>
    <row r="9" spans="1:11">
      <c r="A9" s="248" t="s">
        <v>693</v>
      </c>
      <c r="B9" s="263">
        <v>3250</v>
      </c>
      <c r="C9" s="248" t="s">
        <v>679</v>
      </c>
      <c r="D9" s="248" t="s">
        <v>680</v>
      </c>
      <c r="E9" s="248" t="s">
        <v>694</v>
      </c>
      <c r="F9" s="119"/>
      <c r="G9" t="s">
        <v>693</v>
      </c>
    </row>
    <row r="10" spans="1:11">
      <c r="A10" s="248" t="s">
        <v>695</v>
      </c>
      <c r="B10" s="263">
        <v>4050</v>
      </c>
      <c r="C10" s="248" t="s">
        <v>679</v>
      </c>
      <c r="D10" s="248" t="s">
        <v>680</v>
      </c>
      <c r="E10" s="248"/>
      <c r="F10" s="119"/>
      <c r="G10" t="s">
        <v>695</v>
      </c>
    </row>
    <row r="11" spans="1:11">
      <c r="A11" s="248" t="s">
        <v>696</v>
      </c>
      <c r="B11" s="263">
        <v>4450</v>
      </c>
      <c r="C11" s="248" t="s">
        <v>679</v>
      </c>
      <c r="D11" s="248" t="s">
        <v>680</v>
      </c>
      <c r="E11" s="248" t="s">
        <v>692</v>
      </c>
      <c r="F11" s="119"/>
      <c r="G11" t="s">
        <v>696</v>
      </c>
    </row>
    <row r="12" spans="1:11">
      <c r="A12" s="248" t="s">
        <v>697</v>
      </c>
      <c r="B12" s="263">
        <v>4550</v>
      </c>
      <c r="C12" s="248" t="s">
        <v>679</v>
      </c>
      <c r="D12" s="248" t="s">
        <v>680</v>
      </c>
      <c r="E12" s="248" t="s">
        <v>694</v>
      </c>
      <c r="F12" s="119"/>
      <c r="G12" t="s">
        <v>697</v>
      </c>
    </row>
    <row r="13" spans="1:11" hidden="1">
      <c r="A13" s="250" t="s">
        <v>644</v>
      </c>
      <c r="B13" s="250">
        <v>0</v>
      </c>
      <c r="C13" s="250" t="s">
        <v>698</v>
      </c>
      <c r="D13" s="250" t="s">
        <v>699</v>
      </c>
      <c r="E13" s="250" t="s">
        <v>700</v>
      </c>
      <c r="F13" s="119"/>
      <c r="G13" t="s">
        <v>644</v>
      </c>
    </row>
    <row r="14" spans="1:11" hidden="1">
      <c r="A14" s="250" t="s">
        <v>701</v>
      </c>
      <c r="B14" s="250">
        <v>0</v>
      </c>
      <c r="C14" s="250" t="s">
        <v>698</v>
      </c>
      <c r="D14" s="250" t="s">
        <v>702</v>
      </c>
      <c r="E14" s="250" t="s">
        <v>703</v>
      </c>
      <c r="F14" s="119"/>
      <c r="G14" t="s">
        <v>701</v>
      </c>
    </row>
    <row r="15" spans="1:11" hidden="1">
      <c r="A15" s="250" t="s">
        <v>704</v>
      </c>
      <c r="B15" s="250">
        <v>0</v>
      </c>
      <c r="C15" s="250" t="s">
        <v>698</v>
      </c>
      <c r="D15" s="250" t="s">
        <v>702</v>
      </c>
      <c r="E15" s="250" t="s">
        <v>705</v>
      </c>
      <c r="F15" s="119"/>
      <c r="G15" t="s">
        <v>704</v>
      </c>
    </row>
    <row r="17" spans="1:6">
      <c r="A17" s="251" t="s">
        <v>706</v>
      </c>
    </row>
    <row r="18" spans="1:6">
      <c r="A18" s="252" t="s">
        <v>707</v>
      </c>
      <c r="B18" s="252" t="s">
        <v>708</v>
      </c>
      <c r="C18" s="252" t="s">
        <v>709</v>
      </c>
      <c r="D18" s="252" t="s">
        <v>710</v>
      </c>
      <c r="E18" s="252" t="s">
        <v>711</v>
      </c>
      <c r="F18" s="252" t="s">
        <v>647</v>
      </c>
    </row>
    <row r="19" spans="1:6">
      <c r="A19" s="250" t="s">
        <v>712</v>
      </c>
      <c r="B19" s="263">
        <v>625</v>
      </c>
      <c r="C19" s="250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19" s="263">
        <v>5</v>
      </c>
      <c r="E19" s="250" t="str">
        <f>ค่าแรง!$B$45&amp;IF(ค่าแรง!$C$45&gt;0," +"&amp;ค่าแรง!$C$45&amp;"/ตร.ม.","  (เหมา)")</f>
        <v>240 +60/ตร.ม.</v>
      </c>
      <c r="F19" s="250" t="str">
        <f>ค่าแรง!$D$45&amp;IF(ค่าแรง!$E$45&gt;0," +"&amp;ค่าแรง!$E$45&amp;"/ตร.ม.","  (เหมา)")</f>
        <v>175 +45/ตร.ม.</v>
      </c>
    </row>
    <row r="20" spans="1:6">
      <c r="A20" s="250" t="s">
        <v>713</v>
      </c>
      <c r="B20" s="268" t="s">
        <v>714</v>
      </c>
      <c r="C20" s="250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20" s="250">
        <f>$D$19</f>
        <v>5</v>
      </c>
      <c r="E20" s="250" t="str">
        <f>ค่าแรง!$B$46&amp;IF(ค่าแรง!$C$46&gt;0," +"&amp;ค่าแรง!$C$46&amp;"/ตร.ม.","  (เหมา)")</f>
        <v>280  (เหมา)</v>
      </c>
      <c r="F20" s="250" t="str">
        <f>ค่าแรง!$D$46&amp;IF(ค่าแรง!$E$46&gt;0," +"&amp;ค่าแรง!$E$46&amp;"/ตร.ม.","  (เหมา)")</f>
        <v>110  (เหมา)</v>
      </c>
    </row>
    <row r="21" spans="1:6">
      <c r="A21" s="250" t="s">
        <v>715</v>
      </c>
      <c r="B21" s="263">
        <v>1030</v>
      </c>
      <c r="C21" s="250" t="s">
        <v>716</v>
      </c>
      <c r="D21" s="250">
        <f>$D$19</f>
        <v>5</v>
      </c>
      <c r="E21" s="250" t="str">
        <f>ค่าแรง!$B$47&amp;IF(ค่าแรง!$C$47&gt;0," +"&amp;ค่าแรง!$C$47&amp;"/ตร.ม.","  (เหมา)")</f>
        <v>176  (เหมา)</v>
      </c>
      <c r="F21" s="250" t="str">
        <f>ค่าแรง!$D$47&amp;IF(ค่าแรง!$E$47&gt;0," +"&amp;ค่าแรง!$E$47&amp;"/ตร.ม.","  (เหมา)")</f>
        <v>110  (เหมา)</v>
      </c>
    </row>
    <row r="23" spans="1:6">
      <c r="A23" s="264" t="s">
        <v>717</v>
      </c>
    </row>
    <row r="24" spans="1:6">
      <c r="A24" s="26" t="s">
        <v>718</v>
      </c>
    </row>
    <row r="25" spans="1:6">
      <c r="A25" s="26" t="s">
        <v>719</v>
      </c>
    </row>
    <row r="26" spans="1:6">
      <c r="A26" s="26" t="s">
        <v>720</v>
      </c>
    </row>
    <row r="27" spans="1:6">
      <c r="A27" s="26" t="s">
        <v>721</v>
      </c>
    </row>
    <row r="28" spans="1:6">
      <c r="A28" s="26" t="s">
        <v>722</v>
      </c>
    </row>
    <row r="29" spans="1:6">
      <c r="A29" s="26" t="s">
        <v>2805</v>
      </c>
    </row>
    <row r="31" spans="1:6" ht="22.05" customHeight="1">
      <c r="A31" s="302"/>
    </row>
  </sheetData>
  <hyperlinks>
    <hyperlink ref="H1" location="'สารบัญ'!A1" display="🏠 สารบัญ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N25"/>
  <sheetViews>
    <sheetView workbookViewId="0"/>
  </sheetViews>
  <sheetFormatPr defaultRowHeight="14.4"/>
  <cols>
    <col min="1" max="1" width="26.77734375" customWidth="1"/>
    <col min="2" max="2" width="11.77734375" customWidth="1"/>
    <col min="3" max="3" width="22.77734375" customWidth="1"/>
    <col min="4" max="11" width="15.77734375" customWidth="1"/>
    <col min="13" max="13" width="12.77734375" customWidth="1"/>
    <col min="14" max="14" width="22.77734375" customWidth="1"/>
  </cols>
  <sheetData>
    <row r="1" spans="1:14" ht="31.95" customHeight="1">
      <c r="A1" s="437" t="s">
        <v>2846</v>
      </c>
      <c r="B1" s="437" t="s">
        <v>799</v>
      </c>
      <c r="C1" s="437" t="s">
        <v>2001</v>
      </c>
      <c r="D1" s="437" t="s">
        <v>2847</v>
      </c>
      <c r="E1" s="437" t="s">
        <v>608</v>
      </c>
      <c r="F1" s="437" t="s">
        <v>521</v>
      </c>
      <c r="G1" s="438" t="s">
        <v>2848</v>
      </c>
      <c r="H1" s="439" t="s">
        <v>2849</v>
      </c>
      <c r="I1" s="437" t="s">
        <v>2850</v>
      </c>
      <c r="J1" s="437" t="s">
        <v>2851</v>
      </c>
      <c r="K1" s="437" t="s">
        <v>2852</v>
      </c>
      <c r="L1" s="243"/>
      <c r="M1" s="431" t="s">
        <v>68</v>
      </c>
      <c r="N1" s="432" t="s">
        <v>2853</v>
      </c>
    </row>
    <row r="2" spans="1:14">
      <c r="A2" s="433" t="str">
        <f t="shared" ref="A2:A25" si="0">B2&amp;"|"&amp;C2</f>
        <v>ไม้ทิพย์|สีพื้น</v>
      </c>
      <c r="B2" s="434" t="s">
        <v>807</v>
      </c>
      <c r="C2" s="434" t="s">
        <v>808</v>
      </c>
      <c r="D2" s="435">
        <v>8.5000000000000006E-2</v>
      </c>
      <c r="E2" s="435">
        <v>6</v>
      </c>
      <c r="F2" s="435">
        <v>420</v>
      </c>
      <c r="G2" s="435" t="s">
        <v>477</v>
      </c>
      <c r="H2" s="435">
        <v>70</v>
      </c>
      <c r="I2" s="435">
        <v>6</v>
      </c>
      <c r="J2" s="435">
        <v>1</v>
      </c>
      <c r="K2" s="435">
        <v>0</v>
      </c>
      <c r="N2" s="436" t="s">
        <v>807</v>
      </c>
    </row>
    <row r="3" spans="1:14">
      <c r="A3" s="433" t="str">
        <f t="shared" si="0"/>
        <v>ไม้ทิพย์|ลายไม้</v>
      </c>
      <c r="B3" s="434" t="s">
        <v>807</v>
      </c>
      <c r="C3" s="434" t="s">
        <v>810</v>
      </c>
      <c r="D3" s="435">
        <v>8.5000000000000006E-2</v>
      </c>
      <c r="E3" s="435">
        <v>6</v>
      </c>
      <c r="F3" s="435">
        <v>580</v>
      </c>
      <c r="G3" s="435" t="s">
        <v>477</v>
      </c>
      <c r="H3" s="435">
        <v>70</v>
      </c>
      <c r="I3" s="435">
        <v>6</v>
      </c>
      <c r="J3" s="435">
        <v>1</v>
      </c>
      <c r="K3" s="435">
        <v>0</v>
      </c>
      <c r="N3" s="436" t="s">
        <v>811</v>
      </c>
    </row>
    <row r="4" spans="1:14">
      <c r="A4" s="433" t="str">
        <f t="shared" si="0"/>
        <v>fameline|สีมาตรฐาน</v>
      </c>
      <c r="B4" s="434" t="s">
        <v>811</v>
      </c>
      <c r="C4" s="434" t="s">
        <v>813</v>
      </c>
      <c r="D4" s="435">
        <v>8.5000000000000006E-2</v>
      </c>
      <c r="E4" s="435">
        <v>6</v>
      </c>
      <c r="F4" s="435">
        <v>1300</v>
      </c>
      <c r="G4" s="435" t="s">
        <v>593</v>
      </c>
      <c r="H4" s="435">
        <v>0</v>
      </c>
      <c r="I4" s="435">
        <v>1</v>
      </c>
      <c r="J4" s="435">
        <v>0</v>
      </c>
      <c r="K4" s="435">
        <v>1</v>
      </c>
      <c r="N4" s="436" t="s">
        <v>814</v>
      </c>
    </row>
    <row r="5" spans="1:14">
      <c r="A5" s="433" t="str">
        <f t="shared" si="0"/>
        <v>fameline|สีอื่น</v>
      </c>
      <c r="B5" s="434" t="s">
        <v>811</v>
      </c>
      <c r="C5" s="434" t="s">
        <v>816</v>
      </c>
      <c r="D5" s="435">
        <v>8.5000000000000006E-2</v>
      </c>
      <c r="E5" s="435">
        <v>6</v>
      </c>
      <c r="F5" s="435">
        <v>1400</v>
      </c>
      <c r="G5" s="435" t="s">
        <v>593</v>
      </c>
      <c r="H5" s="435">
        <v>0</v>
      </c>
      <c r="I5" s="435">
        <v>1</v>
      </c>
      <c r="J5" s="435">
        <v>0</v>
      </c>
      <c r="K5" s="435">
        <v>1</v>
      </c>
      <c r="N5" s="436" t="s">
        <v>817</v>
      </c>
    </row>
    <row r="6" spans="1:14">
      <c r="A6" s="433" t="str">
        <f t="shared" si="0"/>
        <v>HIGO|C19 (ใน)</v>
      </c>
      <c r="B6" s="434" t="s">
        <v>814</v>
      </c>
      <c r="C6" s="434" t="s">
        <v>819</v>
      </c>
      <c r="D6" s="435">
        <v>0.20399999999999999</v>
      </c>
      <c r="E6" s="435">
        <v>3</v>
      </c>
      <c r="F6" s="435">
        <v>140</v>
      </c>
      <c r="G6" s="435" t="s">
        <v>477</v>
      </c>
      <c r="H6" s="435">
        <v>130</v>
      </c>
      <c r="I6" s="435">
        <v>3</v>
      </c>
      <c r="J6" s="435">
        <v>0</v>
      </c>
      <c r="K6" s="435">
        <v>0</v>
      </c>
    </row>
    <row r="7" spans="1:14">
      <c r="A7" s="433" t="str">
        <f t="shared" si="0"/>
        <v>HIGO|G15 (ใน)</v>
      </c>
      <c r="B7" s="434" t="s">
        <v>814</v>
      </c>
      <c r="C7" s="434" t="s">
        <v>821</v>
      </c>
      <c r="D7" s="435">
        <v>0.153</v>
      </c>
      <c r="E7" s="435">
        <v>3</v>
      </c>
      <c r="F7" s="435">
        <v>140</v>
      </c>
      <c r="G7" s="435" t="s">
        <v>477</v>
      </c>
      <c r="H7" s="435">
        <v>130</v>
      </c>
      <c r="I7" s="435">
        <v>3</v>
      </c>
      <c r="J7" s="435">
        <v>0</v>
      </c>
      <c r="K7" s="435">
        <v>0</v>
      </c>
    </row>
    <row r="8" spans="1:14">
      <c r="A8" s="433" t="str">
        <f t="shared" si="0"/>
        <v>HIGO|R16 (ใน)</v>
      </c>
      <c r="B8" s="434" t="s">
        <v>814</v>
      </c>
      <c r="C8" s="434" t="s">
        <v>823</v>
      </c>
      <c r="D8" s="435">
        <v>0.16</v>
      </c>
      <c r="E8" s="435">
        <v>3</v>
      </c>
      <c r="F8" s="435">
        <v>140</v>
      </c>
      <c r="G8" s="435" t="s">
        <v>477</v>
      </c>
      <c r="H8" s="435">
        <v>130</v>
      </c>
      <c r="I8" s="435">
        <v>3</v>
      </c>
      <c r="J8" s="435">
        <v>0</v>
      </c>
      <c r="K8" s="435">
        <v>0</v>
      </c>
    </row>
    <row r="9" spans="1:14">
      <c r="A9" s="433" t="str">
        <f t="shared" si="0"/>
        <v>HIGO|Y18 (ใน)</v>
      </c>
      <c r="B9" s="434" t="s">
        <v>814</v>
      </c>
      <c r="C9" s="434" t="s">
        <v>825</v>
      </c>
      <c r="D9" s="435">
        <v>0.158</v>
      </c>
      <c r="E9" s="435">
        <v>3</v>
      </c>
      <c r="F9" s="435">
        <v>140</v>
      </c>
      <c r="G9" s="435" t="s">
        <v>477</v>
      </c>
      <c r="H9" s="435">
        <v>130</v>
      </c>
      <c r="I9" s="435">
        <v>3</v>
      </c>
      <c r="J9" s="435">
        <v>0</v>
      </c>
      <c r="K9" s="435">
        <v>0</v>
      </c>
    </row>
    <row r="10" spans="1:14">
      <c r="A10" s="433" t="str">
        <f t="shared" si="0"/>
        <v>HIGO|P155 (นอก)</v>
      </c>
      <c r="B10" s="434" t="s">
        <v>814</v>
      </c>
      <c r="C10" s="434" t="s">
        <v>827</v>
      </c>
      <c r="D10" s="435">
        <v>0.15240000000000001</v>
      </c>
      <c r="E10" s="435">
        <v>2.9</v>
      </c>
      <c r="F10" s="435">
        <v>310</v>
      </c>
      <c r="G10" s="435" t="s">
        <v>477</v>
      </c>
      <c r="H10" s="435">
        <v>275</v>
      </c>
      <c r="I10" s="435">
        <v>2.9</v>
      </c>
      <c r="J10" s="435">
        <v>0</v>
      </c>
      <c r="K10" s="435">
        <v>0</v>
      </c>
    </row>
    <row r="11" spans="1:14">
      <c r="A11" s="433" t="str">
        <f t="shared" si="0"/>
        <v>HIGO|WH200 (นอก)</v>
      </c>
      <c r="B11" s="434" t="s">
        <v>814</v>
      </c>
      <c r="C11" s="434" t="s">
        <v>829</v>
      </c>
      <c r="D11" s="435">
        <v>0.185</v>
      </c>
      <c r="E11" s="435">
        <v>2.9</v>
      </c>
      <c r="F11" s="435">
        <v>310</v>
      </c>
      <c r="G11" s="435" t="s">
        <v>477</v>
      </c>
      <c r="H11" s="435">
        <v>275</v>
      </c>
      <c r="I11" s="435">
        <v>2.9</v>
      </c>
      <c r="J11" s="435">
        <v>0</v>
      </c>
      <c r="K11" s="435">
        <v>0</v>
      </c>
    </row>
    <row r="12" spans="1:14">
      <c r="A12" s="433" t="str">
        <f t="shared" si="0"/>
        <v>remood|Entree เรียบ</v>
      </c>
      <c r="B12" s="434" t="s">
        <v>817</v>
      </c>
      <c r="C12" s="434" t="s">
        <v>831</v>
      </c>
      <c r="D12" s="435">
        <v>0.14000000000000001</v>
      </c>
      <c r="E12" s="435">
        <v>2.8</v>
      </c>
      <c r="F12" s="435">
        <v>500</v>
      </c>
      <c r="G12" s="435" t="s">
        <v>475</v>
      </c>
      <c r="H12" s="435">
        <v>300</v>
      </c>
      <c r="I12" s="435">
        <v>2.8</v>
      </c>
      <c r="J12" s="435">
        <v>0</v>
      </c>
      <c r="K12" s="435">
        <v>0</v>
      </c>
    </row>
    <row r="13" spans="1:14">
      <c r="A13" s="433" t="str">
        <f t="shared" si="0"/>
        <v>remood|Entree มีลาย</v>
      </c>
      <c r="B13" s="434" t="s">
        <v>817</v>
      </c>
      <c r="C13" s="434" t="s">
        <v>833</v>
      </c>
      <c r="D13" s="435">
        <v>0.16500000000000001</v>
      </c>
      <c r="E13" s="435">
        <v>2.8</v>
      </c>
      <c r="F13" s="435">
        <v>600</v>
      </c>
      <c r="G13" s="435" t="s">
        <v>475</v>
      </c>
      <c r="H13" s="435">
        <v>300</v>
      </c>
      <c r="I13" s="435">
        <v>2.8</v>
      </c>
      <c r="J13" s="435">
        <v>0</v>
      </c>
      <c r="K13" s="435">
        <v>0</v>
      </c>
    </row>
    <row r="14" spans="1:14">
      <c r="A14" s="433" t="str">
        <f t="shared" si="0"/>
        <v>remood|Entree ชักร่อง</v>
      </c>
      <c r="B14" s="434" t="s">
        <v>817</v>
      </c>
      <c r="C14" s="434" t="s">
        <v>835</v>
      </c>
      <c r="D14" s="435">
        <v>0.219</v>
      </c>
      <c r="E14" s="435">
        <v>2.8</v>
      </c>
      <c r="F14" s="435">
        <v>950</v>
      </c>
      <c r="G14" s="435" t="s">
        <v>475</v>
      </c>
      <c r="H14" s="435">
        <v>300</v>
      </c>
      <c r="I14" s="435">
        <v>2.8</v>
      </c>
      <c r="J14" s="435">
        <v>0</v>
      </c>
      <c r="K14" s="435">
        <v>0</v>
      </c>
    </row>
    <row r="15" spans="1:14">
      <c r="A15" s="433" t="str">
        <f t="shared" si="0"/>
        <v>remood|Duratech+ เรียบ13</v>
      </c>
      <c r="B15" s="434" t="s">
        <v>817</v>
      </c>
      <c r="C15" s="434" t="s">
        <v>837</v>
      </c>
      <c r="D15" s="435">
        <v>0.13</v>
      </c>
      <c r="E15" s="435">
        <v>2.8</v>
      </c>
      <c r="F15" s="435">
        <v>730</v>
      </c>
      <c r="G15" s="435" t="s">
        <v>475</v>
      </c>
      <c r="H15" s="435">
        <v>300</v>
      </c>
      <c r="I15" s="435">
        <v>2.8</v>
      </c>
      <c r="J15" s="435">
        <v>0</v>
      </c>
      <c r="K15" s="435">
        <v>0</v>
      </c>
    </row>
    <row r="16" spans="1:14">
      <c r="A16" s="433" t="str">
        <f t="shared" si="0"/>
        <v>remood|Duratech+ เรียบ16</v>
      </c>
      <c r="B16" s="434" t="s">
        <v>817</v>
      </c>
      <c r="C16" s="434" t="s">
        <v>839</v>
      </c>
      <c r="D16" s="435">
        <v>0.16200000000000001</v>
      </c>
      <c r="E16" s="435">
        <v>2.8</v>
      </c>
      <c r="F16" s="435">
        <v>900</v>
      </c>
      <c r="G16" s="435" t="s">
        <v>475</v>
      </c>
      <c r="H16" s="435">
        <v>300</v>
      </c>
      <c r="I16" s="435">
        <v>2.8</v>
      </c>
      <c r="J16" s="435">
        <v>0</v>
      </c>
      <c r="K16" s="435">
        <v>0</v>
      </c>
    </row>
    <row r="17" spans="1:11">
      <c r="A17" s="433" t="str">
        <f t="shared" si="0"/>
        <v>remood|Duratech+ เรียบ14</v>
      </c>
      <c r="B17" s="434" t="s">
        <v>817</v>
      </c>
      <c r="C17" s="434" t="s">
        <v>841</v>
      </c>
      <c r="D17" s="435">
        <v>0.14000000000000001</v>
      </c>
      <c r="E17" s="435">
        <v>2.8</v>
      </c>
      <c r="F17" s="435">
        <v>850</v>
      </c>
      <c r="G17" s="435" t="s">
        <v>475</v>
      </c>
      <c r="H17" s="435">
        <v>300</v>
      </c>
      <c r="I17" s="435">
        <v>2.8</v>
      </c>
      <c r="J17" s="435">
        <v>0</v>
      </c>
      <c r="K17" s="435">
        <v>0</v>
      </c>
    </row>
    <row r="18" spans="1:11">
      <c r="A18" s="433" t="str">
        <f t="shared" si="0"/>
        <v>remood|Duratech+ ชักร่อง15</v>
      </c>
      <c r="B18" s="434" t="s">
        <v>817</v>
      </c>
      <c r="C18" s="434" t="s">
        <v>843</v>
      </c>
      <c r="D18" s="435">
        <v>0.15</v>
      </c>
      <c r="E18" s="435">
        <v>2.8</v>
      </c>
      <c r="F18" s="435">
        <v>950</v>
      </c>
      <c r="G18" s="435" t="s">
        <v>475</v>
      </c>
      <c r="H18" s="435">
        <v>300</v>
      </c>
      <c r="I18" s="435">
        <v>2.8</v>
      </c>
      <c r="J18" s="435">
        <v>0</v>
      </c>
      <c r="K18" s="435">
        <v>0</v>
      </c>
    </row>
    <row r="19" spans="1:11">
      <c r="A19" s="433" t="str">
        <f t="shared" si="0"/>
        <v>remood|Duratech+ ชักร่อง21</v>
      </c>
      <c r="B19" s="434" t="s">
        <v>817</v>
      </c>
      <c r="C19" s="434" t="s">
        <v>845</v>
      </c>
      <c r="D19" s="435">
        <v>0.219</v>
      </c>
      <c r="E19" s="435">
        <v>2.8</v>
      </c>
      <c r="F19" s="435">
        <v>1300</v>
      </c>
      <c r="G19" s="435" t="s">
        <v>475</v>
      </c>
      <c r="H19" s="435">
        <v>300</v>
      </c>
      <c r="I19" s="435">
        <v>2.8</v>
      </c>
      <c r="J19" s="435">
        <v>0</v>
      </c>
      <c r="K19" s="435">
        <v>0</v>
      </c>
    </row>
    <row r="20" spans="1:11">
      <c r="A20" s="433" t="str">
        <f t="shared" si="0"/>
        <v>remood|LIGHT+ เรียบ12</v>
      </c>
      <c r="B20" s="434" t="s">
        <v>817</v>
      </c>
      <c r="C20" s="434" t="s">
        <v>847</v>
      </c>
      <c r="D20" s="435">
        <v>0.12</v>
      </c>
      <c r="E20" s="435">
        <v>2.8</v>
      </c>
      <c r="F20" s="435">
        <v>390</v>
      </c>
      <c r="G20" s="435" t="s">
        <v>475</v>
      </c>
      <c r="H20" s="435">
        <v>300</v>
      </c>
      <c r="I20" s="435">
        <v>2.8</v>
      </c>
      <c r="J20" s="435">
        <v>0</v>
      </c>
      <c r="K20" s="435">
        <v>0</v>
      </c>
    </row>
    <row r="21" spans="1:11">
      <c r="A21" s="433" t="str">
        <f t="shared" si="0"/>
        <v>remood|LIGHT+ ลอนเล็ก</v>
      </c>
      <c r="B21" s="434" t="s">
        <v>817</v>
      </c>
      <c r="C21" s="434" t="s">
        <v>849</v>
      </c>
      <c r="D21" s="435">
        <v>0.14899999999999999</v>
      </c>
      <c r="E21" s="435">
        <v>2.8</v>
      </c>
      <c r="F21" s="435">
        <v>680</v>
      </c>
      <c r="G21" s="435" t="s">
        <v>475</v>
      </c>
      <c r="H21" s="435">
        <v>300</v>
      </c>
      <c r="I21" s="435">
        <v>2.8</v>
      </c>
      <c r="J21" s="435">
        <v>0</v>
      </c>
      <c r="K21" s="435">
        <v>0</v>
      </c>
    </row>
    <row r="22" spans="1:11">
      <c r="A22" s="433" t="str">
        <f t="shared" si="0"/>
        <v>remood|LIGHT+ ชักร่อง16</v>
      </c>
      <c r="B22" s="434" t="s">
        <v>817</v>
      </c>
      <c r="C22" s="434" t="s">
        <v>851</v>
      </c>
      <c r="D22" s="435">
        <v>0.16800000000000001</v>
      </c>
      <c r="E22" s="435">
        <v>2.8</v>
      </c>
      <c r="F22" s="435">
        <v>780</v>
      </c>
      <c r="G22" s="435" t="s">
        <v>475</v>
      </c>
      <c r="H22" s="435">
        <v>300</v>
      </c>
      <c r="I22" s="435">
        <v>2.8</v>
      </c>
      <c r="J22" s="435">
        <v>0</v>
      </c>
      <c r="K22" s="435">
        <v>0</v>
      </c>
    </row>
    <row r="23" spans="1:11">
      <c r="A23" s="433" t="str">
        <f t="shared" si="0"/>
        <v>remood|LIGHT+ ชักร่อง21</v>
      </c>
      <c r="B23" s="434" t="s">
        <v>817</v>
      </c>
      <c r="C23" s="434" t="s">
        <v>853</v>
      </c>
      <c r="D23" s="435">
        <v>0.21199999999999999</v>
      </c>
      <c r="E23" s="435">
        <v>2.8</v>
      </c>
      <c r="F23" s="435">
        <v>980</v>
      </c>
      <c r="G23" s="435" t="s">
        <v>475</v>
      </c>
      <c r="H23" s="435">
        <v>300</v>
      </c>
      <c r="I23" s="435">
        <v>2.8</v>
      </c>
      <c r="J23" s="435">
        <v>0</v>
      </c>
      <c r="K23" s="435">
        <v>0</v>
      </c>
    </row>
    <row r="24" spans="1:11">
      <c r="A24" s="433" t="str">
        <f t="shared" si="0"/>
        <v>remood|Duralight+ เรียบ15</v>
      </c>
      <c r="B24" s="434" t="s">
        <v>817</v>
      </c>
      <c r="C24" s="434" t="s">
        <v>855</v>
      </c>
      <c r="D24" s="435">
        <v>0.15</v>
      </c>
      <c r="E24" s="435">
        <v>2.8</v>
      </c>
      <c r="F24" s="435">
        <v>2500</v>
      </c>
      <c r="G24" s="435" t="s">
        <v>475</v>
      </c>
      <c r="H24" s="435">
        <v>300</v>
      </c>
      <c r="I24" s="435">
        <v>2.8</v>
      </c>
      <c r="J24" s="435">
        <v>0</v>
      </c>
      <c r="K24" s="435">
        <v>0</v>
      </c>
    </row>
    <row r="25" spans="1:11">
      <c r="A25" s="433" t="str">
        <f t="shared" si="0"/>
        <v>remood|Duralight+ ชักร่อง</v>
      </c>
      <c r="B25" s="434" t="s">
        <v>817</v>
      </c>
      <c r="C25" s="434" t="s">
        <v>857</v>
      </c>
      <c r="D25" s="435">
        <v>0.11600000000000001</v>
      </c>
      <c r="E25" s="435">
        <v>2.8</v>
      </c>
      <c r="F25" s="435">
        <v>2100</v>
      </c>
      <c r="G25" s="435" t="s">
        <v>475</v>
      </c>
      <c r="H25" s="435">
        <v>300</v>
      </c>
      <c r="I25" s="435">
        <v>2.8</v>
      </c>
      <c r="J25" s="435">
        <v>0</v>
      </c>
      <c r="K25" s="435">
        <v>0</v>
      </c>
    </row>
  </sheetData>
  <hyperlinks>
    <hyperlink ref="M1" location="'สารบัญ'!A1" display="🏠 สารบัญ" xr:uid="{C6175794-4E1F-4FFC-913E-5390F6296AB4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I335"/>
  <sheetViews>
    <sheetView workbookViewId="0"/>
  </sheetViews>
  <sheetFormatPr defaultRowHeight="14.4"/>
  <cols>
    <col min="1" max="2" width="24" customWidth="1"/>
    <col min="3" max="3" width="10.6640625" customWidth="1"/>
    <col min="4" max="4" width="16.88671875" customWidth="1"/>
    <col min="5" max="5" width="24" customWidth="1"/>
    <col min="6" max="8" width="8.5546875" customWidth="1"/>
    <col min="9" max="9" width="24" customWidth="1"/>
  </cols>
  <sheetData>
    <row r="1" spans="1:9" ht="16.8">
      <c r="A1" s="133" t="s">
        <v>858</v>
      </c>
      <c r="B1" s="243"/>
      <c r="G1" s="293" t="s">
        <v>68</v>
      </c>
      <c r="H1" s="294"/>
    </row>
    <row r="2" spans="1:9">
      <c r="B2" s="156" t="s">
        <v>69</v>
      </c>
      <c r="C2" s="156" t="s">
        <v>97</v>
      </c>
      <c r="D2" s="156" t="s">
        <v>859</v>
      </c>
      <c r="E2" s="156" t="s">
        <v>860</v>
      </c>
      <c r="F2" s="156" t="s">
        <v>861</v>
      </c>
      <c r="G2" s="156" t="s">
        <v>862</v>
      </c>
      <c r="H2" s="156" t="s">
        <v>863</v>
      </c>
      <c r="I2" s="156" t="s">
        <v>569</v>
      </c>
    </row>
    <row r="3" spans="1:9">
      <c r="B3" s="225" t="s">
        <v>864</v>
      </c>
    </row>
    <row r="4" spans="1:9">
      <c r="B4" s="158" t="s">
        <v>436</v>
      </c>
      <c r="C4" s="158" t="s">
        <v>315</v>
      </c>
      <c r="D4" s="158" t="s">
        <v>865</v>
      </c>
      <c r="E4" s="158" t="s">
        <v>316</v>
      </c>
      <c r="F4" s="159">
        <v>6</v>
      </c>
      <c r="G4" s="226">
        <v>0.19600000000000001</v>
      </c>
      <c r="H4" s="226">
        <v>1.18</v>
      </c>
      <c r="I4" s="158"/>
    </row>
    <row r="5" spans="1:9">
      <c r="B5" s="158" t="s">
        <v>436</v>
      </c>
      <c r="C5" s="158" t="s">
        <v>318</v>
      </c>
      <c r="D5" s="158" t="s">
        <v>866</v>
      </c>
      <c r="E5" s="158" t="s">
        <v>316</v>
      </c>
      <c r="F5" s="159">
        <v>6</v>
      </c>
      <c r="G5" s="226">
        <v>0.23200000000000001</v>
      </c>
      <c r="H5" s="226">
        <v>1.39</v>
      </c>
      <c r="I5" s="158"/>
    </row>
    <row r="6" spans="1:9">
      <c r="B6" s="158" t="s">
        <v>436</v>
      </c>
      <c r="C6" s="158" t="s">
        <v>319</v>
      </c>
      <c r="D6" s="158" t="s">
        <v>865</v>
      </c>
      <c r="E6" s="158" t="s">
        <v>320</v>
      </c>
      <c r="F6" s="159">
        <v>6</v>
      </c>
      <c r="G6" s="226">
        <v>0.26200000000000001</v>
      </c>
      <c r="H6" s="226">
        <v>1.57</v>
      </c>
      <c r="I6" s="158"/>
    </row>
    <row r="7" spans="1:9">
      <c r="B7" s="158" t="s">
        <v>436</v>
      </c>
      <c r="C7" s="158" t="s">
        <v>321</v>
      </c>
      <c r="D7" s="158" t="s">
        <v>867</v>
      </c>
      <c r="E7" s="158" t="s">
        <v>320</v>
      </c>
      <c r="F7" s="159">
        <v>6</v>
      </c>
      <c r="G7" s="226">
        <v>0.28799999999999998</v>
      </c>
      <c r="H7" s="226">
        <v>1.73</v>
      </c>
      <c r="I7" s="158"/>
    </row>
    <row r="8" spans="1:9">
      <c r="B8" s="158" t="s">
        <v>436</v>
      </c>
      <c r="C8" s="158" t="s">
        <v>322</v>
      </c>
      <c r="D8" s="158" t="s">
        <v>866</v>
      </c>
      <c r="E8" s="158" t="s">
        <v>320</v>
      </c>
      <c r="F8" s="159">
        <v>6</v>
      </c>
      <c r="G8" s="226">
        <v>0.314</v>
      </c>
      <c r="H8" s="226">
        <v>1.88</v>
      </c>
      <c r="I8" s="158"/>
    </row>
    <row r="9" spans="1:9">
      <c r="B9" s="158" t="s">
        <v>436</v>
      </c>
      <c r="C9" s="158" t="s">
        <v>323</v>
      </c>
      <c r="D9" s="158" t="s">
        <v>867</v>
      </c>
      <c r="E9" s="158" t="s">
        <v>324</v>
      </c>
      <c r="F9" s="159">
        <v>6</v>
      </c>
      <c r="G9" s="226">
        <v>0.36299999999999999</v>
      </c>
      <c r="H9" s="226">
        <v>2.1800000000000002</v>
      </c>
      <c r="I9" s="158"/>
    </row>
    <row r="10" spans="1:9">
      <c r="B10" s="158" t="s">
        <v>436</v>
      </c>
      <c r="C10" s="158" t="s">
        <v>325</v>
      </c>
      <c r="D10" s="158" t="s">
        <v>867</v>
      </c>
      <c r="E10" s="158" t="s">
        <v>326</v>
      </c>
      <c r="F10" s="159">
        <v>6</v>
      </c>
      <c r="G10" s="226">
        <v>0.438</v>
      </c>
      <c r="H10" s="226">
        <v>2.63</v>
      </c>
      <c r="I10" s="158"/>
    </row>
    <row r="11" spans="1:9">
      <c r="B11" s="158" t="s">
        <v>436</v>
      </c>
      <c r="C11" s="158" t="s">
        <v>327</v>
      </c>
      <c r="D11" s="158" t="s">
        <v>868</v>
      </c>
      <c r="E11" s="158" t="s">
        <v>326</v>
      </c>
      <c r="F11" s="159">
        <v>6</v>
      </c>
      <c r="G11" s="226">
        <v>0.59499999999999997</v>
      </c>
      <c r="H11" s="226">
        <v>3.57</v>
      </c>
      <c r="I11" s="158"/>
    </row>
    <row r="12" spans="1:9">
      <c r="B12" s="158" t="s">
        <v>436</v>
      </c>
      <c r="C12" s="158" t="s">
        <v>328</v>
      </c>
      <c r="D12" s="158" t="s">
        <v>869</v>
      </c>
      <c r="E12" s="158" t="s">
        <v>329</v>
      </c>
      <c r="F12" s="159">
        <v>6</v>
      </c>
      <c r="G12" s="226">
        <v>0.379</v>
      </c>
      <c r="H12" s="226">
        <v>2.27</v>
      </c>
      <c r="I12" s="158"/>
    </row>
    <row r="13" spans="1:9">
      <c r="B13" s="158" t="s">
        <v>436</v>
      </c>
      <c r="C13" s="158" t="s">
        <v>330</v>
      </c>
      <c r="D13" s="158" t="s">
        <v>870</v>
      </c>
      <c r="E13" s="158" t="s">
        <v>329</v>
      </c>
      <c r="F13" s="159">
        <v>6</v>
      </c>
      <c r="G13" s="226">
        <v>0.42499999999999999</v>
      </c>
      <c r="H13" s="226">
        <v>2.5499999999999998</v>
      </c>
      <c r="I13" s="158"/>
    </row>
    <row r="14" spans="1:9">
      <c r="B14" s="158" t="s">
        <v>436</v>
      </c>
      <c r="C14" s="158" t="s">
        <v>331</v>
      </c>
      <c r="D14" s="158" t="s">
        <v>867</v>
      </c>
      <c r="E14" s="158" t="s">
        <v>329</v>
      </c>
      <c r="F14" s="159">
        <v>6</v>
      </c>
      <c r="G14" s="226">
        <v>0.51700000000000002</v>
      </c>
      <c r="H14" s="226">
        <v>3.1</v>
      </c>
      <c r="I14" s="158"/>
    </row>
    <row r="15" spans="1:9">
      <c r="B15" s="158" t="s">
        <v>436</v>
      </c>
      <c r="C15" s="158" t="s">
        <v>332</v>
      </c>
      <c r="D15" s="158" t="s">
        <v>871</v>
      </c>
      <c r="E15" s="158" t="s">
        <v>329</v>
      </c>
      <c r="F15" s="159">
        <v>6</v>
      </c>
      <c r="G15" s="226">
        <v>0.63100000000000001</v>
      </c>
      <c r="H15" s="226">
        <v>3.79</v>
      </c>
      <c r="I15" s="158"/>
    </row>
    <row r="16" spans="1:9">
      <c r="B16" s="158" t="s">
        <v>436</v>
      </c>
      <c r="C16" s="158" t="s">
        <v>333</v>
      </c>
      <c r="D16" s="158" t="s">
        <v>872</v>
      </c>
      <c r="E16" s="158" t="s">
        <v>329</v>
      </c>
      <c r="F16" s="159">
        <v>6</v>
      </c>
      <c r="G16" s="226">
        <v>0.65300000000000002</v>
      </c>
      <c r="H16" s="226">
        <v>3.92</v>
      </c>
      <c r="I16" s="158"/>
    </row>
    <row r="17" spans="2:9">
      <c r="B17" s="158" t="s">
        <v>436</v>
      </c>
      <c r="C17" s="158" t="s">
        <v>334</v>
      </c>
      <c r="D17" s="158" t="s">
        <v>866</v>
      </c>
      <c r="E17" s="158" t="s">
        <v>335</v>
      </c>
      <c r="F17" s="159">
        <v>6</v>
      </c>
      <c r="G17" s="226">
        <v>0.64500000000000002</v>
      </c>
      <c r="H17" s="226">
        <v>3.87</v>
      </c>
      <c r="I17" s="158"/>
    </row>
    <row r="18" spans="2:9">
      <c r="B18" s="158" t="s">
        <v>436</v>
      </c>
      <c r="C18" s="158" t="s">
        <v>336</v>
      </c>
      <c r="D18" s="158" t="s">
        <v>868</v>
      </c>
      <c r="E18" s="158" t="s">
        <v>335</v>
      </c>
      <c r="F18" s="159">
        <v>6</v>
      </c>
      <c r="G18" s="226">
        <v>0.80100000000000005</v>
      </c>
      <c r="H18" s="226">
        <v>4.8099999999999996</v>
      </c>
      <c r="I18" s="158"/>
    </row>
    <row r="19" spans="2:9">
      <c r="B19" s="225" t="s">
        <v>873</v>
      </c>
    </row>
    <row r="20" spans="2:9">
      <c r="B20" s="158" t="s">
        <v>436</v>
      </c>
      <c r="C20" s="158" t="s">
        <v>337</v>
      </c>
      <c r="D20" s="158" t="s">
        <v>865</v>
      </c>
      <c r="E20" s="158" t="s">
        <v>338</v>
      </c>
      <c r="F20" s="159">
        <v>6</v>
      </c>
      <c r="G20" s="226">
        <v>0.19400000000000001</v>
      </c>
      <c r="H20" s="226">
        <v>1.1599999999999999</v>
      </c>
      <c r="I20" s="158"/>
    </row>
    <row r="21" spans="2:9">
      <c r="B21" s="158" t="s">
        <v>436</v>
      </c>
      <c r="C21" s="158" t="s">
        <v>339</v>
      </c>
      <c r="D21" s="158" t="s">
        <v>865</v>
      </c>
      <c r="E21" s="158" t="s">
        <v>340</v>
      </c>
      <c r="F21" s="159">
        <v>6</v>
      </c>
      <c r="G21" s="226">
        <v>0.33200000000000002</v>
      </c>
      <c r="H21" s="226">
        <v>1.99</v>
      </c>
      <c r="I21" s="158"/>
    </row>
    <row r="22" spans="2:9">
      <c r="B22" s="158" t="s">
        <v>436</v>
      </c>
      <c r="C22" s="158" t="s">
        <v>341</v>
      </c>
      <c r="D22" s="158" t="s">
        <v>867</v>
      </c>
      <c r="E22" s="158" t="s">
        <v>342</v>
      </c>
      <c r="F22" s="159">
        <v>6</v>
      </c>
      <c r="G22" s="226">
        <v>0.40100000000000002</v>
      </c>
      <c r="H22" s="226">
        <v>2.41</v>
      </c>
      <c r="I22" s="158"/>
    </row>
    <row r="23" spans="2:9">
      <c r="B23" s="158" t="s">
        <v>436</v>
      </c>
      <c r="C23" s="158" t="s">
        <v>343</v>
      </c>
      <c r="D23" s="158" t="s">
        <v>865</v>
      </c>
      <c r="E23" s="158" t="s">
        <v>344</v>
      </c>
      <c r="F23" s="159">
        <v>6</v>
      </c>
      <c r="G23" s="226">
        <v>0.40200000000000002</v>
      </c>
      <c r="H23" s="226">
        <v>2.41</v>
      </c>
      <c r="I23" s="158"/>
    </row>
    <row r="24" spans="2:9">
      <c r="B24" s="158" t="s">
        <v>436</v>
      </c>
      <c r="C24" s="158" t="s">
        <v>345</v>
      </c>
      <c r="D24" s="158" t="s">
        <v>866</v>
      </c>
      <c r="E24" s="158" t="s">
        <v>344</v>
      </c>
      <c r="F24" s="159">
        <v>6</v>
      </c>
      <c r="G24" s="226">
        <v>0.47799999999999998</v>
      </c>
      <c r="H24" s="226">
        <v>2.87</v>
      </c>
      <c r="I24" s="158"/>
    </row>
    <row r="25" spans="2:9">
      <c r="B25" s="158" t="s">
        <v>436</v>
      </c>
      <c r="C25" s="158" t="s">
        <v>346</v>
      </c>
      <c r="D25" s="158" t="s">
        <v>866</v>
      </c>
      <c r="E25" s="158" t="s">
        <v>347</v>
      </c>
      <c r="F25" s="159">
        <v>6</v>
      </c>
      <c r="G25" s="226">
        <v>0.64400000000000002</v>
      </c>
      <c r="H25" s="226">
        <v>3.86</v>
      </c>
      <c r="I25" s="158"/>
    </row>
    <row r="26" spans="2:9">
      <c r="B26" s="158" t="s">
        <v>436</v>
      </c>
      <c r="C26" s="158" t="s">
        <v>348</v>
      </c>
      <c r="D26" s="158" t="s">
        <v>872</v>
      </c>
      <c r="E26" s="158" t="s">
        <v>347</v>
      </c>
      <c r="F26" s="159">
        <v>6</v>
      </c>
      <c r="G26" s="226">
        <v>0.75</v>
      </c>
      <c r="H26" s="226">
        <v>4.5</v>
      </c>
      <c r="I26" s="158"/>
    </row>
    <row r="27" spans="2:9">
      <c r="B27" s="158" t="s">
        <v>436</v>
      </c>
      <c r="C27" s="158" t="s">
        <v>349</v>
      </c>
      <c r="D27" s="158" t="s">
        <v>867</v>
      </c>
      <c r="E27" s="158" t="s">
        <v>350</v>
      </c>
      <c r="F27" s="159">
        <v>6</v>
      </c>
      <c r="G27" s="226">
        <v>0.70599999999999996</v>
      </c>
      <c r="H27" s="226">
        <v>4.24</v>
      </c>
      <c r="I27" s="158"/>
    </row>
    <row r="28" spans="2:9">
      <c r="B28" s="158" t="s">
        <v>436</v>
      </c>
      <c r="C28" s="158" t="s">
        <v>351</v>
      </c>
      <c r="D28" s="158" t="s">
        <v>866</v>
      </c>
      <c r="E28" s="158" t="s">
        <v>350</v>
      </c>
      <c r="F28" s="159">
        <v>6</v>
      </c>
      <c r="G28" s="226">
        <v>0.76900000000000002</v>
      </c>
      <c r="H28" s="226">
        <v>4.6100000000000003</v>
      </c>
      <c r="I28" s="158"/>
    </row>
    <row r="29" spans="2:9">
      <c r="B29" s="158" t="s">
        <v>436</v>
      </c>
      <c r="C29" s="158" t="s">
        <v>352</v>
      </c>
      <c r="D29" s="158" t="s">
        <v>872</v>
      </c>
      <c r="E29" s="158" t="s">
        <v>350</v>
      </c>
      <c r="F29" s="159">
        <v>6</v>
      </c>
      <c r="G29" s="226">
        <v>0.89400000000000002</v>
      </c>
      <c r="H29" s="226">
        <v>5.36</v>
      </c>
      <c r="I29" s="158"/>
    </row>
    <row r="30" spans="2:9">
      <c r="B30" s="158" t="s">
        <v>436</v>
      </c>
      <c r="C30" s="158" t="s">
        <v>353</v>
      </c>
      <c r="D30" s="158" t="s">
        <v>866</v>
      </c>
      <c r="E30" s="158" t="s">
        <v>354</v>
      </c>
      <c r="F30" s="159">
        <v>6</v>
      </c>
      <c r="G30" s="226">
        <v>0.81</v>
      </c>
      <c r="H30" s="226">
        <v>4.8600000000000003</v>
      </c>
      <c r="I30" s="158"/>
    </row>
    <row r="31" spans="2:9">
      <c r="B31" s="158" t="s">
        <v>436</v>
      </c>
      <c r="C31" s="158" t="s">
        <v>355</v>
      </c>
      <c r="D31" s="158" t="s">
        <v>868</v>
      </c>
      <c r="E31" s="158" t="s">
        <v>354</v>
      </c>
      <c r="F31" s="159">
        <v>6</v>
      </c>
      <c r="G31" s="226">
        <v>1.008</v>
      </c>
      <c r="H31" s="226">
        <v>6.05</v>
      </c>
      <c r="I31" s="158"/>
    </row>
    <row r="32" spans="2:9">
      <c r="B32" s="158" t="s">
        <v>436</v>
      </c>
      <c r="C32" s="158" t="s">
        <v>356</v>
      </c>
      <c r="D32" s="158" t="s">
        <v>867</v>
      </c>
      <c r="E32" s="158" t="s">
        <v>357</v>
      </c>
      <c r="F32" s="159">
        <v>6</v>
      </c>
      <c r="G32" s="226">
        <v>0.85799999999999998</v>
      </c>
      <c r="H32" s="226">
        <v>5.15</v>
      </c>
      <c r="I32" s="158"/>
    </row>
    <row r="33" spans="2:9">
      <c r="B33" s="158" t="s">
        <v>436</v>
      </c>
      <c r="C33" s="158" t="s">
        <v>358</v>
      </c>
      <c r="D33" s="158" t="s">
        <v>866</v>
      </c>
      <c r="E33" s="158" t="s">
        <v>357</v>
      </c>
      <c r="F33" s="159">
        <v>6</v>
      </c>
      <c r="G33" s="226">
        <v>0.93600000000000005</v>
      </c>
      <c r="H33" s="226">
        <v>5.62</v>
      </c>
      <c r="I33" s="158"/>
    </row>
    <row r="34" spans="2:9">
      <c r="B34" s="158" t="s">
        <v>436</v>
      </c>
      <c r="C34" s="158" t="s">
        <v>359</v>
      </c>
      <c r="D34" s="158" t="s">
        <v>874</v>
      </c>
      <c r="E34" s="158" t="s">
        <v>357</v>
      </c>
      <c r="F34" s="159">
        <v>6</v>
      </c>
      <c r="G34" s="226">
        <v>1.012</v>
      </c>
      <c r="H34" s="226">
        <v>6.07</v>
      </c>
      <c r="I34" s="158"/>
    </row>
    <row r="35" spans="2:9">
      <c r="B35" s="158" t="s">
        <v>436</v>
      </c>
      <c r="C35" s="158" t="s">
        <v>360</v>
      </c>
      <c r="D35" s="158" t="s">
        <v>871</v>
      </c>
      <c r="E35" s="158" t="s">
        <v>357</v>
      </c>
      <c r="F35" s="159">
        <v>6</v>
      </c>
      <c r="G35" s="226">
        <v>1.0489999999999999</v>
      </c>
      <c r="H35" s="226">
        <v>6.29</v>
      </c>
      <c r="I35" s="158"/>
    </row>
    <row r="36" spans="2:9">
      <c r="B36" s="158" t="s">
        <v>436</v>
      </c>
      <c r="C36" s="158" t="s">
        <v>361</v>
      </c>
      <c r="D36" s="158" t="s">
        <v>868</v>
      </c>
      <c r="E36" s="158" t="s">
        <v>357</v>
      </c>
      <c r="F36" s="159">
        <v>6</v>
      </c>
      <c r="G36" s="226">
        <v>1.163</v>
      </c>
      <c r="H36" s="226">
        <v>6.98</v>
      </c>
      <c r="I36" s="158"/>
    </row>
    <row r="37" spans="2:9">
      <c r="B37" s="158" t="s">
        <v>436</v>
      </c>
      <c r="C37" s="158" t="s">
        <v>362</v>
      </c>
      <c r="D37" s="158" t="s">
        <v>868</v>
      </c>
      <c r="E37" s="158" t="s">
        <v>363</v>
      </c>
      <c r="F37" s="159">
        <v>6</v>
      </c>
      <c r="G37" s="226">
        <v>1.2150000000000001</v>
      </c>
      <c r="H37" s="226">
        <v>7.29</v>
      </c>
      <c r="I37" s="158"/>
    </row>
    <row r="38" spans="2:9">
      <c r="B38" s="158" t="s">
        <v>436</v>
      </c>
      <c r="C38" s="158" t="s">
        <v>364</v>
      </c>
      <c r="D38" s="158" t="s">
        <v>875</v>
      </c>
      <c r="E38" s="158" t="s">
        <v>363</v>
      </c>
      <c r="F38" s="159">
        <v>6</v>
      </c>
      <c r="G38" s="226">
        <v>1.873</v>
      </c>
      <c r="H38" s="226">
        <v>11.24</v>
      </c>
      <c r="I38" s="158"/>
    </row>
    <row r="39" spans="2:9">
      <c r="B39" s="225" t="s">
        <v>876</v>
      </c>
    </row>
    <row r="40" spans="2:9">
      <c r="B40" s="158" t="s">
        <v>436</v>
      </c>
      <c r="C40" s="158" t="s">
        <v>365</v>
      </c>
      <c r="D40" s="158" t="s">
        <v>877</v>
      </c>
      <c r="E40" s="158" t="s">
        <v>366</v>
      </c>
      <c r="F40" s="159">
        <v>6</v>
      </c>
      <c r="G40" s="226">
        <v>0.67700000000000005</v>
      </c>
      <c r="H40" s="226">
        <v>4.0620000000000003</v>
      </c>
      <c r="I40" s="158"/>
    </row>
    <row r="41" spans="2:9">
      <c r="B41" s="225" t="s">
        <v>878</v>
      </c>
    </row>
    <row r="42" spans="2:9">
      <c r="B42" s="158" t="s">
        <v>76</v>
      </c>
      <c r="C42" s="158" t="s">
        <v>375</v>
      </c>
      <c r="D42" s="158" t="s">
        <v>367</v>
      </c>
      <c r="E42" s="158" t="s">
        <v>376</v>
      </c>
      <c r="F42" s="159">
        <v>6</v>
      </c>
      <c r="G42" s="226">
        <v>0.49199999999999999</v>
      </c>
      <c r="H42" s="226">
        <v>2.95</v>
      </c>
      <c r="I42" s="158" t="s">
        <v>879</v>
      </c>
    </row>
    <row r="43" spans="2:9">
      <c r="B43" s="158" t="s">
        <v>76</v>
      </c>
      <c r="C43" s="158" t="s">
        <v>378</v>
      </c>
      <c r="D43" s="158" t="s">
        <v>367</v>
      </c>
      <c r="E43" s="158" t="s">
        <v>379</v>
      </c>
      <c r="F43" s="159">
        <v>6</v>
      </c>
      <c r="G43" s="226">
        <v>0.26200000000000001</v>
      </c>
      <c r="H43" s="226">
        <v>1.57</v>
      </c>
      <c r="I43" s="158"/>
    </row>
    <row r="44" spans="2:9">
      <c r="B44" s="158" t="s">
        <v>76</v>
      </c>
      <c r="C44" s="158" t="s">
        <v>380</v>
      </c>
      <c r="D44" s="158" t="s">
        <v>367</v>
      </c>
      <c r="E44" s="158" t="s">
        <v>381</v>
      </c>
      <c r="F44" s="159">
        <v>6</v>
      </c>
      <c r="G44" s="226">
        <v>0.28199999999999997</v>
      </c>
      <c r="H44" s="226">
        <v>1.6919999999999999</v>
      </c>
      <c r="I44" s="158"/>
    </row>
    <row r="45" spans="2:9">
      <c r="B45" s="158" t="s">
        <v>76</v>
      </c>
      <c r="C45" s="158" t="s">
        <v>382</v>
      </c>
      <c r="D45" s="158" t="s">
        <v>367</v>
      </c>
      <c r="E45" s="158" t="s">
        <v>383</v>
      </c>
      <c r="F45" s="159">
        <v>6</v>
      </c>
      <c r="G45" s="226">
        <v>0.78200000000000003</v>
      </c>
      <c r="H45" s="226">
        <v>4.6900000000000004</v>
      </c>
      <c r="I45" s="158" t="s">
        <v>880</v>
      </c>
    </row>
    <row r="46" spans="2:9">
      <c r="B46" s="158" t="s">
        <v>76</v>
      </c>
      <c r="C46" s="158" t="s">
        <v>367</v>
      </c>
      <c r="D46" s="158" t="s">
        <v>367</v>
      </c>
      <c r="E46" s="158" t="s">
        <v>384</v>
      </c>
      <c r="F46" s="159">
        <v>6</v>
      </c>
      <c r="G46" s="226">
        <v>1.7889999999999999</v>
      </c>
      <c r="H46" s="226">
        <v>10.734</v>
      </c>
      <c r="I46" s="158"/>
    </row>
    <row r="47" spans="2:9">
      <c r="B47" s="158" t="s">
        <v>76</v>
      </c>
      <c r="C47" s="158" t="s">
        <v>385</v>
      </c>
      <c r="D47" s="158" t="s">
        <v>367</v>
      </c>
      <c r="E47" s="158" t="s">
        <v>386</v>
      </c>
      <c r="F47" s="159">
        <v>6</v>
      </c>
      <c r="G47" s="226">
        <v>0.91</v>
      </c>
      <c r="H47" s="226">
        <v>5.46</v>
      </c>
      <c r="I47" s="158"/>
    </row>
    <row r="48" spans="2:9">
      <c r="B48" s="158" t="s">
        <v>76</v>
      </c>
      <c r="C48" s="158" t="s">
        <v>387</v>
      </c>
      <c r="D48" s="158" t="s">
        <v>367</v>
      </c>
      <c r="E48" s="158" t="s">
        <v>388</v>
      </c>
      <c r="F48" s="159">
        <v>6</v>
      </c>
      <c r="G48" s="226">
        <v>0.114</v>
      </c>
      <c r="H48" s="226">
        <v>0.68400000000000005</v>
      </c>
      <c r="I48" s="158"/>
    </row>
    <row r="49" spans="2:9">
      <c r="B49" s="158" t="s">
        <v>76</v>
      </c>
      <c r="C49" s="158" t="s">
        <v>389</v>
      </c>
      <c r="D49" s="158" t="s">
        <v>367</v>
      </c>
      <c r="E49" s="158" t="s">
        <v>390</v>
      </c>
      <c r="F49" s="159">
        <v>6</v>
      </c>
      <c r="G49" s="226">
        <v>0.14399999999999999</v>
      </c>
      <c r="H49" s="226">
        <v>0.86399999999999999</v>
      </c>
      <c r="I49" s="158"/>
    </row>
    <row r="50" spans="2:9">
      <c r="B50" s="158" t="s">
        <v>76</v>
      </c>
      <c r="C50" s="158" t="s">
        <v>391</v>
      </c>
      <c r="D50" s="158" t="s">
        <v>367</v>
      </c>
      <c r="E50" s="158" t="s">
        <v>392</v>
      </c>
      <c r="F50" s="159">
        <v>6</v>
      </c>
      <c r="G50" s="226">
        <v>7.9000000000000001E-2</v>
      </c>
      <c r="H50" s="226">
        <v>0.47399999999999998</v>
      </c>
      <c r="I50" s="158"/>
    </row>
    <row r="51" spans="2:9">
      <c r="B51" s="158" t="s">
        <v>76</v>
      </c>
      <c r="C51" s="158" t="s">
        <v>393</v>
      </c>
      <c r="D51" s="158" t="s">
        <v>367</v>
      </c>
      <c r="E51" s="158" t="s">
        <v>394</v>
      </c>
      <c r="F51" s="159">
        <v>6</v>
      </c>
      <c r="G51" s="226">
        <v>0.14000000000000001</v>
      </c>
      <c r="H51" s="226">
        <v>0.84</v>
      </c>
      <c r="I51" s="158"/>
    </row>
    <row r="52" spans="2:9">
      <c r="B52" s="158" t="s">
        <v>76</v>
      </c>
      <c r="C52" s="158" t="s">
        <v>367</v>
      </c>
      <c r="D52" s="158" t="s">
        <v>367</v>
      </c>
      <c r="E52" s="158" t="s">
        <v>395</v>
      </c>
      <c r="F52" s="159">
        <v>6</v>
      </c>
      <c r="G52" s="226">
        <v>0.59599999999999997</v>
      </c>
      <c r="H52" s="226">
        <v>3.5760000000000001</v>
      </c>
      <c r="I52" s="158"/>
    </row>
    <row r="53" spans="2:9">
      <c r="B53" s="158" t="s">
        <v>76</v>
      </c>
      <c r="C53" s="158" t="s">
        <v>367</v>
      </c>
      <c r="D53" s="158" t="s">
        <v>367</v>
      </c>
      <c r="E53" s="158" t="s">
        <v>396</v>
      </c>
      <c r="F53" s="159">
        <v>6</v>
      </c>
      <c r="G53" s="226">
        <v>0.42399999999999999</v>
      </c>
      <c r="H53" s="226">
        <v>2.544</v>
      </c>
      <c r="I53" s="158"/>
    </row>
    <row r="54" spans="2:9">
      <c r="B54" s="158" t="s">
        <v>76</v>
      </c>
      <c r="C54" s="158" t="s">
        <v>367</v>
      </c>
      <c r="D54" s="158" t="s">
        <v>367</v>
      </c>
      <c r="E54" s="158" t="s">
        <v>397</v>
      </c>
      <c r="F54" s="159">
        <v>6</v>
      </c>
      <c r="G54" s="226">
        <v>7.5999999999999998E-2</v>
      </c>
      <c r="H54" s="226">
        <v>0.45600000000000002</v>
      </c>
      <c r="I54" s="158"/>
    </row>
    <row r="55" spans="2:9">
      <c r="B55" s="158" t="s">
        <v>76</v>
      </c>
      <c r="C55" s="158" t="s">
        <v>367</v>
      </c>
      <c r="D55" s="158" t="s">
        <v>367</v>
      </c>
      <c r="E55" s="158" t="s">
        <v>398</v>
      </c>
      <c r="F55" s="159">
        <v>6</v>
      </c>
      <c r="G55" s="226">
        <v>0.28000000000000003</v>
      </c>
      <c r="H55" s="226">
        <v>1.68</v>
      </c>
      <c r="I55" s="158"/>
    </row>
    <row r="56" spans="2:9">
      <c r="B56" s="158" t="s">
        <v>76</v>
      </c>
      <c r="C56" s="158" t="s">
        <v>367</v>
      </c>
      <c r="D56" s="158" t="s">
        <v>367</v>
      </c>
      <c r="E56" s="158" t="s">
        <v>399</v>
      </c>
      <c r="F56" s="159">
        <v>6</v>
      </c>
      <c r="G56" s="226">
        <v>0.48099999999999998</v>
      </c>
      <c r="H56" s="226">
        <v>2.8860000000000001</v>
      </c>
      <c r="I56" s="158"/>
    </row>
    <row r="57" spans="2:9">
      <c r="B57" s="225" t="s">
        <v>881</v>
      </c>
    </row>
    <row r="58" spans="2:9">
      <c r="B58" s="158" t="s">
        <v>77</v>
      </c>
      <c r="C58" s="158" t="s">
        <v>367</v>
      </c>
      <c r="D58" s="158" t="s">
        <v>367</v>
      </c>
      <c r="E58" s="158" t="s">
        <v>399</v>
      </c>
      <c r="F58" s="159">
        <v>6</v>
      </c>
      <c r="G58" s="226">
        <v>0.48099999999999998</v>
      </c>
      <c r="H58" s="226">
        <v>2.8860000000000001</v>
      </c>
      <c r="I58" s="158"/>
    </row>
    <row r="59" spans="2:9">
      <c r="B59" s="158" t="s">
        <v>77</v>
      </c>
      <c r="C59" s="158" t="s">
        <v>367</v>
      </c>
      <c r="D59" s="158" t="s">
        <v>367</v>
      </c>
      <c r="E59" s="158" t="s">
        <v>395</v>
      </c>
      <c r="F59" s="159">
        <v>6</v>
      </c>
      <c r="G59" s="226">
        <v>0.59599999999999997</v>
      </c>
      <c r="H59" s="226">
        <v>3.5760000000000001</v>
      </c>
      <c r="I59" s="158"/>
    </row>
    <row r="60" spans="2:9">
      <c r="B60" s="225" t="s">
        <v>882</v>
      </c>
    </row>
    <row r="61" spans="2:9">
      <c r="B61" s="158" t="s">
        <v>883</v>
      </c>
      <c r="C61" s="158" t="s">
        <v>293</v>
      </c>
      <c r="D61" s="158" t="s">
        <v>367</v>
      </c>
      <c r="E61" s="158" t="s">
        <v>884</v>
      </c>
      <c r="F61" s="227">
        <v>6.4</v>
      </c>
      <c r="G61" s="226">
        <v>0.432</v>
      </c>
      <c r="H61" s="226">
        <v>2.7669999999999999</v>
      </c>
      <c r="I61" s="606" t="s">
        <v>885</v>
      </c>
    </row>
    <row r="62" spans="2:9">
      <c r="B62" s="158" t="s">
        <v>883</v>
      </c>
      <c r="C62" s="158" t="s">
        <v>295</v>
      </c>
      <c r="D62" s="158" t="s">
        <v>367</v>
      </c>
      <c r="E62" s="158" t="s">
        <v>886</v>
      </c>
      <c r="F62" s="227">
        <v>6.4</v>
      </c>
      <c r="G62" s="226">
        <v>0.24</v>
      </c>
      <c r="H62" s="226">
        <v>1.5329999999999999</v>
      </c>
      <c r="I62" s="606" t="s">
        <v>885</v>
      </c>
    </row>
    <row r="63" spans="2:9">
      <c r="B63" s="158" t="s">
        <v>883</v>
      </c>
      <c r="C63" s="158" t="s">
        <v>296</v>
      </c>
      <c r="D63" s="158" t="s">
        <v>367</v>
      </c>
      <c r="E63" s="158" t="s">
        <v>158</v>
      </c>
      <c r="F63" s="227">
        <v>6.4</v>
      </c>
      <c r="G63" s="226">
        <v>0.14599999999999999</v>
      </c>
      <c r="H63" s="226">
        <v>0.93400000000000005</v>
      </c>
      <c r="I63" s="606" t="s">
        <v>885</v>
      </c>
    </row>
    <row r="64" spans="2:9">
      <c r="B64" s="158" t="s">
        <v>883</v>
      </c>
      <c r="C64" s="158" t="s">
        <v>426</v>
      </c>
      <c r="D64" s="158" t="s">
        <v>367</v>
      </c>
      <c r="E64" s="158" t="s">
        <v>427</v>
      </c>
      <c r="F64" s="227">
        <v>6.4</v>
      </c>
      <c r="G64" s="226">
        <v>6.2E-2</v>
      </c>
      <c r="H64" s="226">
        <v>0.4</v>
      </c>
      <c r="I64" s="606" t="s">
        <v>885</v>
      </c>
    </row>
    <row r="65" spans="2:9">
      <c r="B65" s="158" t="s">
        <v>883</v>
      </c>
      <c r="C65" s="158" t="s">
        <v>311</v>
      </c>
      <c r="D65" s="158" t="s">
        <v>367</v>
      </c>
      <c r="E65" s="158" t="s">
        <v>887</v>
      </c>
      <c r="F65" s="227">
        <v>6.4</v>
      </c>
      <c r="G65" s="226">
        <v>0.03</v>
      </c>
      <c r="H65" s="226">
        <v>0.19</v>
      </c>
      <c r="I65" s="606" t="s">
        <v>885</v>
      </c>
    </row>
    <row r="66" spans="2:9">
      <c r="B66" s="158" t="s">
        <v>883</v>
      </c>
      <c r="C66" s="158" t="s">
        <v>297</v>
      </c>
      <c r="D66" s="158" t="s">
        <v>367</v>
      </c>
      <c r="E66" s="158" t="s">
        <v>888</v>
      </c>
      <c r="F66" s="227">
        <v>6.4</v>
      </c>
      <c r="G66" s="226">
        <v>0.22900000000000001</v>
      </c>
      <c r="H66" s="226">
        <v>1.466</v>
      </c>
      <c r="I66" s="606" t="s">
        <v>885</v>
      </c>
    </row>
    <row r="67" spans="2:9">
      <c r="B67" s="158" t="s">
        <v>883</v>
      </c>
      <c r="C67" s="158" t="s">
        <v>428</v>
      </c>
      <c r="D67" s="158" t="s">
        <v>367</v>
      </c>
      <c r="E67" s="158" t="s">
        <v>889</v>
      </c>
      <c r="F67" s="227">
        <v>6.4</v>
      </c>
      <c r="G67" s="226">
        <v>4.4999999999999998E-2</v>
      </c>
      <c r="H67" s="226">
        <v>0.28499999999999998</v>
      </c>
      <c r="I67" s="606" t="s">
        <v>885</v>
      </c>
    </row>
    <row r="68" spans="2:9">
      <c r="B68" s="158" t="s">
        <v>883</v>
      </c>
      <c r="C68" s="158" t="s">
        <v>309</v>
      </c>
      <c r="D68" s="158" t="s">
        <v>367</v>
      </c>
      <c r="E68" s="158" t="s">
        <v>310</v>
      </c>
      <c r="F68" s="227">
        <v>6.4</v>
      </c>
      <c r="G68" s="226">
        <v>0.125</v>
      </c>
      <c r="H68" s="226">
        <v>0.79900000000000004</v>
      </c>
      <c r="I68" s="606" t="s">
        <v>885</v>
      </c>
    </row>
    <row r="69" spans="2:9">
      <c r="B69" s="158" t="s">
        <v>883</v>
      </c>
      <c r="C69" s="158" t="s">
        <v>305</v>
      </c>
      <c r="D69" s="158" t="s">
        <v>367</v>
      </c>
      <c r="E69" s="158" t="s">
        <v>890</v>
      </c>
      <c r="F69" s="227">
        <v>6.4</v>
      </c>
      <c r="G69" s="226">
        <v>6.8000000000000005E-2</v>
      </c>
      <c r="H69" s="226">
        <v>0.438</v>
      </c>
      <c r="I69" s="606" t="s">
        <v>885</v>
      </c>
    </row>
    <row r="70" spans="2:9">
      <c r="B70" s="158" t="s">
        <v>883</v>
      </c>
      <c r="C70" s="158" t="s">
        <v>307</v>
      </c>
      <c r="D70" s="158" t="s">
        <v>367</v>
      </c>
      <c r="E70" s="158" t="s">
        <v>308</v>
      </c>
      <c r="F70" s="227">
        <v>6.4</v>
      </c>
      <c r="G70" s="226">
        <v>0.161</v>
      </c>
      <c r="H70" s="226">
        <v>1.03</v>
      </c>
      <c r="I70" s="606" t="s">
        <v>885</v>
      </c>
    </row>
    <row r="71" spans="2:9">
      <c r="B71" s="158" t="s">
        <v>883</v>
      </c>
      <c r="C71" s="158" t="s">
        <v>313</v>
      </c>
      <c r="D71" s="158" t="s">
        <v>367</v>
      </c>
      <c r="E71" s="158" t="s">
        <v>891</v>
      </c>
      <c r="F71" s="227">
        <v>6.4</v>
      </c>
      <c r="G71" s="226">
        <v>7.0999999999999994E-2</v>
      </c>
      <c r="H71" s="226">
        <v>0.45200000000000001</v>
      </c>
      <c r="I71" s="606" t="s">
        <v>885</v>
      </c>
    </row>
    <row r="72" spans="2:9">
      <c r="B72" s="158" t="s">
        <v>883</v>
      </c>
      <c r="C72" s="158" t="s">
        <v>303</v>
      </c>
      <c r="D72" s="158" t="s">
        <v>367</v>
      </c>
      <c r="E72" s="158" t="s">
        <v>892</v>
      </c>
      <c r="F72" s="227">
        <v>6.4</v>
      </c>
      <c r="G72" s="226">
        <v>7.6999999999999999E-2</v>
      </c>
      <c r="H72" s="226">
        <v>0.496</v>
      </c>
      <c r="I72" s="606" t="s">
        <v>885</v>
      </c>
    </row>
    <row r="73" spans="2:9">
      <c r="B73" s="158" t="s">
        <v>883</v>
      </c>
      <c r="C73" s="158" t="s">
        <v>301</v>
      </c>
      <c r="D73" s="158" t="s">
        <v>367</v>
      </c>
      <c r="E73" s="158" t="s">
        <v>893</v>
      </c>
      <c r="F73" s="227">
        <v>6.4</v>
      </c>
      <c r="G73" s="226">
        <v>0.13700000000000001</v>
      </c>
      <c r="H73" s="226">
        <v>0.874</v>
      </c>
      <c r="I73" s="606" t="s">
        <v>885</v>
      </c>
    </row>
    <row r="74" spans="2:9">
      <c r="B74" s="158" t="s">
        <v>883</v>
      </c>
      <c r="C74" s="158" t="s">
        <v>299</v>
      </c>
      <c r="D74" s="158" t="s">
        <v>367</v>
      </c>
      <c r="E74" s="158" t="s">
        <v>894</v>
      </c>
      <c r="F74" s="227">
        <v>6.4</v>
      </c>
      <c r="G74" s="226">
        <v>4.7E-2</v>
      </c>
      <c r="H74" s="226">
        <v>0.30299999999999999</v>
      </c>
      <c r="I74" s="606" t="s">
        <v>885</v>
      </c>
    </row>
    <row r="75" spans="2:9">
      <c r="B75" s="158" t="s">
        <v>883</v>
      </c>
      <c r="C75" s="158" t="s">
        <v>895</v>
      </c>
      <c r="D75" s="158" t="s">
        <v>367</v>
      </c>
      <c r="E75" s="158" t="s">
        <v>896</v>
      </c>
      <c r="F75" s="227">
        <v>6.4</v>
      </c>
      <c r="G75" s="226">
        <v>3.9E-2</v>
      </c>
      <c r="H75" s="226">
        <v>0.252</v>
      </c>
      <c r="I75" s="606" t="s">
        <v>885</v>
      </c>
    </row>
    <row r="76" spans="2:9">
      <c r="B76" s="228" t="s">
        <v>883</v>
      </c>
      <c r="C76" s="228" t="s">
        <v>244</v>
      </c>
      <c r="D76" s="228" t="s">
        <v>367</v>
      </c>
      <c r="E76" s="228" t="s">
        <v>897</v>
      </c>
      <c r="F76" s="229">
        <v>6.4</v>
      </c>
      <c r="G76" s="230">
        <v>0.877</v>
      </c>
      <c r="H76" s="230">
        <v>5.61</v>
      </c>
      <c r="I76" s="228" t="s">
        <v>898</v>
      </c>
    </row>
    <row r="78" spans="2:9">
      <c r="B78" s="172" t="s">
        <v>899</v>
      </c>
    </row>
    <row r="79" spans="2:9">
      <c r="B79" s="228" t="s">
        <v>74</v>
      </c>
      <c r="C79" s="228" t="s">
        <v>900</v>
      </c>
      <c r="D79" s="228" t="s">
        <v>367</v>
      </c>
      <c r="E79" s="228" t="s">
        <v>901</v>
      </c>
      <c r="F79" s="231">
        <v>6.4</v>
      </c>
      <c r="G79" s="230">
        <v>0.89700000000000002</v>
      </c>
      <c r="H79" s="230">
        <v>5.7409999999999997</v>
      </c>
      <c r="I79" s="228"/>
    </row>
    <row r="80" spans="2:9">
      <c r="B80" s="228" t="s">
        <v>74</v>
      </c>
      <c r="C80" s="228" t="s">
        <v>902</v>
      </c>
      <c r="D80" s="228" t="s">
        <v>367</v>
      </c>
      <c r="E80" s="228" t="s">
        <v>903</v>
      </c>
      <c r="F80" s="231">
        <v>6.4</v>
      </c>
      <c r="G80" s="230">
        <v>0.35</v>
      </c>
      <c r="H80" s="230">
        <v>2.2400000000000002</v>
      </c>
      <c r="I80" s="228"/>
    </row>
    <row r="81" spans="2:9">
      <c r="B81" s="228" t="s">
        <v>74</v>
      </c>
      <c r="C81" s="228" t="s">
        <v>904</v>
      </c>
      <c r="D81" s="228" t="s">
        <v>367</v>
      </c>
      <c r="E81" s="228" t="s">
        <v>905</v>
      </c>
      <c r="F81" s="231">
        <v>6.4</v>
      </c>
      <c r="G81" s="230">
        <v>0.52800000000000002</v>
      </c>
      <c r="H81" s="230">
        <v>3.379</v>
      </c>
      <c r="I81" s="228"/>
    </row>
    <row r="82" spans="2:9">
      <c r="B82" s="228" t="s">
        <v>74</v>
      </c>
      <c r="C82" s="228" t="s">
        <v>906</v>
      </c>
      <c r="D82" s="228" t="s">
        <v>367</v>
      </c>
      <c r="E82" s="228" t="s">
        <v>907</v>
      </c>
      <c r="F82" s="231">
        <v>6.4</v>
      </c>
      <c r="G82" s="230">
        <v>5.0999999999999997E-2</v>
      </c>
      <c r="H82" s="230">
        <v>0.32600000000000001</v>
      </c>
      <c r="I82" s="228"/>
    </row>
    <row r="83" spans="2:9">
      <c r="B83" s="228" t="s">
        <v>74</v>
      </c>
      <c r="C83" s="228" t="s">
        <v>908</v>
      </c>
      <c r="D83" s="228" t="s">
        <v>367</v>
      </c>
      <c r="E83" s="228" t="s">
        <v>909</v>
      </c>
      <c r="F83" s="231">
        <v>6.4</v>
      </c>
      <c r="G83" s="230">
        <v>0.17100000000000001</v>
      </c>
      <c r="H83" s="230">
        <v>1.0940000000000001</v>
      </c>
      <c r="I83" s="228"/>
    </row>
    <row r="84" spans="2:9">
      <c r="B84" s="228" t="s">
        <v>74</v>
      </c>
      <c r="C84" s="228" t="s">
        <v>910</v>
      </c>
      <c r="D84" s="228" t="s">
        <v>367</v>
      </c>
      <c r="E84" s="228" t="s">
        <v>911</v>
      </c>
      <c r="F84" s="231">
        <v>6.4</v>
      </c>
      <c r="G84" s="230">
        <v>0.73599999999999999</v>
      </c>
      <c r="H84" s="230">
        <v>4.71</v>
      </c>
      <c r="I84" s="228"/>
    </row>
    <row r="85" spans="2:9">
      <c r="B85" s="228" t="s">
        <v>74</v>
      </c>
      <c r="C85" s="228" t="s">
        <v>912</v>
      </c>
      <c r="D85" s="228" t="s">
        <v>367</v>
      </c>
      <c r="E85" s="228" t="s">
        <v>913</v>
      </c>
      <c r="F85" s="231">
        <v>6.4</v>
      </c>
      <c r="G85" s="230">
        <v>1.0269999999999999</v>
      </c>
      <c r="H85" s="230">
        <v>6.5730000000000004</v>
      </c>
      <c r="I85" s="228"/>
    </row>
    <row r="86" spans="2:9">
      <c r="B86" s="228" t="s">
        <v>74</v>
      </c>
      <c r="C86" s="228" t="s">
        <v>914</v>
      </c>
      <c r="D86" s="228" t="s">
        <v>367</v>
      </c>
      <c r="E86" s="228" t="s">
        <v>915</v>
      </c>
      <c r="F86" s="231">
        <v>6.4</v>
      </c>
      <c r="G86" s="230">
        <v>0.99299999999999999</v>
      </c>
      <c r="H86" s="230">
        <v>6.3550000000000004</v>
      </c>
      <c r="I86" s="228"/>
    </row>
    <row r="87" spans="2:9">
      <c r="B87" s="172" t="s">
        <v>916</v>
      </c>
    </row>
    <row r="88" spans="2:9">
      <c r="B88" s="228" t="s">
        <v>917</v>
      </c>
      <c r="C88" s="228" t="s">
        <v>918</v>
      </c>
      <c r="D88" s="228" t="s">
        <v>919</v>
      </c>
      <c r="E88" s="228" t="s">
        <v>920</v>
      </c>
      <c r="F88" s="231">
        <v>6.4</v>
      </c>
      <c r="G88" s="230">
        <v>1.603</v>
      </c>
      <c r="H88" s="230">
        <v>10.259</v>
      </c>
      <c r="I88" s="228"/>
    </row>
    <row r="89" spans="2:9">
      <c r="B89" s="228" t="s">
        <v>917</v>
      </c>
      <c r="C89" s="228" t="s">
        <v>921</v>
      </c>
      <c r="D89" s="228" t="s">
        <v>872</v>
      </c>
      <c r="E89" s="228" t="s">
        <v>922</v>
      </c>
      <c r="F89" s="231">
        <v>6.4</v>
      </c>
      <c r="G89" s="230">
        <v>0.27800000000000002</v>
      </c>
      <c r="H89" s="230">
        <v>1.7789999999999999</v>
      </c>
      <c r="I89" s="228"/>
    </row>
    <row r="90" spans="2:9">
      <c r="B90" s="228" t="s">
        <v>917</v>
      </c>
      <c r="C90" s="228" t="s">
        <v>923</v>
      </c>
      <c r="D90" s="228" t="s">
        <v>868</v>
      </c>
      <c r="E90" s="228" t="s">
        <v>924</v>
      </c>
      <c r="F90" s="231">
        <v>6.4</v>
      </c>
      <c r="G90" s="230">
        <v>1.377</v>
      </c>
      <c r="H90" s="230">
        <v>8.8130000000000006</v>
      </c>
      <c r="I90" s="228"/>
    </row>
    <row r="91" spans="2:9">
      <c r="B91" s="228" t="s">
        <v>917</v>
      </c>
      <c r="C91" s="228" t="s">
        <v>925</v>
      </c>
      <c r="D91" s="228" t="s">
        <v>872</v>
      </c>
      <c r="E91" s="228" t="s">
        <v>926</v>
      </c>
      <c r="F91" s="231">
        <v>6.4</v>
      </c>
      <c r="G91" s="230">
        <v>0.51600000000000001</v>
      </c>
      <c r="H91" s="230">
        <v>3.302</v>
      </c>
      <c r="I91" s="228"/>
    </row>
    <row r="92" spans="2:9">
      <c r="B92" s="228" t="s">
        <v>917</v>
      </c>
      <c r="C92" s="228" t="s">
        <v>927</v>
      </c>
      <c r="D92" s="228" t="s">
        <v>868</v>
      </c>
      <c r="E92" s="228" t="s">
        <v>928</v>
      </c>
      <c r="F92" s="231">
        <v>6.4</v>
      </c>
      <c r="G92" s="230">
        <v>0.89300000000000002</v>
      </c>
      <c r="H92" s="230">
        <v>5.7149999999999999</v>
      </c>
      <c r="I92" s="228"/>
    </row>
    <row r="93" spans="2:9">
      <c r="B93" s="228" t="s">
        <v>917</v>
      </c>
      <c r="C93" s="228" t="s">
        <v>929</v>
      </c>
      <c r="D93" s="228" t="s">
        <v>866</v>
      </c>
      <c r="E93" s="228" t="s">
        <v>930</v>
      </c>
      <c r="F93" s="231">
        <v>6.4</v>
      </c>
      <c r="G93" s="230">
        <v>0.23499999999999999</v>
      </c>
      <c r="H93" s="230">
        <v>1.504</v>
      </c>
      <c r="I93" s="228"/>
    </row>
    <row r="94" spans="2:9">
      <c r="B94" s="228" t="s">
        <v>917</v>
      </c>
      <c r="C94" s="228" t="s">
        <v>931</v>
      </c>
      <c r="D94" s="228" t="s">
        <v>868</v>
      </c>
      <c r="E94" s="228" t="s">
        <v>932</v>
      </c>
      <c r="F94" s="231">
        <v>6.4</v>
      </c>
      <c r="G94" s="230">
        <v>1.1060000000000001</v>
      </c>
      <c r="H94" s="230">
        <v>7.0780000000000003</v>
      </c>
      <c r="I94" s="228"/>
    </row>
    <row r="95" spans="2:9">
      <c r="B95" s="228" t="s">
        <v>917</v>
      </c>
      <c r="C95" s="228" t="s">
        <v>933</v>
      </c>
      <c r="D95" s="228" t="s">
        <v>866</v>
      </c>
      <c r="E95" s="228" t="s">
        <v>934</v>
      </c>
      <c r="F95" s="231">
        <v>6.4</v>
      </c>
      <c r="G95" s="230">
        <v>0.23100000000000001</v>
      </c>
      <c r="H95" s="230">
        <v>1.478</v>
      </c>
      <c r="I95" s="228"/>
    </row>
    <row r="96" spans="2:9">
      <c r="B96" s="228" t="s">
        <v>917</v>
      </c>
      <c r="C96" s="228" t="s">
        <v>935</v>
      </c>
      <c r="D96" s="228" t="s">
        <v>866</v>
      </c>
      <c r="E96" s="228" t="s">
        <v>936</v>
      </c>
      <c r="F96" s="231">
        <v>6.4</v>
      </c>
      <c r="G96" s="230">
        <v>0.22600000000000001</v>
      </c>
      <c r="H96" s="230">
        <v>1.446</v>
      </c>
      <c r="I96" s="228"/>
    </row>
    <row r="97" spans="2:9">
      <c r="B97" s="228" t="s">
        <v>917</v>
      </c>
      <c r="C97" s="228" t="s">
        <v>937</v>
      </c>
      <c r="D97" s="228" t="s">
        <v>868</v>
      </c>
      <c r="E97" s="228" t="s">
        <v>938</v>
      </c>
      <c r="F97" s="231">
        <v>6.4</v>
      </c>
      <c r="G97" s="230">
        <v>0.17</v>
      </c>
      <c r="H97" s="230">
        <v>1.0880000000000001</v>
      </c>
      <c r="I97" s="228"/>
    </row>
    <row r="98" spans="2:9">
      <c r="B98" s="228" t="s">
        <v>917</v>
      </c>
      <c r="C98" s="228" t="s">
        <v>939</v>
      </c>
      <c r="D98" s="228" t="s">
        <v>866</v>
      </c>
      <c r="E98" s="228" t="s">
        <v>940</v>
      </c>
      <c r="F98" s="231">
        <v>6.4</v>
      </c>
      <c r="G98" s="230">
        <v>0.215</v>
      </c>
      <c r="H98" s="230">
        <v>1.3759999999999999</v>
      </c>
      <c r="I98" s="228"/>
    </row>
    <row r="99" spans="2:9">
      <c r="B99" s="228" t="s">
        <v>917</v>
      </c>
      <c r="C99" s="228" t="s">
        <v>941</v>
      </c>
      <c r="D99" s="228" t="s">
        <v>868</v>
      </c>
      <c r="E99" s="228" t="s">
        <v>942</v>
      </c>
      <c r="F99" s="231">
        <v>6.4</v>
      </c>
      <c r="G99" s="230">
        <v>0.28100000000000003</v>
      </c>
      <c r="H99" s="230">
        <v>1.798</v>
      </c>
      <c r="I99" s="228"/>
    </row>
    <row r="100" spans="2:9">
      <c r="B100" s="228" t="s">
        <v>917</v>
      </c>
      <c r="C100" s="228" t="s">
        <v>943</v>
      </c>
      <c r="D100" s="228" t="s">
        <v>868</v>
      </c>
      <c r="E100" s="228" t="s">
        <v>944</v>
      </c>
      <c r="F100" s="231">
        <v>6.4</v>
      </c>
      <c r="G100" s="230">
        <v>0.78800000000000003</v>
      </c>
      <c r="H100" s="230">
        <v>5.0430000000000001</v>
      </c>
      <c r="I100" s="228"/>
    </row>
    <row r="101" spans="2:9">
      <c r="B101" s="172" t="s">
        <v>945</v>
      </c>
    </row>
    <row r="102" spans="2:9">
      <c r="B102" s="228" t="s">
        <v>436</v>
      </c>
      <c r="C102" s="228" t="s">
        <v>367</v>
      </c>
      <c r="D102" s="228" t="s">
        <v>576</v>
      </c>
      <c r="E102" s="228" t="s">
        <v>368</v>
      </c>
      <c r="F102" s="231">
        <v>6</v>
      </c>
      <c r="G102" s="230">
        <v>2.1589999999999998</v>
      </c>
      <c r="H102" s="230">
        <v>12.954000000000001</v>
      </c>
      <c r="I102" s="228"/>
    </row>
    <row r="103" spans="2:9">
      <c r="B103" s="228" t="s">
        <v>436</v>
      </c>
      <c r="C103" s="228" t="s">
        <v>367</v>
      </c>
      <c r="D103" s="228" t="s">
        <v>946</v>
      </c>
      <c r="E103" s="228" t="s">
        <v>369</v>
      </c>
      <c r="F103" s="231">
        <v>6</v>
      </c>
      <c r="G103" s="230">
        <v>0.95599999999999996</v>
      </c>
      <c r="H103" s="230">
        <v>5.7359999999999998</v>
      </c>
      <c r="I103" s="228"/>
    </row>
    <row r="104" spans="2:9">
      <c r="B104" s="228" t="s">
        <v>436</v>
      </c>
      <c r="C104" s="228" t="s">
        <v>367</v>
      </c>
      <c r="D104" s="228" t="s">
        <v>570</v>
      </c>
      <c r="E104" s="228" t="s">
        <v>370</v>
      </c>
      <c r="F104" s="231">
        <v>6</v>
      </c>
      <c r="G104" s="230">
        <v>1.163</v>
      </c>
      <c r="H104" s="230">
        <v>6.9779999999999998</v>
      </c>
      <c r="I104" s="228"/>
    </row>
    <row r="105" spans="2:9">
      <c r="B105" s="228" t="s">
        <v>436</v>
      </c>
      <c r="C105" s="228" t="s">
        <v>371</v>
      </c>
      <c r="D105" s="228" t="s">
        <v>2903</v>
      </c>
      <c r="E105" s="228" t="s">
        <v>371</v>
      </c>
      <c r="F105" s="231">
        <v>6</v>
      </c>
      <c r="G105" s="230">
        <v>0.16667000000000001</v>
      </c>
      <c r="H105" s="230">
        <v>1</v>
      </c>
      <c r="I105" s="228"/>
    </row>
    <row r="106" spans="2:9">
      <c r="B106" s="172" t="s">
        <v>947</v>
      </c>
    </row>
    <row r="107" spans="2:9">
      <c r="B107" s="228" t="s">
        <v>948</v>
      </c>
      <c r="C107" s="228" t="s">
        <v>403</v>
      </c>
      <c r="D107" s="228" t="s">
        <v>367</v>
      </c>
      <c r="E107" s="228" t="s">
        <v>367</v>
      </c>
      <c r="F107" s="231">
        <v>6.4</v>
      </c>
      <c r="G107" s="230">
        <v>1.115</v>
      </c>
      <c r="H107" s="230">
        <v>7.14</v>
      </c>
      <c r="I107" s="228"/>
    </row>
    <row r="108" spans="2:9">
      <c r="B108" s="228" t="s">
        <v>948</v>
      </c>
      <c r="C108" s="228" t="s">
        <v>405</v>
      </c>
      <c r="D108" s="228" t="s">
        <v>367</v>
      </c>
      <c r="E108" s="228" t="s">
        <v>367</v>
      </c>
      <c r="F108" s="231">
        <v>6.4</v>
      </c>
      <c r="G108" s="230">
        <v>0.13400000000000001</v>
      </c>
      <c r="H108" s="230">
        <v>0.86</v>
      </c>
      <c r="I108" s="228"/>
    </row>
    <row r="109" spans="2:9">
      <c r="B109" s="228" t="s">
        <v>948</v>
      </c>
      <c r="C109" s="228" t="s">
        <v>406</v>
      </c>
      <c r="D109" s="228" t="s">
        <v>367</v>
      </c>
      <c r="E109" s="228" t="s">
        <v>367</v>
      </c>
      <c r="F109" s="231">
        <v>6.4</v>
      </c>
      <c r="G109" s="230">
        <v>1.073</v>
      </c>
      <c r="H109" s="230">
        <v>6.87</v>
      </c>
      <c r="I109" s="228"/>
    </row>
    <row r="110" spans="2:9">
      <c r="B110" s="228" t="s">
        <v>948</v>
      </c>
      <c r="C110" s="228" t="s">
        <v>407</v>
      </c>
      <c r="D110" s="228" t="s">
        <v>367</v>
      </c>
      <c r="E110" s="228" t="s">
        <v>367</v>
      </c>
      <c r="F110" s="231">
        <v>6.4</v>
      </c>
      <c r="G110" s="230">
        <v>0.223</v>
      </c>
      <c r="H110" s="230">
        <v>1.43</v>
      </c>
      <c r="I110" s="228"/>
    </row>
    <row r="111" spans="2:9">
      <c r="B111" s="228" t="s">
        <v>948</v>
      </c>
      <c r="C111" s="228" t="s">
        <v>408</v>
      </c>
      <c r="D111" s="228" t="s">
        <v>367</v>
      </c>
      <c r="E111" s="228" t="s">
        <v>367</v>
      </c>
      <c r="F111" s="231">
        <v>6.4</v>
      </c>
      <c r="G111" s="230">
        <v>0.91200000000000003</v>
      </c>
      <c r="H111" s="230">
        <v>5.84</v>
      </c>
      <c r="I111" s="228"/>
    </row>
    <row r="112" spans="2:9">
      <c r="B112" s="228" t="s">
        <v>948</v>
      </c>
      <c r="C112" s="228" t="s">
        <v>409</v>
      </c>
      <c r="D112" s="228" t="s">
        <v>367</v>
      </c>
      <c r="E112" s="228" t="s">
        <v>367</v>
      </c>
      <c r="F112" s="231">
        <v>6.4</v>
      </c>
      <c r="G112" s="230">
        <v>1.0669999999999999</v>
      </c>
      <c r="H112" s="230">
        <v>6.53</v>
      </c>
      <c r="I112" s="228"/>
    </row>
    <row r="113" spans="2:9">
      <c r="B113" s="228" t="s">
        <v>948</v>
      </c>
      <c r="C113" s="228" t="s">
        <v>410</v>
      </c>
      <c r="D113" s="228" t="s">
        <v>367</v>
      </c>
      <c r="E113" s="228" t="s">
        <v>367</v>
      </c>
      <c r="F113" s="231">
        <v>6.4</v>
      </c>
      <c r="G113" s="230">
        <v>0.99299999999999999</v>
      </c>
      <c r="H113" s="230">
        <v>6.36</v>
      </c>
      <c r="I113" s="228"/>
    </row>
    <row r="114" spans="2:9">
      <c r="B114" s="228" t="s">
        <v>948</v>
      </c>
      <c r="C114" s="228" t="s">
        <v>411</v>
      </c>
      <c r="D114" s="228" t="s">
        <v>367</v>
      </c>
      <c r="E114" s="228" t="s">
        <v>367</v>
      </c>
      <c r="F114" s="231">
        <v>6.4</v>
      </c>
      <c r="G114" s="230">
        <v>0.82599999999999996</v>
      </c>
      <c r="H114" s="230">
        <v>5.29</v>
      </c>
      <c r="I114" s="228"/>
    </row>
    <row r="115" spans="2:9">
      <c r="B115" s="228" t="s">
        <v>948</v>
      </c>
      <c r="C115" s="228" t="s">
        <v>412</v>
      </c>
      <c r="D115" s="228" t="s">
        <v>367</v>
      </c>
      <c r="E115" s="228" t="s">
        <v>367</v>
      </c>
      <c r="F115" s="231">
        <v>6.4</v>
      </c>
      <c r="G115" s="230">
        <v>1.462</v>
      </c>
      <c r="H115" s="230">
        <v>9.39</v>
      </c>
      <c r="I115" s="228"/>
    </row>
    <row r="116" spans="2:9">
      <c r="B116" s="228" t="s">
        <v>948</v>
      </c>
      <c r="C116" s="228" t="s">
        <v>413</v>
      </c>
      <c r="D116" s="228" t="s">
        <v>367</v>
      </c>
      <c r="E116" s="228" t="s">
        <v>367</v>
      </c>
      <c r="F116" s="231">
        <v>6.4</v>
      </c>
      <c r="G116" s="230">
        <v>0.91200000000000003</v>
      </c>
      <c r="H116" s="230">
        <v>5.84</v>
      </c>
      <c r="I116" s="228"/>
    </row>
    <row r="117" spans="2:9">
      <c r="B117" s="228" t="s">
        <v>948</v>
      </c>
      <c r="C117" s="228" t="s">
        <v>414</v>
      </c>
      <c r="D117" s="228" t="s">
        <v>367</v>
      </c>
      <c r="E117" s="228" t="s">
        <v>367</v>
      </c>
      <c r="F117" s="231">
        <v>6.4</v>
      </c>
      <c r="G117" s="230">
        <v>1.012</v>
      </c>
      <c r="H117" s="230">
        <v>6.48</v>
      </c>
      <c r="I117" s="228"/>
    </row>
    <row r="118" spans="2:9">
      <c r="B118" s="228" t="s">
        <v>948</v>
      </c>
      <c r="C118" s="228" t="s">
        <v>415</v>
      </c>
      <c r="D118" s="228" t="s">
        <v>367</v>
      </c>
      <c r="E118" s="228" t="s">
        <v>367</v>
      </c>
      <c r="F118" s="231">
        <v>6.4</v>
      </c>
      <c r="G118" s="230">
        <v>0.53500000000000003</v>
      </c>
      <c r="H118" s="230">
        <v>3.43</v>
      </c>
      <c r="I118" s="228"/>
    </row>
    <row r="119" spans="2:9">
      <c r="B119" s="228" t="s">
        <v>948</v>
      </c>
      <c r="C119" s="228" t="s">
        <v>416</v>
      </c>
      <c r="D119" s="228" t="s">
        <v>367</v>
      </c>
      <c r="E119" s="228" t="s">
        <v>367</v>
      </c>
      <c r="F119" s="231">
        <v>6.4</v>
      </c>
      <c r="G119" s="230">
        <v>0.53400000000000003</v>
      </c>
      <c r="H119" s="230">
        <v>3.42</v>
      </c>
      <c r="I119" s="228"/>
    </row>
    <row r="120" spans="2:9">
      <c r="B120" s="228" t="s">
        <v>948</v>
      </c>
      <c r="C120" s="228" t="s">
        <v>417</v>
      </c>
      <c r="D120" s="228" t="s">
        <v>367</v>
      </c>
      <c r="E120" s="228" t="s">
        <v>367</v>
      </c>
      <c r="F120" s="231">
        <v>6.4</v>
      </c>
      <c r="G120" s="230">
        <v>0.66200000000000003</v>
      </c>
      <c r="H120" s="230">
        <v>4.24</v>
      </c>
      <c r="I120" s="228"/>
    </row>
    <row r="121" spans="2:9">
      <c r="B121" s="228" t="s">
        <v>948</v>
      </c>
      <c r="C121" s="228" t="s">
        <v>418</v>
      </c>
      <c r="D121" s="228" t="s">
        <v>367</v>
      </c>
      <c r="E121" s="228" t="s">
        <v>367</v>
      </c>
      <c r="F121" s="231">
        <v>6.4</v>
      </c>
      <c r="G121" s="230">
        <v>0.57799999999999996</v>
      </c>
      <c r="H121" s="230">
        <v>3.7</v>
      </c>
      <c r="I121" s="228"/>
    </row>
    <row r="122" spans="2:9">
      <c r="B122" s="228" t="s">
        <v>948</v>
      </c>
      <c r="C122" s="228" t="s">
        <v>419</v>
      </c>
      <c r="D122" s="228" t="s">
        <v>367</v>
      </c>
      <c r="E122" s="228" t="s">
        <v>367</v>
      </c>
      <c r="F122" s="231">
        <v>6.4</v>
      </c>
      <c r="G122" s="230">
        <v>1.2729999999999999</v>
      </c>
      <c r="H122" s="230">
        <v>8.15</v>
      </c>
      <c r="I122" s="228"/>
    </row>
    <row r="123" spans="2:9">
      <c r="B123" s="228" t="s">
        <v>948</v>
      </c>
      <c r="C123" s="228" t="s">
        <v>420</v>
      </c>
      <c r="D123" s="228" t="s">
        <v>367</v>
      </c>
      <c r="E123" s="228" t="s">
        <v>367</v>
      </c>
      <c r="F123" s="231">
        <v>6.4</v>
      </c>
      <c r="G123" s="230">
        <v>1.234</v>
      </c>
      <c r="H123" s="230">
        <v>7.9</v>
      </c>
      <c r="I123" s="228"/>
    </row>
    <row r="124" spans="2:9">
      <c r="B124" s="228" t="s">
        <v>948</v>
      </c>
      <c r="C124" s="228" t="s">
        <v>421</v>
      </c>
      <c r="D124" s="228" t="s">
        <v>367</v>
      </c>
      <c r="E124" s="228" t="s">
        <v>367</v>
      </c>
      <c r="F124" s="231">
        <v>6.4</v>
      </c>
      <c r="G124" s="230">
        <v>1.395</v>
      </c>
      <c r="H124" s="230">
        <v>8.93</v>
      </c>
      <c r="I124" s="228"/>
    </row>
    <row r="125" spans="2:9">
      <c r="B125" s="228" t="s">
        <v>948</v>
      </c>
      <c r="C125" s="228" t="s">
        <v>422</v>
      </c>
      <c r="D125" s="228" t="s">
        <v>367</v>
      </c>
      <c r="E125" s="228" t="s">
        <v>367</v>
      </c>
      <c r="F125" s="231">
        <v>6.4</v>
      </c>
      <c r="G125" s="230">
        <v>1.0780000000000001</v>
      </c>
      <c r="H125" s="230">
        <v>6.9</v>
      </c>
      <c r="I125" s="228"/>
    </row>
    <row r="126" spans="2:9">
      <c r="B126" s="228" t="s">
        <v>948</v>
      </c>
      <c r="C126" s="228" t="s">
        <v>423</v>
      </c>
      <c r="D126" s="228" t="s">
        <v>367</v>
      </c>
      <c r="E126" s="228" t="s">
        <v>367</v>
      </c>
      <c r="F126" s="231">
        <v>6.4</v>
      </c>
      <c r="G126" s="230">
        <v>1.0429999999999999</v>
      </c>
      <c r="H126" s="230">
        <v>6.68</v>
      </c>
      <c r="I126" s="228"/>
    </row>
    <row r="127" spans="2:9">
      <c r="B127" s="228" t="s">
        <v>948</v>
      </c>
      <c r="C127" s="228" t="s">
        <v>424</v>
      </c>
      <c r="D127" s="228" t="s">
        <v>367</v>
      </c>
      <c r="E127" s="228" t="s">
        <v>367</v>
      </c>
      <c r="F127" s="231">
        <v>6.4</v>
      </c>
      <c r="G127" s="230">
        <v>1.335</v>
      </c>
      <c r="H127" s="230">
        <v>8.5500000000000007</v>
      </c>
      <c r="I127" s="228"/>
    </row>
    <row r="128" spans="2:9">
      <c r="B128" s="228" t="s">
        <v>948</v>
      </c>
      <c r="C128" s="228" t="s">
        <v>425</v>
      </c>
      <c r="D128" s="228" t="s">
        <v>367</v>
      </c>
      <c r="E128" s="228" t="s">
        <v>367</v>
      </c>
      <c r="F128" s="231">
        <v>6.4</v>
      </c>
      <c r="G128" s="230">
        <v>0.25</v>
      </c>
      <c r="H128" s="230">
        <v>1.64</v>
      </c>
      <c r="I128" s="228"/>
    </row>
    <row r="129" spans="2:9">
      <c r="B129" s="228" t="s">
        <v>948</v>
      </c>
      <c r="C129" s="232"/>
      <c r="D129" s="232"/>
      <c r="E129" s="232"/>
      <c r="F129" s="232"/>
      <c r="G129" s="232"/>
      <c r="H129" s="232"/>
      <c r="I129" s="233"/>
    </row>
    <row r="130" spans="2:9">
      <c r="B130" s="172" t="s">
        <v>949</v>
      </c>
    </row>
    <row r="131" spans="2:9">
      <c r="B131" s="228" t="s">
        <v>883</v>
      </c>
      <c r="C131" s="228" t="s">
        <v>950</v>
      </c>
      <c r="D131" s="228" t="s">
        <v>367</v>
      </c>
      <c r="E131" s="228" t="s">
        <v>951</v>
      </c>
      <c r="F131" s="229">
        <v>6.4</v>
      </c>
      <c r="G131" s="230">
        <v>0.34399999999999997</v>
      </c>
      <c r="H131" s="230">
        <v>2.202</v>
      </c>
      <c r="I131" s="228"/>
    </row>
    <row r="132" spans="2:9">
      <c r="B132" s="228" t="s">
        <v>883</v>
      </c>
      <c r="C132" s="228" t="s">
        <v>282</v>
      </c>
      <c r="D132" s="228" t="s">
        <v>367</v>
      </c>
      <c r="E132" s="228" t="s">
        <v>952</v>
      </c>
      <c r="F132" s="229">
        <v>6.4</v>
      </c>
      <c r="G132" s="230">
        <v>0.48799999999999999</v>
      </c>
      <c r="H132" s="230">
        <v>3.1230000000000002</v>
      </c>
      <c r="I132" s="228"/>
    </row>
    <row r="133" spans="2:9">
      <c r="B133" s="228" t="s">
        <v>883</v>
      </c>
      <c r="C133" s="228" t="s">
        <v>254</v>
      </c>
      <c r="D133" s="228" t="s">
        <v>367</v>
      </c>
      <c r="E133" s="228" t="s">
        <v>953</v>
      </c>
      <c r="F133" s="229">
        <v>6.4</v>
      </c>
      <c r="G133" s="230">
        <v>1.1919999999999999</v>
      </c>
      <c r="H133" s="230">
        <v>7.6289999999999996</v>
      </c>
      <c r="I133" s="228"/>
    </row>
    <row r="134" spans="2:9">
      <c r="B134" s="228" t="s">
        <v>883</v>
      </c>
      <c r="C134" s="228" t="s">
        <v>252</v>
      </c>
      <c r="D134" s="228" t="s">
        <v>367</v>
      </c>
      <c r="E134" s="228" t="s">
        <v>954</v>
      </c>
      <c r="F134" s="229">
        <v>6.4</v>
      </c>
      <c r="G134" s="230">
        <v>1.151</v>
      </c>
      <c r="H134" s="230">
        <v>7.3659999999999997</v>
      </c>
      <c r="I134" s="228"/>
    </row>
    <row r="135" spans="2:9">
      <c r="B135" s="165" t="s">
        <v>2904</v>
      </c>
    </row>
    <row r="136" spans="2:9">
      <c r="B136" t="s">
        <v>436</v>
      </c>
      <c r="C136" t="s">
        <v>372</v>
      </c>
      <c r="E136" t="s">
        <v>373</v>
      </c>
      <c r="F136">
        <v>6</v>
      </c>
      <c r="G136">
        <v>6.7000000000000004E-2</v>
      </c>
      <c r="H136">
        <v>0.40100000000000002</v>
      </c>
    </row>
    <row r="138" spans="2:9">
      <c r="B138" s="272" t="s">
        <v>955</v>
      </c>
    </row>
    <row r="139" spans="2:9">
      <c r="B139" s="262" t="s">
        <v>956</v>
      </c>
    </row>
    <row r="140" spans="2:9">
      <c r="B140" t="s">
        <v>74</v>
      </c>
      <c r="C140" t="s">
        <v>106</v>
      </c>
      <c r="E140" t="s">
        <v>107</v>
      </c>
      <c r="F140">
        <v>6.4</v>
      </c>
      <c r="G140">
        <v>0.97699999999999998</v>
      </c>
      <c r="H140">
        <v>6.25</v>
      </c>
      <c r="I140" t="s">
        <v>957</v>
      </c>
    </row>
    <row r="141" spans="2:9">
      <c r="B141" t="s">
        <v>74</v>
      </c>
      <c r="C141" t="s">
        <v>109</v>
      </c>
      <c r="E141" t="s">
        <v>110</v>
      </c>
      <c r="F141">
        <v>6.4</v>
      </c>
      <c r="G141">
        <v>1.046</v>
      </c>
      <c r="H141">
        <v>6.694</v>
      </c>
      <c r="I141" t="s">
        <v>958</v>
      </c>
    </row>
    <row r="142" spans="2:9">
      <c r="B142" t="s">
        <v>74</v>
      </c>
      <c r="C142" t="s">
        <v>111</v>
      </c>
      <c r="E142" t="s">
        <v>112</v>
      </c>
      <c r="F142">
        <v>6.4</v>
      </c>
      <c r="G142">
        <v>0.755</v>
      </c>
      <c r="H142">
        <v>4.8330000000000002</v>
      </c>
      <c r="I142" t="s">
        <v>959</v>
      </c>
    </row>
    <row r="143" spans="2:9">
      <c r="B143" t="s">
        <v>74</v>
      </c>
      <c r="C143" t="s">
        <v>113</v>
      </c>
      <c r="E143" t="s">
        <v>114</v>
      </c>
      <c r="F143">
        <v>6.4</v>
      </c>
      <c r="G143">
        <v>0.755</v>
      </c>
      <c r="H143">
        <v>4.8330000000000002</v>
      </c>
      <c r="I143" t="s">
        <v>959</v>
      </c>
    </row>
    <row r="144" spans="2:9">
      <c r="B144" t="s">
        <v>74</v>
      </c>
      <c r="C144" t="s">
        <v>115</v>
      </c>
      <c r="E144" t="s">
        <v>116</v>
      </c>
      <c r="F144">
        <v>6.4</v>
      </c>
      <c r="G144">
        <v>0.57299999999999995</v>
      </c>
      <c r="H144">
        <v>3.6669999999999998</v>
      </c>
      <c r="I144" t="s">
        <v>960</v>
      </c>
    </row>
    <row r="145" spans="2:9">
      <c r="B145" t="s">
        <v>74</v>
      </c>
      <c r="C145" t="s">
        <v>117</v>
      </c>
      <c r="E145" t="s">
        <v>118</v>
      </c>
      <c r="F145">
        <v>6.4</v>
      </c>
      <c r="G145">
        <v>0.97699999999999998</v>
      </c>
      <c r="H145">
        <v>6.25</v>
      </c>
      <c r="I145" t="s">
        <v>957</v>
      </c>
    </row>
    <row r="146" spans="2:9">
      <c r="B146" t="s">
        <v>74</v>
      </c>
      <c r="C146" t="s">
        <v>119</v>
      </c>
      <c r="E146" t="s">
        <v>120</v>
      </c>
      <c r="F146">
        <v>6.4</v>
      </c>
      <c r="G146">
        <v>0.59899999999999998</v>
      </c>
      <c r="H146">
        <v>3.8330000000000002</v>
      </c>
      <c r="I146" t="s">
        <v>961</v>
      </c>
    </row>
    <row r="147" spans="2:9">
      <c r="B147" t="s">
        <v>74</v>
      </c>
      <c r="C147" t="s">
        <v>121</v>
      </c>
      <c r="E147" t="s">
        <v>122</v>
      </c>
      <c r="F147">
        <v>6.4</v>
      </c>
      <c r="G147">
        <v>1.0720000000000001</v>
      </c>
      <c r="H147">
        <v>6.8609999999999998</v>
      </c>
      <c r="I147" t="s">
        <v>962</v>
      </c>
    </row>
    <row r="148" spans="2:9">
      <c r="B148" t="s">
        <v>74</v>
      </c>
      <c r="C148" t="s">
        <v>123</v>
      </c>
      <c r="E148" t="s">
        <v>124</v>
      </c>
      <c r="F148">
        <v>6.4</v>
      </c>
      <c r="G148">
        <v>0.152</v>
      </c>
      <c r="H148">
        <v>0.97199999999999998</v>
      </c>
      <c r="I148" t="s">
        <v>963</v>
      </c>
    </row>
    <row r="149" spans="2:9">
      <c r="B149" s="262" t="s">
        <v>74</v>
      </c>
      <c r="C149" t="s">
        <v>125</v>
      </c>
      <c r="E149" t="s">
        <v>126</v>
      </c>
      <c r="F149">
        <v>6.4</v>
      </c>
      <c r="G149">
        <v>0.312</v>
      </c>
      <c r="H149">
        <v>2</v>
      </c>
      <c r="I149" t="s">
        <v>964</v>
      </c>
    </row>
    <row r="150" spans="2:9">
      <c r="B150" t="s">
        <v>74</v>
      </c>
      <c r="C150" t="s">
        <v>127</v>
      </c>
      <c r="E150" t="s">
        <v>128</v>
      </c>
      <c r="F150">
        <v>6.4</v>
      </c>
      <c r="G150">
        <v>1.7969999999999999</v>
      </c>
      <c r="H150">
        <v>11.5</v>
      </c>
      <c r="I150" t="s">
        <v>965</v>
      </c>
    </row>
    <row r="151" spans="2:9">
      <c r="B151" t="s">
        <v>74</v>
      </c>
      <c r="C151" t="s">
        <v>129</v>
      </c>
      <c r="E151" t="s">
        <v>130</v>
      </c>
      <c r="F151">
        <v>6.4</v>
      </c>
      <c r="G151">
        <v>0.26900000000000002</v>
      </c>
      <c r="H151">
        <v>1.722</v>
      </c>
      <c r="I151" t="s">
        <v>966</v>
      </c>
    </row>
    <row r="152" spans="2:9">
      <c r="B152" t="s">
        <v>74</v>
      </c>
      <c r="C152" t="s">
        <v>131</v>
      </c>
      <c r="E152" t="s">
        <v>132</v>
      </c>
      <c r="F152">
        <v>6.4</v>
      </c>
      <c r="G152">
        <v>0.20799999999999999</v>
      </c>
      <c r="H152">
        <v>1.333</v>
      </c>
      <c r="I152" t="s">
        <v>967</v>
      </c>
    </row>
    <row r="153" spans="2:9">
      <c r="B153" t="s">
        <v>74</v>
      </c>
      <c r="C153" t="s">
        <v>133</v>
      </c>
      <c r="E153" t="s">
        <v>134</v>
      </c>
      <c r="F153">
        <v>6.4</v>
      </c>
      <c r="G153">
        <v>0.71599999999999997</v>
      </c>
      <c r="H153">
        <v>4.5830000000000002</v>
      </c>
      <c r="I153" t="s">
        <v>968</v>
      </c>
    </row>
    <row r="154" spans="2:9">
      <c r="B154" t="s">
        <v>74</v>
      </c>
      <c r="C154" t="s">
        <v>135</v>
      </c>
      <c r="E154" t="s">
        <v>136</v>
      </c>
      <c r="F154">
        <v>6.4</v>
      </c>
      <c r="G154">
        <v>0.126</v>
      </c>
      <c r="H154">
        <v>0.80600000000000005</v>
      </c>
      <c r="I154" t="s">
        <v>969</v>
      </c>
    </row>
    <row r="155" spans="2:9">
      <c r="B155" t="s">
        <v>74</v>
      </c>
      <c r="C155" t="s">
        <v>137</v>
      </c>
      <c r="E155" t="s">
        <v>138</v>
      </c>
      <c r="F155">
        <v>6.4</v>
      </c>
      <c r="G155">
        <v>0.76800000000000002</v>
      </c>
      <c r="H155">
        <v>4.9169999999999998</v>
      </c>
      <c r="I155" t="s">
        <v>970</v>
      </c>
    </row>
    <row r="156" spans="2:9">
      <c r="B156" t="s">
        <v>74</v>
      </c>
      <c r="C156" t="s">
        <v>139</v>
      </c>
      <c r="E156" t="s">
        <v>140</v>
      </c>
      <c r="F156">
        <v>6.4</v>
      </c>
      <c r="G156">
        <v>1.345</v>
      </c>
      <c r="H156">
        <v>8.6110000000000007</v>
      </c>
      <c r="I156" t="s">
        <v>971</v>
      </c>
    </row>
    <row r="157" spans="2:9">
      <c r="B157" t="s">
        <v>74</v>
      </c>
      <c r="C157" t="s">
        <v>141</v>
      </c>
      <c r="E157" t="s">
        <v>142</v>
      </c>
      <c r="F157">
        <v>6.4</v>
      </c>
      <c r="G157">
        <v>0.92</v>
      </c>
      <c r="H157">
        <v>5.8890000000000002</v>
      </c>
      <c r="I157" t="s">
        <v>972</v>
      </c>
    </row>
    <row r="158" spans="2:9">
      <c r="B158" t="s">
        <v>74</v>
      </c>
      <c r="C158" t="s">
        <v>143</v>
      </c>
      <c r="E158" t="s">
        <v>144</v>
      </c>
      <c r="F158">
        <v>6.4</v>
      </c>
      <c r="G158">
        <v>1.0720000000000001</v>
      </c>
      <c r="H158">
        <v>6.8609999999999998</v>
      </c>
      <c r="I158" t="s">
        <v>962</v>
      </c>
    </row>
    <row r="159" spans="2:9">
      <c r="B159" t="s">
        <v>74</v>
      </c>
      <c r="C159" t="s">
        <v>145</v>
      </c>
      <c r="E159" t="s">
        <v>146</v>
      </c>
      <c r="F159">
        <v>6.4</v>
      </c>
      <c r="G159">
        <v>0.89400000000000002</v>
      </c>
      <c r="H159">
        <v>5.7220000000000004</v>
      </c>
      <c r="I159" t="s">
        <v>973</v>
      </c>
    </row>
    <row r="160" spans="2:9">
      <c r="B160" t="s">
        <v>74</v>
      </c>
      <c r="C160" t="s">
        <v>147</v>
      </c>
      <c r="E160" t="s">
        <v>148</v>
      </c>
      <c r="F160">
        <v>6.4</v>
      </c>
      <c r="G160">
        <v>0.26500000000000001</v>
      </c>
      <c r="H160">
        <v>1.694</v>
      </c>
      <c r="I160" t="s">
        <v>974</v>
      </c>
    </row>
    <row r="161" spans="2:9">
      <c r="B161" t="s">
        <v>74</v>
      </c>
      <c r="C161" t="s">
        <v>149</v>
      </c>
      <c r="E161" t="s">
        <v>150</v>
      </c>
      <c r="F161">
        <v>6.4</v>
      </c>
      <c r="G161">
        <v>1.827</v>
      </c>
      <c r="H161">
        <v>11.694000000000001</v>
      </c>
      <c r="I161" t="s">
        <v>975</v>
      </c>
    </row>
    <row r="162" spans="2:9">
      <c r="B162" t="s">
        <v>74</v>
      </c>
      <c r="C162" t="s">
        <v>151</v>
      </c>
      <c r="E162" t="s">
        <v>152</v>
      </c>
      <c r="F162">
        <v>6.4</v>
      </c>
      <c r="G162">
        <v>0.27800000000000002</v>
      </c>
      <c r="H162">
        <v>1.778</v>
      </c>
      <c r="I162" t="s">
        <v>976</v>
      </c>
    </row>
    <row r="163" spans="2:9">
      <c r="B163" t="s">
        <v>74</v>
      </c>
      <c r="C163" t="s">
        <v>153</v>
      </c>
      <c r="E163" t="s">
        <v>154</v>
      </c>
      <c r="F163">
        <v>6.4</v>
      </c>
      <c r="G163">
        <v>1.2629999999999999</v>
      </c>
      <c r="H163">
        <v>8.0830000000000002</v>
      </c>
      <c r="I163" t="s">
        <v>977</v>
      </c>
    </row>
    <row r="164" spans="2:9">
      <c r="B164" t="s">
        <v>74</v>
      </c>
      <c r="C164" t="s">
        <v>155</v>
      </c>
      <c r="E164" t="s">
        <v>156</v>
      </c>
      <c r="F164">
        <v>6.4</v>
      </c>
      <c r="G164">
        <v>0.495</v>
      </c>
      <c r="H164">
        <v>3.1669999999999998</v>
      </c>
      <c r="I164" t="s">
        <v>978</v>
      </c>
    </row>
    <row r="165" spans="2:9">
      <c r="B165" t="s">
        <v>74</v>
      </c>
      <c r="C165" t="s">
        <v>157</v>
      </c>
      <c r="E165" t="s">
        <v>158</v>
      </c>
      <c r="F165">
        <v>6.4</v>
      </c>
      <c r="G165">
        <v>0.86799999999999999</v>
      </c>
      <c r="H165">
        <v>5.556</v>
      </c>
      <c r="I165" t="s">
        <v>979</v>
      </c>
    </row>
    <row r="166" spans="2:9">
      <c r="B166" t="s">
        <v>74</v>
      </c>
      <c r="C166" t="s">
        <v>159</v>
      </c>
      <c r="E166" t="s">
        <v>160</v>
      </c>
      <c r="F166">
        <v>6.4</v>
      </c>
      <c r="G166">
        <v>0.24299999999999999</v>
      </c>
      <c r="H166">
        <v>1.556</v>
      </c>
      <c r="I166" t="s">
        <v>980</v>
      </c>
    </row>
    <row r="167" spans="2:9">
      <c r="B167" t="s">
        <v>74</v>
      </c>
      <c r="C167" t="s">
        <v>161</v>
      </c>
      <c r="E167" t="s">
        <v>162</v>
      </c>
      <c r="F167">
        <v>6.4</v>
      </c>
      <c r="G167">
        <v>1.05</v>
      </c>
      <c r="H167">
        <v>6.7220000000000004</v>
      </c>
      <c r="I167" t="s">
        <v>981</v>
      </c>
    </row>
    <row r="168" spans="2:9">
      <c r="B168" t="s">
        <v>74</v>
      </c>
      <c r="C168" t="s">
        <v>163</v>
      </c>
      <c r="E168" t="s">
        <v>164</v>
      </c>
      <c r="F168">
        <v>6.4</v>
      </c>
      <c r="G168">
        <v>0.23</v>
      </c>
      <c r="H168">
        <v>1.472</v>
      </c>
      <c r="I168" t="s">
        <v>982</v>
      </c>
    </row>
    <row r="169" spans="2:9">
      <c r="B169" t="s">
        <v>74</v>
      </c>
      <c r="C169" t="s">
        <v>165</v>
      </c>
      <c r="E169" t="s">
        <v>166</v>
      </c>
      <c r="F169">
        <v>6.4</v>
      </c>
      <c r="G169">
        <v>0.23400000000000001</v>
      </c>
      <c r="H169">
        <v>1.5</v>
      </c>
      <c r="I169" t="s">
        <v>983</v>
      </c>
    </row>
    <row r="170" spans="2:9">
      <c r="B170" t="s">
        <v>74</v>
      </c>
      <c r="C170" t="s">
        <v>167</v>
      </c>
      <c r="E170" t="s">
        <v>168</v>
      </c>
      <c r="F170">
        <v>6.4</v>
      </c>
      <c r="G170">
        <v>0.26500000000000001</v>
      </c>
      <c r="H170">
        <v>1.694</v>
      </c>
      <c r="I170" t="s">
        <v>974</v>
      </c>
    </row>
    <row r="171" spans="2:9">
      <c r="B171" t="s">
        <v>74</v>
      </c>
      <c r="C171" t="s">
        <v>169</v>
      </c>
      <c r="E171" t="s">
        <v>170</v>
      </c>
      <c r="F171">
        <v>6.4</v>
      </c>
      <c r="G171">
        <v>0.78600000000000003</v>
      </c>
      <c r="H171">
        <v>5.0279999999999996</v>
      </c>
      <c r="I171" t="s">
        <v>984</v>
      </c>
    </row>
    <row r="172" spans="2:9">
      <c r="B172" t="s">
        <v>74</v>
      </c>
      <c r="C172" t="s">
        <v>171</v>
      </c>
      <c r="E172" t="s">
        <v>172</v>
      </c>
      <c r="F172">
        <v>6.4</v>
      </c>
      <c r="G172">
        <v>0.54300000000000004</v>
      </c>
      <c r="H172">
        <v>3.472</v>
      </c>
      <c r="I172" t="s">
        <v>985</v>
      </c>
    </row>
    <row r="173" spans="2:9">
      <c r="B173" s="262" t="s">
        <v>986</v>
      </c>
    </row>
    <row r="174" spans="2:9">
      <c r="B174" s="262" t="s">
        <v>883</v>
      </c>
      <c r="C174" t="s">
        <v>173</v>
      </c>
      <c r="E174" t="s">
        <v>174</v>
      </c>
      <c r="F174">
        <v>6.4</v>
      </c>
      <c r="G174">
        <v>1.8320000000000001</v>
      </c>
      <c r="H174">
        <v>11.722</v>
      </c>
      <c r="I174" t="s">
        <v>987</v>
      </c>
    </row>
    <row r="175" spans="2:9">
      <c r="B175" t="s">
        <v>883</v>
      </c>
      <c r="C175" t="s">
        <v>176</v>
      </c>
      <c r="E175" t="s">
        <v>177</v>
      </c>
      <c r="F175">
        <v>6.4</v>
      </c>
      <c r="G175">
        <v>2.1920000000000002</v>
      </c>
      <c r="H175">
        <v>14.028</v>
      </c>
      <c r="I175" t="s">
        <v>988</v>
      </c>
    </row>
    <row r="176" spans="2:9">
      <c r="B176" t="s">
        <v>883</v>
      </c>
      <c r="C176" t="s">
        <v>178</v>
      </c>
      <c r="E176" t="s">
        <v>179</v>
      </c>
      <c r="F176">
        <v>6.4</v>
      </c>
      <c r="G176">
        <v>1.2330000000000001</v>
      </c>
      <c r="H176">
        <v>7.8890000000000002</v>
      </c>
      <c r="I176" t="s">
        <v>989</v>
      </c>
    </row>
    <row r="177" spans="2:9">
      <c r="B177" t="s">
        <v>883</v>
      </c>
      <c r="C177" t="s">
        <v>180</v>
      </c>
      <c r="E177" t="s">
        <v>181</v>
      </c>
      <c r="F177">
        <v>6.4</v>
      </c>
      <c r="G177">
        <v>0.81599999999999995</v>
      </c>
      <c r="H177">
        <v>5.2220000000000004</v>
      </c>
      <c r="I177" t="s">
        <v>990</v>
      </c>
    </row>
    <row r="178" spans="2:9">
      <c r="B178" t="s">
        <v>883</v>
      </c>
      <c r="C178" t="s">
        <v>182</v>
      </c>
      <c r="E178" t="s">
        <v>183</v>
      </c>
      <c r="F178">
        <v>6.4</v>
      </c>
      <c r="G178">
        <v>0.98099999999999998</v>
      </c>
      <c r="H178">
        <v>6.2779999999999996</v>
      </c>
      <c r="I178" t="s">
        <v>991</v>
      </c>
    </row>
    <row r="179" spans="2:9">
      <c r="B179" t="s">
        <v>883</v>
      </c>
      <c r="C179" t="s">
        <v>184</v>
      </c>
      <c r="E179" t="s">
        <v>185</v>
      </c>
      <c r="F179">
        <v>6.4</v>
      </c>
      <c r="G179">
        <v>0.76400000000000001</v>
      </c>
      <c r="H179">
        <v>4.8890000000000002</v>
      </c>
      <c r="I179" t="s">
        <v>992</v>
      </c>
    </row>
    <row r="180" spans="2:9">
      <c r="B180" t="s">
        <v>883</v>
      </c>
      <c r="C180" t="s">
        <v>186</v>
      </c>
      <c r="E180" t="s">
        <v>187</v>
      </c>
      <c r="F180">
        <v>6.4</v>
      </c>
      <c r="G180">
        <v>0.89400000000000002</v>
      </c>
      <c r="H180">
        <v>5.7220000000000004</v>
      </c>
      <c r="I180" t="s">
        <v>973</v>
      </c>
    </row>
    <row r="181" spans="2:9">
      <c r="B181" t="s">
        <v>883</v>
      </c>
      <c r="C181" t="s">
        <v>188</v>
      </c>
      <c r="E181" t="s">
        <v>189</v>
      </c>
      <c r="F181">
        <v>6.4</v>
      </c>
      <c r="G181">
        <v>0.56399999999999995</v>
      </c>
      <c r="H181">
        <v>3.6110000000000002</v>
      </c>
      <c r="I181" t="s">
        <v>993</v>
      </c>
    </row>
    <row r="182" spans="2:9">
      <c r="B182" t="s">
        <v>883</v>
      </c>
      <c r="C182" t="s">
        <v>190</v>
      </c>
      <c r="E182" t="s">
        <v>191</v>
      </c>
      <c r="F182">
        <v>6.4</v>
      </c>
      <c r="G182">
        <v>0.23400000000000001</v>
      </c>
      <c r="H182">
        <v>1.5</v>
      </c>
      <c r="I182" t="s">
        <v>983</v>
      </c>
    </row>
    <row r="183" spans="2:9">
      <c r="B183" t="s">
        <v>883</v>
      </c>
      <c r="C183" t="s">
        <v>192</v>
      </c>
      <c r="E183" t="s">
        <v>193</v>
      </c>
      <c r="F183">
        <v>6.4</v>
      </c>
      <c r="G183">
        <v>0.26500000000000001</v>
      </c>
      <c r="H183">
        <v>1.694</v>
      </c>
      <c r="I183" t="s">
        <v>974</v>
      </c>
    </row>
    <row r="184" spans="2:9">
      <c r="B184" t="s">
        <v>883</v>
      </c>
      <c r="C184" t="s">
        <v>194</v>
      </c>
      <c r="E184" t="s">
        <v>195</v>
      </c>
      <c r="F184">
        <v>6.4</v>
      </c>
      <c r="G184">
        <v>0.95899999999999996</v>
      </c>
      <c r="H184">
        <v>6.1390000000000002</v>
      </c>
      <c r="I184" t="s">
        <v>994</v>
      </c>
    </row>
    <row r="185" spans="2:9">
      <c r="B185" t="s">
        <v>883</v>
      </c>
      <c r="C185" t="s">
        <v>196</v>
      </c>
      <c r="E185" t="s">
        <v>197</v>
      </c>
      <c r="F185">
        <v>6.4</v>
      </c>
      <c r="G185">
        <v>1.1890000000000001</v>
      </c>
      <c r="H185">
        <v>7.6109999999999998</v>
      </c>
      <c r="I185" t="s">
        <v>995</v>
      </c>
    </row>
    <row r="186" spans="2:9">
      <c r="B186" t="s">
        <v>883</v>
      </c>
      <c r="C186" t="s">
        <v>198</v>
      </c>
      <c r="E186" t="s">
        <v>199</v>
      </c>
      <c r="F186">
        <v>6.4</v>
      </c>
      <c r="G186">
        <v>0.93300000000000005</v>
      </c>
      <c r="H186">
        <v>5.9720000000000004</v>
      </c>
      <c r="I186" t="s">
        <v>996</v>
      </c>
    </row>
    <row r="187" spans="2:9">
      <c r="B187" t="s">
        <v>883</v>
      </c>
      <c r="C187" t="s">
        <v>200</v>
      </c>
      <c r="E187" t="s">
        <v>201</v>
      </c>
      <c r="F187">
        <v>6.4</v>
      </c>
      <c r="G187">
        <v>0.247</v>
      </c>
      <c r="H187">
        <v>1.583</v>
      </c>
      <c r="I187" t="s">
        <v>997</v>
      </c>
    </row>
    <row r="188" spans="2:9">
      <c r="B188" t="s">
        <v>883</v>
      </c>
      <c r="C188" t="s">
        <v>202</v>
      </c>
      <c r="E188" t="s">
        <v>203</v>
      </c>
      <c r="F188">
        <v>6.4</v>
      </c>
      <c r="G188">
        <v>0.42499999999999999</v>
      </c>
      <c r="H188">
        <v>2.722</v>
      </c>
      <c r="I188" t="s">
        <v>998</v>
      </c>
    </row>
    <row r="189" spans="2:9">
      <c r="B189" t="s">
        <v>883</v>
      </c>
      <c r="C189" t="s">
        <v>204</v>
      </c>
      <c r="E189" t="s">
        <v>205</v>
      </c>
      <c r="F189">
        <v>6.4</v>
      </c>
      <c r="G189">
        <v>0.34300000000000003</v>
      </c>
      <c r="H189">
        <v>2.194</v>
      </c>
      <c r="I189" t="s">
        <v>999</v>
      </c>
    </row>
    <row r="190" spans="2:9">
      <c r="B190" t="s">
        <v>883</v>
      </c>
      <c r="C190" t="s">
        <v>206</v>
      </c>
      <c r="E190" t="s">
        <v>207</v>
      </c>
      <c r="F190">
        <v>6.4</v>
      </c>
      <c r="G190">
        <v>0.39500000000000002</v>
      </c>
      <c r="H190">
        <v>2.528</v>
      </c>
      <c r="I190" t="s">
        <v>1000</v>
      </c>
    </row>
    <row r="191" spans="2:9">
      <c r="B191" t="s">
        <v>883</v>
      </c>
      <c r="C191" t="s">
        <v>208</v>
      </c>
      <c r="E191" t="s">
        <v>209</v>
      </c>
      <c r="F191">
        <v>6.4</v>
      </c>
      <c r="G191">
        <v>0.54300000000000004</v>
      </c>
      <c r="H191">
        <v>3.472</v>
      </c>
      <c r="I191" t="s">
        <v>985</v>
      </c>
    </row>
    <row r="192" spans="2:9">
      <c r="B192" t="s">
        <v>883</v>
      </c>
      <c r="C192" t="s">
        <v>210</v>
      </c>
      <c r="E192" t="s">
        <v>211</v>
      </c>
      <c r="F192">
        <v>6.4</v>
      </c>
      <c r="G192">
        <v>0.65100000000000002</v>
      </c>
      <c r="H192">
        <v>4.1669999999999998</v>
      </c>
      <c r="I192" t="s">
        <v>1001</v>
      </c>
    </row>
    <row r="193" spans="2:9">
      <c r="B193" t="s">
        <v>883</v>
      </c>
      <c r="C193" t="s">
        <v>212</v>
      </c>
      <c r="E193" t="s">
        <v>213</v>
      </c>
      <c r="F193">
        <v>6.4</v>
      </c>
      <c r="G193">
        <v>0.66</v>
      </c>
      <c r="H193">
        <v>4.2220000000000004</v>
      </c>
      <c r="I193" t="s">
        <v>1002</v>
      </c>
    </row>
    <row r="194" spans="2:9">
      <c r="B194" t="s">
        <v>883</v>
      </c>
      <c r="C194" t="s">
        <v>214</v>
      </c>
      <c r="E194" t="s">
        <v>215</v>
      </c>
      <c r="F194">
        <v>6.4</v>
      </c>
      <c r="G194">
        <v>0.34300000000000003</v>
      </c>
      <c r="H194">
        <v>2.194</v>
      </c>
      <c r="I194" t="s">
        <v>999</v>
      </c>
    </row>
    <row r="195" spans="2:9">
      <c r="B195" t="s">
        <v>883</v>
      </c>
      <c r="C195" t="s">
        <v>216</v>
      </c>
      <c r="E195" t="s">
        <v>217</v>
      </c>
      <c r="F195">
        <v>6.4</v>
      </c>
      <c r="G195">
        <v>0.65100000000000002</v>
      </c>
      <c r="H195">
        <v>4.1669999999999998</v>
      </c>
      <c r="I195" t="s">
        <v>1001</v>
      </c>
    </row>
    <row r="196" spans="2:9">
      <c r="B196" t="s">
        <v>883</v>
      </c>
      <c r="C196" t="s">
        <v>218</v>
      </c>
      <c r="E196" t="s">
        <v>219</v>
      </c>
      <c r="F196">
        <v>6.4</v>
      </c>
      <c r="G196">
        <v>1.7010000000000001</v>
      </c>
      <c r="H196">
        <v>10.888999999999999</v>
      </c>
      <c r="I196" t="s">
        <v>1003</v>
      </c>
    </row>
    <row r="197" spans="2:9">
      <c r="B197" t="s">
        <v>883</v>
      </c>
      <c r="C197" t="s">
        <v>1004</v>
      </c>
      <c r="E197" t="s">
        <v>1005</v>
      </c>
      <c r="F197">
        <v>6.4</v>
      </c>
      <c r="G197">
        <v>0.76400000000000001</v>
      </c>
      <c r="H197">
        <v>4.8890000000000002</v>
      </c>
      <c r="I197" t="s">
        <v>992</v>
      </c>
    </row>
    <row r="198" spans="2:9">
      <c r="B198" t="s">
        <v>883</v>
      </c>
      <c r="C198" t="s">
        <v>220</v>
      </c>
      <c r="E198" t="s">
        <v>221</v>
      </c>
      <c r="F198">
        <v>6.4</v>
      </c>
      <c r="G198">
        <v>0.57699999999999996</v>
      </c>
      <c r="H198">
        <v>3.694</v>
      </c>
      <c r="I198" t="s">
        <v>1006</v>
      </c>
    </row>
    <row r="199" spans="2:9">
      <c r="B199" t="s">
        <v>883</v>
      </c>
      <c r="C199" t="s">
        <v>222</v>
      </c>
      <c r="E199" t="s">
        <v>223</v>
      </c>
      <c r="F199">
        <v>6.4</v>
      </c>
      <c r="G199">
        <v>0.67300000000000004</v>
      </c>
      <c r="H199">
        <v>4.306</v>
      </c>
      <c r="I199" t="s">
        <v>1007</v>
      </c>
    </row>
    <row r="200" spans="2:9">
      <c r="B200" t="s">
        <v>883</v>
      </c>
      <c r="C200" t="s">
        <v>224</v>
      </c>
      <c r="E200" t="s">
        <v>225</v>
      </c>
      <c r="F200">
        <v>6.4</v>
      </c>
      <c r="G200">
        <v>0.104</v>
      </c>
      <c r="H200">
        <v>0.66700000000000004</v>
      </c>
      <c r="I200" t="s">
        <v>1008</v>
      </c>
    </row>
    <row r="201" spans="2:9">
      <c r="B201" t="s">
        <v>883</v>
      </c>
      <c r="C201" t="s">
        <v>226</v>
      </c>
      <c r="E201" t="s">
        <v>227</v>
      </c>
      <c r="F201">
        <v>6.4</v>
      </c>
      <c r="G201">
        <v>0.104</v>
      </c>
      <c r="H201">
        <v>0.66700000000000004</v>
      </c>
      <c r="I201" t="s">
        <v>1008</v>
      </c>
    </row>
    <row r="202" spans="2:9">
      <c r="B202" t="s">
        <v>883</v>
      </c>
      <c r="C202" t="s">
        <v>228</v>
      </c>
      <c r="E202" t="s">
        <v>229</v>
      </c>
      <c r="F202">
        <v>6.4</v>
      </c>
      <c r="G202">
        <v>0.113</v>
      </c>
      <c r="H202">
        <v>0.72199999999999998</v>
      </c>
      <c r="I202" t="s">
        <v>1009</v>
      </c>
    </row>
    <row r="203" spans="2:9">
      <c r="B203" t="s">
        <v>883</v>
      </c>
      <c r="C203" t="s">
        <v>230</v>
      </c>
      <c r="E203" t="s">
        <v>231</v>
      </c>
      <c r="F203">
        <v>6.4</v>
      </c>
      <c r="G203">
        <v>0.13</v>
      </c>
      <c r="H203">
        <v>0.83299999999999996</v>
      </c>
      <c r="I203" t="s">
        <v>1010</v>
      </c>
    </row>
    <row r="204" spans="2:9">
      <c r="B204" t="s">
        <v>883</v>
      </c>
      <c r="C204" t="s">
        <v>232</v>
      </c>
      <c r="E204" t="s">
        <v>233</v>
      </c>
      <c r="F204">
        <v>6.4</v>
      </c>
      <c r="G204">
        <v>0.39500000000000002</v>
      </c>
      <c r="H204">
        <v>2.528</v>
      </c>
      <c r="I204" t="s">
        <v>1000</v>
      </c>
    </row>
    <row r="205" spans="2:9">
      <c r="B205" t="s">
        <v>883</v>
      </c>
      <c r="C205" t="s">
        <v>234</v>
      </c>
      <c r="E205" t="s">
        <v>235</v>
      </c>
      <c r="F205">
        <v>6.4</v>
      </c>
      <c r="G205">
        <v>0.161</v>
      </c>
      <c r="H205">
        <v>1.028</v>
      </c>
      <c r="I205" t="s">
        <v>1011</v>
      </c>
    </row>
    <row r="206" spans="2:9">
      <c r="B206" t="s">
        <v>883</v>
      </c>
      <c r="C206" t="s">
        <v>236</v>
      </c>
      <c r="E206" t="s">
        <v>235</v>
      </c>
      <c r="F206">
        <v>6.4</v>
      </c>
      <c r="G206">
        <v>0.13900000000000001</v>
      </c>
      <c r="H206">
        <v>0.88900000000000001</v>
      </c>
      <c r="I206" t="s">
        <v>1012</v>
      </c>
    </row>
    <row r="207" spans="2:9">
      <c r="B207" t="s">
        <v>883</v>
      </c>
      <c r="C207" t="s">
        <v>237</v>
      </c>
      <c r="E207" t="s">
        <v>235</v>
      </c>
      <c r="F207">
        <v>6.4</v>
      </c>
      <c r="G207">
        <v>0.13900000000000001</v>
      </c>
      <c r="H207">
        <v>0.88900000000000001</v>
      </c>
      <c r="I207" t="s">
        <v>1012</v>
      </c>
    </row>
    <row r="208" spans="2:9">
      <c r="B208" t="s">
        <v>883</v>
      </c>
      <c r="C208" t="s">
        <v>238</v>
      </c>
      <c r="E208" t="s">
        <v>239</v>
      </c>
      <c r="F208">
        <v>6.4</v>
      </c>
      <c r="G208">
        <v>0.46899999999999997</v>
      </c>
      <c r="H208">
        <v>3</v>
      </c>
      <c r="I208" t="s">
        <v>1013</v>
      </c>
    </row>
    <row r="209" spans="2:9">
      <c r="B209" t="s">
        <v>883</v>
      </c>
      <c r="C209" t="s">
        <v>240</v>
      </c>
      <c r="E209" t="s">
        <v>241</v>
      </c>
      <c r="F209">
        <v>6.4</v>
      </c>
      <c r="G209">
        <v>0.308</v>
      </c>
      <c r="H209">
        <v>1.972</v>
      </c>
      <c r="I209" t="s">
        <v>1014</v>
      </c>
    </row>
    <row r="210" spans="2:9">
      <c r="B210" t="s">
        <v>883</v>
      </c>
      <c r="C210" t="s">
        <v>242</v>
      </c>
      <c r="E210" t="s">
        <v>243</v>
      </c>
      <c r="F210">
        <v>6.4</v>
      </c>
      <c r="G210">
        <v>0.308</v>
      </c>
      <c r="H210">
        <v>1.972</v>
      </c>
      <c r="I210" t="s">
        <v>1014</v>
      </c>
    </row>
    <row r="211" spans="2:9">
      <c r="B211" t="s">
        <v>883</v>
      </c>
      <c r="C211" t="s">
        <v>1015</v>
      </c>
      <c r="E211" t="s">
        <v>245</v>
      </c>
      <c r="F211">
        <v>6.4</v>
      </c>
      <c r="G211">
        <v>0.93300000000000005</v>
      </c>
      <c r="H211">
        <v>5.9720000000000004</v>
      </c>
      <c r="I211" t="s">
        <v>996</v>
      </c>
    </row>
    <row r="212" spans="2:9">
      <c r="B212" t="s">
        <v>883</v>
      </c>
      <c r="C212" t="s">
        <v>246</v>
      </c>
      <c r="E212" t="s">
        <v>247</v>
      </c>
      <c r="F212">
        <v>6.4</v>
      </c>
      <c r="G212">
        <v>1.1679999999999999</v>
      </c>
      <c r="H212">
        <v>7.4720000000000004</v>
      </c>
      <c r="I212" t="s">
        <v>1016</v>
      </c>
    </row>
    <row r="213" spans="2:9">
      <c r="B213" t="s">
        <v>883</v>
      </c>
      <c r="C213" t="s">
        <v>248</v>
      </c>
      <c r="E213" t="s">
        <v>249</v>
      </c>
      <c r="F213">
        <v>6.4</v>
      </c>
      <c r="G213">
        <v>1.024</v>
      </c>
      <c r="H213">
        <v>6.556</v>
      </c>
      <c r="I213" t="s">
        <v>1017</v>
      </c>
    </row>
    <row r="214" spans="2:9">
      <c r="B214" t="s">
        <v>883</v>
      </c>
      <c r="C214" t="s">
        <v>250</v>
      </c>
      <c r="E214" t="s">
        <v>251</v>
      </c>
      <c r="F214">
        <v>6.4</v>
      </c>
      <c r="G214">
        <v>1.306</v>
      </c>
      <c r="H214">
        <v>8.3610000000000007</v>
      </c>
      <c r="I214" t="s">
        <v>1018</v>
      </c>
    </row>
    <row r="215" spans="2:9">
      <c r="B215" t="s">
        <v>883</v>
      </c>
      <c r="C215" t="s">
        <v>252</v>
      </c>
      <c r="E215" t="s">
        <v>253</v>
      </c>
      <c r="F215">
        <v>6.4</v>
      </c>
      <c r="G215">
        <v>1.1719999999999999</v>
      </c>
      <c r="H215">
        <v>7.5</v>
      </c>
      <c r="I215" t="s">
        <v>1019</v>
      </c>
    </row>
    <row r="216" spans="2:9">
      <c r="B216" t="s">
        <v>883</v>
      </c>
      <c r="C216" t="s">
        <v>254</v>
      </c>
      <c r="E216" t="s">
        <v>255</v>
      </c>
      <c r="F216">
        <v>6.4</v>
      </c>
      <c r="G216">
        <v>1.1719999999999999</v>
      </c>
      <c r="H216">
        <v>7.5</v>
      </c>
      <c r="I216" t="s">
        <v>1019</v>
      </c>
    </row>
    <row r="217" spans="2:9">
      <c r="B217" t="s">
        <v>883</v>
      </c>
      <c r="C217" t="s">
        <v>256</v>
      </c>
      <c r="E217" t="s">
        <v>257</v>
      </c>
      <c r="F217">
        <v>6.4</v>
      </c>
      <c r="G217">
        <v>0.63800000000000001</v>
      </c>
      <c r="H217">
        <v>4.0830000000000002</v>
      </c>
      <c r="I217" t="s">
        <v>1020</v>
      </c>
    </row>
    <row r="218" spans="2:9">
      <c r="B218" t="s">
        <v>883</v>
      </c>
      <c r="C218" t="s">
        <v>258</v>
      </c>
      <c r="E218" t="s">
        <v>259</v>
      </c>
      <c r="F218">
        <v>6.4</v>
      </c>
      <c r="G218">
        <v>0.89400000000000002</v>
      </c>
      <c r="H218">
        <v>5.7220000000000004</v>
      </c>
      <c r="I218" t="s">
        <v>973</v>
      </c>
    </row>
    <row r="219" spans="2:9">
      <c r="B219" t="s">
        <v>883</v>
      </c>
      <c r="C219" t="s">
        <v>260</v>
      </c>
      <c r="E219" t="s">
        <v>261</v>
      </c>
      <c r="F219">
        <v>6.4</v>
      </c>
      <c r="G219">
        <v>0.48199999999999998</v>
      </c>
      <c r="H219">
        <v>3.0830000000000002</v>
      </c>
      <c r="I219" t="s">
        <v>1021</v>
      </c>
    </row>
    <row r="220" spans="2:9">
      <c r="B220" t="s">
        <v>883</v>
      </c>
      <c r="C220" t="s">
        <v>262</v>
      </c>
      <c r="E220" t="s">
        <v>263</v>
      </c>
      <c r="F220">
        <v>6.4</v>
      </c>
      <c r="G220">
        <v>1.458</v>
      </c>
      <c r="H220">
        <v>9.3330000000000002</v>
      </c>
      <c r="I220" t="s">
        <v>1022</v>
      </c>
    </row>
    <row r="221" spans="2:9">
      <c r="B221" t="s">
        <v>883</v>
      </c>
      <c r="C221" t="s">
        <v>264</v>
      </c>
      <c r="E221" t="s">
        <v>265</v>
      </c>
      <c r="F221">
        <v>6.4</v>
      </c>
      <c r="G221">
        <v>1.5449999999999999</v>
      </c>
      <c r="H221">
        <v>9.8889999999999993</v>
      </c>
      <c r="I221" t="s">
        <v>1023</v>
      </c>
    </row>
    <row r="222" spans="2:9">
      <c r="B222" t="s">
        <v>883</v>
      </c>
      <c r="C222" t="s">
        <v>266</v>
      </c>
      <c r="E222" t="s">
        <v>267</v>
      </c>
      <c r="F222">
        <v>6.4</v>
      </c>
      <c r="G222">
        <v>1.5840000000000001</v>
      </c>
      <c r="H222">
        <v>10.138999999999999</v>
      </c>
      <c r="I222" t="s">
        <v>1024</v>
      </c>
    </row>
    <row r="223" spans="2:9">
      <c r="B223" t="s">
        <v>883</v>
      </c>
      <c r="C223" t="s">
        <v>268</v>
      </c>
      <c r="E223" t="s">
        <v>269</v>
      </c>
      <c r="F223">
        <v>6.4</v>
      </c>
      <c r="G223">
        <v>1.458</v>
      </c>
      <c r="H223">
        <v>9.3330000000000002</v>
      </c>
      <c r="I223" t="s">
        <v>1022</v>
      </c>
    </row>
    <row r="224" spans="2:9">
      <c r="B224" t="s">
        <v>883</v>
      </c>
      <c r="C224" t="s">
        <v>270</v>
      </c>
      <c r="E224" t="s">
        <v>271</v>
      </c>
      <c r="F224">
        <v>6.4</v>
      </c>
      <c r="G224">
        <v>1.1459999999999999</v>
      </c>
      <c r="H224">
        <v>7.3330000000000002</v>
      </c>
      <c r="I224" t="s">
        <v>1025</v>
      </c>
    </row>
    <row r="225" spans="2:9">
      <c r="B225" t="s">
        <v>883</v>
      </c>
      <c r="C225" t="s">
        <v>272</v>
      </c>
      <c r="E225" t="s">
        <v>273</v>
      </c>
      <c r="F225">
        <v>6.4</v>
      </c>
      <c r="G225">
        <v>0.66</v>
      </c>
      <c r="H225">
        <v>4.2220000000000004</v>
      </c>
      <c r="I225" t="s">
        <v>1002</v>
      </c>
    </row>
    <row r="226" spans="2:9">
      <c r="B226" t="s">
        <v>883</v>
      </c>
      <c r="C226" t="s">
        <v>274</v>
      </c>
      <c r="E226" t="s">
        <v>275</v>
      </c>
      <c r="F226">
        <v>6.4</v>
      </c>
      <c r="G226">
        <v>1.159</v>
      </c>
      <c r="H226">
        <v>7.4169999999999998</v>
      </c>
      <c r="I226" t="s">
        <v>1026</v>
      </c>
    </row>
    <row r="227" spans="2:9">
      <c r="B227" t="s">
        <v>883</v>
      </c>
      <c r="C227" t="s">
        <v>276</v>
      </c>
      <c r="E227" t="s">
        <v>277</v>
      </c>
      <c r="F227">
        <v>6.4</v>
      </c>
      <c r="G227">
        <v>0.69399999999999995</v>
      </c>
      <c r="H227">
        <v>4.444</v>
      </c>
      <c r="I227" t="s">
        <v>1027</v>
      </c>
    </row>
    <row r="228" spans="2:9">
      <c r="B228" t="s">
        <v>883</v>
      </c>
      <c r="C228" t="s">
        <v>278</v>
      </c>
      <c r="E228" t="s">
        <v>279</v>
      </c>
      <c r="F228">
        <v>6.4</v>
      </c>
      <c r="G228">
        <v>1.1890000000000001</v>
      </c>
      <c r="H228">
        <v>7.6109999999999998</v>
      </c>
      <c r="I228" t="s">
        <v>995</v>
      </c>
    </row>
    <row r="229" spans="2:9">
      <c r="B229" t="s">
        <v>883</v>
      </c>
      <c r="C229" t="s">
        <v>280</v>
      </c>
      <c r="E229" t="s">
        <v>281</v>
      </c>
      <c r="F229">
        <v>6.4</v>
      </c>
      <c r="G229">
        <v>0.60299999999999998</v>
      </c>
      <c r="H229">
        <v>3.8610000000000002</v>
      </c>
      <c r="I229" t="s">
        <v>1028</v>
      </c>
    </row>
    <row r="230" spans="2:9">
      <c r="B230" t="s">
        <v>883</v>
      </c>
      <c r="C230" t="s">
        <v>282</v>
      </c>
      <c r="E230" t="s">
        <v>156</v>
      </c>
      <c r="F230">
        <v>6.4</v>
      </c>
      <c r="G230">
        <v>0.47699999999999998</v>
      </c>
      <c r="H230">
        <v>3.056</v>
      </c>
      <c r="I230" t="s">
        <v>1029</v>
      </c>
    </row>
    <row r="231" spans="2:9">
      <c r="B231" t="s">
        <v>883</v>
      </c>
      <c r="C231" t="s">
        <v>283</v>
      </c>
      <c r="E231" t="s">
        <v>284</v>
      </c>
      <c r="F231">
        <v>6.4</v>
      </c>
      <c r="G231">
        <v>0.438</v>
      </c>
      <c r="H231">
        <v>2.806</v>
      </c>
      <c r="I231" t="s">
        <v>1030</v>
      </c>
    </row>
    <row r="232" spans="2:9">
      <c r="B232" t="s">
        <v>883</v>
      </c>
      <c r="C232" t="s">
        <v>285</v>
      </c>
      <c r="E232" t="s">
        <v>286</v>
      </c>
      <c r="F232">
        <v>6.4</v>
      </c>
      <c r="G232">
        <v>1.2889999999999999</v>
      </c>
      <c r="H232">
        <v>8.25</v>
      </c>
      <c r="I232" t="s">
        <v>1031</v>
      </c>
    </row>
    <row r="233" spans="2:9">
      <c r="B233" t="s">
        <v>883</v>
      </c>
      <c r="C233" t="s">
        <v>287</v>
      </c>
      <c r="E233" t="s">
        <v>288</v>
      </c>
      <c r="F233">
        <v>6.4</v>
      </c>
      <c r="G233">
        <v>0.86399999999999999</v>
      </c>
      <c r="H233">
        <v>5.5279999999999996</v>
      </c>
      <c r="I233" t="s">
        <v>1032</v>
      </c>
    </row>
    <row r="234" spans="2:9">
      <c r="B234" t="s">
        <v>883</v>
      </c>
      <c r="C234" t="s">
        <v>289</v>
      </c>
      <c r="E234" t="s">
        <v>290</v>
      </c>
      <c r="F234">
        <v>6.4</v>
      </c>
      <c r="G234">
        <v>0.2</v>
      </c>
      <c r="H234">
        <v>1.278</v>
      </c>
      <c r="I234" t="s">
        <v>1033</v>
      </c>
    </row>
    <row r="235" spans="2:9">
      <c r="B235" t="s">
        <v>883</v>
      </c>
      <c r="C235" t="s">
        <v>291</v>
      </c>
      <c r="E235" t="s">
        <v>292</v>
      </c>
      <c r="F235">
        <v>6.4</v>
      </c>
      <c r="G235">
        <v>0.22600000000000001</v>
      </c>
      <c r="H235">
        <v>1.444</v>
      </c>
      <c r="I235" t="s">
        <v>1034</v>
      </c>
    </row>
    <row r="236" spans="2:9">
      <c r="B236" t="s">
        <v>883</v>
      </c>
      <c r="C236" t="s">
        <v>293</v>
      </c>
      <c r="E236" t="s">
        <v>294</v>
      </c>
      <c r="F236">
        <v>6.4</v>
      </c>
      <c r="G236">
        <v>2.726</v>
      </c>
      <c r="H236">
        <v>17.443999999999999</v>
      </c>
      <c r="I236" t="s">
        <v>1035</v>
      </c>
    </row>
    <row r="237" spans="2:9">
      <c r="B237" t="s">
        <v>883</v>
      </c>
      <c r="C237" t="s">
        <v>295</v>
      </c>
      <c r="E237" t="s">
        <v>154</v>
      </c>
      <c r="F237">
        <v>6.4</v>
      </c>
      <c r="G237">
        <v>1.502</v>
      </c>
      <c r="H237">
        <v>9.6110000000000007</v>
      </c>
      <c r="I237" t="s">
        <v>1036</v>
      </c>
    </row>
    <row r="238" spans="2:9">
      <c r="B238" t="s">
        <v>883</v>
      </c>
      <c r="C238" t="s">
        <v>296</v>
      </c>
      <c r="E238" t="s">
        <v>158</v>
      </c>
      <c r="F238">
        <v>6.4</v>
      </c>
      <c r="G238">
        <v>0.92400000000000004</v>
      </c>
      <c r="H238">
        <v>5.9169999999999998</v>
      </c>
      <c r="I238" t="s">
        <v>1037</v>
      </c>
    </row>
    <row r="239" spans="2:9">
      <c r="B239" t="s">
        <v>883</v>
      </c>
      <c r="C239" t="s">
        <v>297</v>
      </c>
      <c r="E239" t="s">
        <v>298</v>
      </c>
      <c r="F239">
        <v>6.4</v>
      </c>
      <c r="G239">
        <v>1.45</v>
      </c>
      <c r="H239">
        <v>9.2780000000000005</v>
      </c>
      <c r="I239" t="s">
        <v>1038</v>
      </c>
    </row>
    <row r="240" spans="2:9">
      <c r="B240" t="s">
        <v>883</v>
      </c>
      <c r="C240" t="s">
        <v>299</v>
      </c>
      <c r="E240" t="s">
        <v>300</v>
      </c>
      <c r="F240">
        <v>6.4</v>
      </c>
      <c r="G240">
        <v>0.33900000000000002</v>
      </c>
      <c r="H240">
        <v>2.1669999999999998</v>
      </c>
      <c r="I240" t="s">
        <v>1039</v>
      </c>
    </row>
    <row r="241" spans="1:9">
      <c r="B241" t="s">
        <v>883</v>
      </c>
      <c r="C241" t="s">
        <v>301</v>
      </c>
      <c r="E241" t="s">
        <v>302</v>
      </c>
      <c r="F241">
        <v>6.4</v>
      </c>
      <c r="G241">
        <v>0.83799999999999997</v>
      </c>
      <c r="H241">
        <v>5.3609999999999998</v>
      </c>
      <c r="I241" t="s">
        <v>1040</v>
      </c>
    </row>
    <row r="242" spans="1:9">
      <c r="B242" t="s">
        <v>883</v>
      </c>
      <c r="C242" t="s">
        <v>303</v>
      </c>
      <c r="E242" t="s">
        <v>304</v>
      </c>
      <c r="F242">
        <v>6.4</v>
      </c>
      <c r="G242">
        <v>0.51200000000000001</v>
      </c>
      <c r="H242">
        <v>3.278</v>
      </c>
      <c r="I242" t="s">
        <v>1041</v>
      </c>
    </row>
    <row r="243" spans="1:9">
      <c r="B243" t="s">
        <v>883</v>
      </c>
      <c r="C243" t="s">
        <v>305</v>
      </c>
      <c r="E243" t="s">
        <v>306</v>
      </c>
      <c r="F243">
        <v>6.4</v>
      </c>
      <c r="G243">
        <v>0.438</v>
      </c>
      <c r="H243">
        <v>2.806</v>
      </c>
      <c r="I243" t="s">
        <v>1030</v>
      </c>
    </row>
    <row r="244" spans="1:9">
      <c r="B244" t="s">
        <v>883</v>
      </c>
      <c r="C244" t="s">
        <v>307</v>
      </c>
      <c r="E244" t="s">
        <v>308</v>
      </c>
      <c r="F244">
        <v>6.4</v>
      </c>
      <c r="G244">
        <v>0.96799999999999997</v>
      </c>
      <c r="H244">
        <v>6.194</v>
      </c>
      <c r="I244" t="s">
        <v>1042</v>
      </c>
    </row>
    <row r="245" spans="1:9">
      <c r="B245" t="s">
        <v>883</v>
      </c>
      <c r="C245" t="s">
        <v>309</v>
      </c>
      <c r="E245" t="s">
        <v>310</v>
      </c>
      <c r="F245">
        <v>6.4</v>
      </c>
      <c r="G245">
        <v>0.80700000000000005</v>
      </c>
      <c r="H245">
        <v>5.1669999999999998</v>
      </c>
      <c r="I245" t="s">
        <v>1043</v>
      </c>
    </row>
    <row r="246" spans="1:9">
      <c r="B246" t="s">
        <v>883</v>
      </c>
      <c r="C246" t="s">
        <v>311</v>
      </c>
      <c r="E246" t="s">
        <v>312</v>
      </c>
      <c r="F246">
        <v>6.4</v>
      </c>
      <c r="G246">
        <v>0.2</v>
      </c>
      <c r="H246">
        <v>1.278</v>
      </c>
      <c r="I246" t="s">
        <v>1033</v>
      </c>
    </row>
    <row r="247" spans="1:9">
      <c r="B247" t="s">
        <v>883</v>
      </c>
      <c r="C247" t="s">
        <v>313</v>
      </c>
      <c r="E247" t="s">
        <v>314</v>
      </c>
      <c r="F247">
        <v>6.4</v>
      </c>
      <c r="G247">
        <v>0.46899999999999997</v>
      </c>
      <c r="H247">
        <v>3</v>
      </c>
      <c r="I247" t="s">
        <v>1013</v>
      </c>
    </row>
    <row r="252" spans="1:9">
      <c r="A252" s="424" t="s">
        <v>2895</v>
      </c>
      <c r="B252" s="423"/>
      <c r="C252" s="423"/>
      <c r="D252" s="423"/>
      <c r="E252" s="423"/>
      <c r="F252" s="423"/>
    </row>
    <row r="253" spans="1:9">
      <c r="A253" s="407" t="s">
        <v>723</v>
      </c>
      <c r="B253" s="407" t="s">
        <v>606</v>
      </c>
      <c r="C253" s="407" t="s">
        <v>2855</v>
      </c>
      <c r="D253" s="407" t="s">
        <v>2856</v>
      </c>
    </row>
    <row r="254" spans="1:9">
      <c r="A254" s="411">
        <v>1</v>
      </c>
      <c r="B254" s="411" t="s">
        <v>3009</v>
      </c>
      <c r="C254" s="440">
        <v>8.5</v>
      </c>
      <c r="D254" s="411" t="s">
        <v>4</v>
      </c>
    </row>
    <row r="255" spans="1:9">
      <c r="A255" s="411">
        <v>2</v>
      </c>
      <c r="B255" s="411" t="s">
        <v>2884</v>
      </c>
      <c r="C255" s="440">
        <v>6.5</v>
      </c>
      <c r="D255" s="411" t="s">
        <v>4</v>
      </c>
    </row>
    <row r="256" spans="1:9">
      <c r="A256" s="411">
        <v>3</v>
      </c>
      <c r="B256" s="411" t="s">
        <v>2885</v>
      </c>
      <c r="C256" s="440">
        <v>5.6</v>
      </c>
      <c r="D256" s="411" t="s">
        <v>2857</v>
      </c>
    </row>
    <row r="257" spans="1:4">
      <c r="A257" s="411">
        <v>4</v>
      </c>
      <c r="B257" s="411" t="s">
        <v>2886</v>
      </c>
      <c r="C257" s="440">
        <v>4.3499999999999996</v>
      </c>
      <c r="D257" s="411" t="s">
        <v>2857</v>
      </c>
    </row>
    <row r="258" spans="1:4">
      <c r="A258" s="411">
        <v>5</v>
      </c>
      <c r="B258" s="411" t="s">
        <v>2887</v>
      </c>
      <c r="C258" s="440">
        <v>7.8</v>
      </c>
      <c r="D258" s="411" t="s">
        <v>2857</v>
      </c>
    </row>
    <row r="259" spans="1:4">
      <c r="A259" s="411">
        <v>6</v>
      </c>
      <c r="B259" s="411" t="s">
        <v>2888</v>
      </c>
      <c r="C259" s="440">
        <v>6.6</v>
      </c>
      <c r="D259" s="411" t="s">
        <v>2857</v>
      </c>
    </row>
    <row r="260" spans="1:4">
      <c r="A260" s="411">
        <v>7</v>
      </c>
      <c r="B260" s="411" t="s">
        <v>2889</v>
      </c>
      <c r="C260" s="440">
        <v>1.2</v>
      </c>
      <c r="D260" s="411" t="s">
        <v>2857</v>
      </c>
    </row>
    <row r="261" spans="1:4">
      <c r="A261" s="411">
        <v>8</v>
      </c>
      <c r="B261" s="411" t="s">
        <v>2890</v>
      </c>
      <c r="C261" s="440">
        <v>0.9</v>
      </c>
      <c r="D261" s="411" t="s">
        <v>2857</v>
      </c>
    </row>
    <row r="262" spans="1:4">
      <c r="A262" s="411">
        <v>9</v>
      </c>
      <c r="B262" s="411" t="s">
        <v>2875</v>
      </c>
      <c r="C262" s="440">
        <v>7.8140000000000001</v>
      </c>
      <c r="D262" s="411" t="s">
        <v>0</v>
      </c>
    </row>
    <row r="263" spans="1:4">
      <c r="A263" s="411">
        <v>10</v>
      </c>
      <c r="B263" s="411" t="s">
        <v>2876</v>
      </c>
      <c r="C263" s="440">
        <v>1.05</v>
      </c>
      <c r="D263" s="411" t="s">
        <v>0</v>
      </c>
    </row>
    <row r="264" spans="1:4">
      <c r="A264" s="411">
        <v>11</v>
      </c>
      <c r="B264" s="411" t="s">
        <v>1184</v>
      </c>
      <c r="C264" s="440">
        <v>14.962999999999999</v>
      </c>
      <c r="D264" s="411" t="s">
        <v>0</v>
      </c>
    </row>
    <row r="265" spans="1:4">
      <c r="A265" s="411">
        <v>12</v>
      </c>
      <c r="B265" s="411" t="s">
        <v>2877</v>
      </c>
      <c r="C265" s="440">
        <v>14.962999999999999</v>
      </c>
      <c r="D265" s="411" t="s">
        <v>0</v>
      </c>
    </row>
    <row r="266" spans="1:4">
      <c r="A266" s="411">
        <v>13</v>
      </c>
      <c r="B266" s="411" t="s">
        <v>3026</v>
      </c>
      <c r="C266" s="440">
        <v>6.1</v>
      </c>
      <c r="D266" s="411" t="s">
        <v>0</v>
      </c>
    </row>
    <row r="267" spans="1:4">
      <c r="A267" s="411">
        <v>14</v>
      </c>
      <c r="B267" s="411" t="s">
        <v>2963</v>
      </c>
      <c r="C267" s="440">
        <v>1.65</v>
      </c>
      <c r="D267" s="411" t="s">
        <v>0</v>
      </c>
    </row>
    <row r="268" spans="1:4">
      <c r="A268" s="411">
        <v>15</v>
      </c>
      <c r="B268" s="411" t="s">
        <v>2878</v>
      </c>
      <c r="C268" s="440">
        <v>2.4510000000000001</v>
      </c>
      <c r="D268" s="411" t="s">
        <v>0</v>
      </c>
    </row>
    <row r="269" spans="1:4">
      <c r="A269" s="411">
        <v>16</v>
      </c>
      <c r="B269" s="411" t="s">
        <v>2879</v>
      </c>
      <c r="C269" s="440">
        <v>11.532999999999999</v>
      </c>
      <c r="D269" s="411" t="s">
        <v>0</v>
      </c>
    </row>
    <row r="270" spans="1:4">
      <c r="A270" s="411">
        <v>17</v>
      </c>
      <c r="B270" s="411" t="s">
        <v>1186</v>
      </c>
      <c r="C270" s="440">
        <v>0.307</v>
      </c>
      <c r="D270" s="411" t="s">
        <v>0</v>
      </c>
    </row>
    <row r="271" spans="1:4">
      <c r="A271" s="411">
        <v>18</v>
      </c>
      <c r="B271" s="411" t="s">
        <v>1187</v>
      </c>
      <c r="C271" s="440">
        <v>0.314</v>
      </c>
      <c r="D271" s="411" t="s">
        <v>0</v>
      </c>
    </row>
    <row r="272" spans="1:4">
      <c r="A272" s="411">
        <v>19</v>
      </c>
      <c r="B272" s="411" t="s">
        <v>1188</v>
      </c>
      <c r="C272" s="440">
        <v>0.53100000000000003</v>
      </c>
      <c r="D272" s="411" t="s">
        <v>0</v>
      </c>
    </row>
    <row r="273" spans="1:4">
      <c r="A273" s="411"/>
      <c r="B273" s="411" t="s">
        <v>3030</v>
      </c>
      <c r="C273" s="423">
        <v>1.65</v>
      </c>
      <c r="D273" s="411" t="s">
        <v>0</v>
      </c>
    </row>
    <row r="274" spans="1:4">
      <c r="A274" s="411">
        <v>20</v>
      </c>
      <c r="B274" s="411" t="s">
        <v>2964</v>
      </c>
      <c r="C274" s="440">
        <v>2.95</v>
      </c>
      <c r="D274" s="411" t="s">
        <v>0</v>
      </c>
    </row>
    <row r="275" spans="1:4">
      <c r="A275" s="411">
        <v>21</v>
      </c>
      <c r="B275" s="411" t="s">
        <v>2880</v>
      </c>
      <c r="C275" s="440">
        <v>7.149</v>
      </c>
      <c r="D275" s="411" t="s">
        <v>0</v>
      </c>
    </row>
    <row r="276" spans="1:4">
      <c r="A276" s="411">
        <v>22</v>
      </c>
      <c r="B276" s="411" t="s">
        <v>2881</v>
      </c>
      <c r="C276" s="440">
        <v>1.869</v>
      </c>
      <c r="D276" s="411" t="s">
        <v>0</v>
      </c>
    </row>
    <row r="277" spans="1:4">
      <c r="A277" s="411">
        <v>23</v>
      </c>
      <c r="B277" s="411" t="s">
        <v>2882</v>
      </c>
      <c r="C277" s="440">
        <v>1.8879999999999999</v>
      </c>
      <c r="D277" s="411" t="s">
        <v>0</v>
      </c>
    </row>
    <row r="278" spans="1:4">
      <c r="A278" s="411"/>
      <c r="B278" s="411" t="s">
        <v>3029</v>
      </c>
      <c r="C278" s="423">
        <v>2.1632000000000002</v>
      </c>
      <c r="D278" s="411" t="s">
        <v>0</v>
      </c>
    </row>
    <row r="279" spans="1:4">
      <c r="A279" s="411">
        <v>24</v>
      </c>
      <c r="B279" s="411" t="s">
        <v>2897</v>
      </c>
      <c r="C279" s="440">
        <v>4.6900000000000004</v>
      </c>
      <c r="D279" s="411" t="s">
        <v>1</v>
      </c>
    </row>
    <row r="280" spans="1:4">
      <c r="A280" s="411">
        <v>25</v>
      </c>
      <c r="B280" s="411" t="s">
        <v>2898</v>
      </c>
      <c r="C280" s="440">
        <v>2.95</v>
      </c>
      <c r="D280" s="411" t="s">
        <v>1</v>
      </c>
    </row>
    <row r="281" spans="1:4">
      <c r="A281" s="411">
        <v>26</v>
      </c>
      <c r="B281" s="411" t="s">
        <v>2899</v>
      </c>
      <c r="C281" s="440">
        <v>1.57</v>
      </c>
      <c r="D281" s="411" t="s">
        <v>1</v>
      </c>
    </row>
    <row r="282" spans="1:4">
      <c r="A282" s="411">
        <v>27</v>
      </c>
      <c r="B282" s="411" t="s">
        <v>2900</v>
      </c>
      <c r="C282" s="440">
        <v>1.6919999999999999</v>
      </c>
      <c r="D282" s="411" t="s">
        <v>1</v>
      </c>
    </row>
    <row r="283" spans="1:4">
      <c r="A283" s="411">
        <v>28</v>
      </c>
      <c r="B283" s="411" t="s">
        <v>2901</v>
      </c>
      <c r="C283" s="440">
        <v>0.47399999999999998</v>
      </c>
      <c r="D283" s="411" t="s">
        <v>1</v>
      </c>
    </row>
    <row r="284" spans="1:4">
      <c r="A284" s="411">
        <v>29</v>
      </c>
      <c r="B284" s="411" t="s">
        <v>2905</v>
      </c>
      <c r="C284" s="440">
        <v>1.63</v>
      </c>
      <c r="D284" s="411" t="s">
        <v>1</v>
      </c>
    </row>
    <row r="285" spans="1:4">
      <c r="A285" s="411">
        <v>30</v>
      </c>
      <c r="B285" s="411" t="s">
        <v>2902</v>
      </c>
      <c r="C285" s="440">
        <v>6.05</v>
      </c>
      <c r="D285" s="411" t="s">
        <v>1</v>
      </c>
    </row>
    <row r="286" spans="1:4">
      <c r="A286" s="411">
        <v>31</v>
      </c>
      <c r="B286" s="411" t="s">
        <v>2960</v>
      </c>
      <c r="C286" s="440">
        <v>6.63</v>
      </c>
      <c r="D286" s="411" t="s">
        <v>2858</v>
      </c>
    </row>
    <row r="287" spans="1:4">
      <c r="A287" s="411">
        <v>32</v>
      </c>
      <c r="B287" s="411" t="s">
        <v>1256</v>
      </c>
      <c r="C287" s="440">
        <v>7.6289999999999996</v>
      </c>
      <c r="D287" s="411" t="s">
        <v>2859</v>
      </c>
    </row>
    <row r="288" spans="1:4">
      <c r="A288" s="411">
        <v>33</v>
      </c>
      <c r="B288" s="411" t="s">
        <v>1257</v>
      </c>
      <c r="C288" s="440">
        <v>3.1230000000000002</v>
      </c>
      <c r="D288" s="411" t="s">
        <v>2859</v>
      </c>
    </row>
    <row r="289" spans="1:4">
      <c r="A289" s="411">
        <v>34</v>
      </c>
      <c r="B289" s="411" t="s">
        <v>1258</v>
      </c>
      <c r="C289" s="440">
        <v>2.202</v>
      </c>
      <c r="D289" s="411" t="s">
        <v>2859</v>
      </c>
    </row>
    <row r="290" spans="1:4">
      <c r="A290" s="411">
        <v>35</v>
      </c>
      <c r="B290" s="411" t="s">
        <v>2883</v>
      </c>
      <c r="C290" s="440">
        <v>11.327999999999999</v>
      </c>
      <c r="D290" s="411" t="s">
        <v>2859</v>
      </c>
    </row>
    <row r="291" spans="1:4">
      <c r="A291" s="411">
        <v>36</v>
      </c>
      <c r="B291" s="411" t="s">
        <v>1260</v>
      </c>
      <c r="C291" s="440">
        <v>1.8240000000000001</v>
      </c>
      <c r="D291" s="411" t="s">
        <v>2858</v>
      </c>
    </row>
    <row r="292" spans="1:4">
      <c r="A292" s="411">
        <v>37</v>
      </c>
      <c r="B292" s="411" t="s">
        <v>1261</v>
      </c>
      <c r="C292" s="440">
        <v>3.7949999999999999</v>
      </c>
      <c r="D292" s="411" t="s">
        <v>2858</v>
      </c>
    </row>
    <row r="293" spans="1:4">
      <c r="A293" s="411">
        <v>38</v>
      </c>
      <c r="B293" s="411" t="s">
        <v>2780</v>
      </c>
      <c r="C293" s="440">
        <v>6.9779999999999998</v>
      </c>
      <c r="D293" s="411" t="s">
        <v>2860</v>
      </c>
    </row>
    <row r="294" spans="1:4">
      <c r="A294" s="411">
        <v>39</v>
      </c>
      <c r="B294" s="411" t="s">
        <v>2961</v>
      </c>
      <c r="C294" s="440">
        <v>8.1</v>
      </c>
      <c r="D294" s="411" t="s">
        <v>2861</v>
      </c>
    </row>
    <row r="295" spans="1:4">
      <c r="A295" s="411">
        <v>40</v>
      </c>
      <c r="B295" s="411" t="s">
        <v>2962</v>
      </c>
      <c r="C295" s="440">
        <v>8.3000000000000007</v>
      </c>
      <c r="D295" s="411" t="s">
        <v>2861</v>
      </c>
    </row>
    <row r="296" spans="1:4">
      <c r="A296" s="411">
        <v>41</v>
      </c>
      <c r="B296" s="411" t="s">
        <v>2896</v>
      </c>
      <c r="C296" s="440">
        <v>13.4</v>
      </c>
      <c r="D296" s="411" t="s">
        <v>6</v>
      </c>
    </row>
    <row r="297" spans="1:4">
      <c r="A297" s="411">
        <v>42</v>
      </c>
      <c r="B297" s="411" t="s">
        <v>1302</v>
      </c>
      <c r="C297" s="440">
        <v>2</v>
      </c>
      <c r="D297" s="411" t="s">
        <v>6</v>
      </c>
    </row>
    <row r="298" spans="1:4">
      <c r="A298" s="411">
        <v>43</v>
      </c>
      <c r="B298" s="411" t="s">
        <v>2891</v>
      </c>
      <c r="C298" s="440">
        <v>3.07</v>
      </c>
      <c r="D298" s="411" t="s">
        <v>6</v>
      </c>
    </row>
    <row r="299" spans="1:4">
      <c r="A299" s="411">
        <v>44</v>
      </c>
      <c r="B299" s="411" t="s">
        <v>2892</v>
      </c>
      <c r="C299" s="440">
        <v>5.7</v>
      </c>
      <c r="D299" s="411" t="s">
        <v>6</v>
      </c>
    </row>
    <row r="300" spans="1:4">
      <c r="A300" s="411">
        <v>45</v>
      </c>
      <c r="B300" s="411" t="s">
        <v>2893</v>
      </c>
      <c r="C300" s="440">
        <v>9.1999999999999993</v>
      </c>
      <c r="D300" s="411" t="s">
        <v>6</v>
      </c>
    </row>
    <row r="301" spans="1:4">
      <c r="A301" s="411">
        <v>46</v>
      </c>
      <c r="B301" s="411" t="s">
        <v>1306</v>
      </c>
      <c r="C301" s="440">
        <v>3.6</v>
      </c>
      <c r="D301" s="411" t="s">
        <v>6</v>
      </c>
    </row>
    <row r="302" spans="1:4">
      <c r="A302" s="411">
        <v>47</v>
      </c>
      <c r="B302" s="411" t="s">
        <v>1308</v>
      </c>
      <c r="C302" s="440">
        <v>6.3</v>
      </c>
      <c r="D302" s="411" t="s">
        <v>6</v>
      </c>
    </row>
    <row r="303" spans="1:4">
      <c r="A303" s="411">
        <v>48</v>
      </c>
      <c r="B303" s="411" t="s">
        <v>1310</v>
      </c>
      <c r="C303" s="440">
        <v>1.75</v>
      </c>
      <c r="D303" s="411" t="s">
        <v>6</v>
      </c>
    </row>
    <row r="304" spans="1:4">
      <c r="A304" s="411">
        <v>49</v>
      </c>
      <c r="B304" s="411" t="s">
        <v>1312</v>
      </c>
      <c r="C304" s="440">
        <v>7.65</v>
      </c>
      <c r="D304" s="411" t="s">
        <v>6</v>
      </c>
    </row>
    <row r="305" spans="1:4">
      <c r="A305" s="411">
        <v>50</v>
      </c>
      <c r="B305" s="411" t="s">
        <v>1314</v>
      </c>
      <c r="C305" s="440">
        <v>1.65</v>
      </c>
      <c r="D305" s="411" t="s">
        <v>6</v>
      </c>
    </row>
    <row r="306" spans="1:4">
      <c r="A306" s="411">
        <v>51</v>
      </c>
      <c r="B306" s="411" t="s">
        <v>1316</v>
      </c>
      <c r="C306" s="440">
        <v>1.7</v>
      </c>
      <c r="D306" s="411" t="s">
        <v>6</v>
      </c>
    </row>
    <row r="307" spans="1:4">
      <c r="A307" s="411">
        <v>52</v>
      </c>
      <c r="B307" s="411" t="s">
        <v>1463</v>
      </c>
      <c r="C307" s="440">
        <v>12.41667</v>
      </c>
      <c r="D307" s="411" t="s">
        <v>2862</v>
      </c>
    </row>
    <row r="308" spans="1:4">
      <c r="A308" s="411">
        <v>53</v>
      </c>
      <c r="B308" s="411" t="s">
        <v>1466</v>
      </c>
      <c r="C308" s="440">
        <v>11.08333</v>
      </c>
      <c r="D308" s="411" t="s">
        <v>2862</v>
      </c>
    </row>
    <row r="309" spans="1:4">
      <c r="A309" s="411">
        <v>54</v>
      </c>
      <c r="B309" s="411" t="s">
        <v>1468</v>
      </c>
      <c r="C309" s="440">
        <v>4.1222200000000004</v>
      </c>
      <c r="D309" s="411" t="s">
        <v>2862</v>
      </c>
    </row>
    <row r="310" spans="1:4">
      <c r="A310" s="411">
        <v>55</v>
      </c>
      <c r="B310" s="411" t="s">
        <v>1470</v>
      </c>
      <c r="C310" s="440">
        <v>6</v>
      </c>
      <c r="D310" s="411" t="s">
        <v>2862</v>
      </c>
    </row>
    <row r="311" spans="1:4">
      <c r="A311" s="411">
        <v>56</v>
      </c>
      <c r="B311" s="411" t="s">
        <v>1472</v>
      </c>
      <c r="C311" s="440">
        <v>5.9555600000000002</v>
      </c>
      <c r="D311" s="411" t="s">
        <v>2862</v>
      </c>
    </row>
    <row r="312" spans="1:4">
      <c r="A312" s="411">
        <v>57</v>
      </c>
      <c r="B312" s="411" t="s">
        <v>1474</v>
      </c>
      <c r="C312" s="440">
        <v>6.4555600000000002</v>
      </c>
      <c r="D312" s="411" t="s">
        <v>2862</v>
      </c>
    </row>
    <row r="313" spans="1:4">
      <c r="A313" s="411">
        <v>58</v>
      </c>
      <c r="B313" s="411" t="s">
        <v>1476</v>
      </c>
      <c r="C313" s="440">
        <v>1.5</v>
      </c>
      <c r="D313" s="411" t="s">
        <v>2862</v>
      </c>
    </row>
    <row r="314" spans="1:4">
      <c r="A314" s="411">
        <v>59</v>
      </c>
      <c r="B314" s="411" t="s">
        <v>1478</v>
      </c>
      <c r="C314" s="440">
        <v>2.5</v>
      </c>
      <c r="D314" s="411" t="s">
        <v>2862</v>
      </c>
    </row>
    <row r="315" spans="1:4">
      <c r="A315" s="411">
        <v>60</v>
      </c>
      <c r="B315" s="411" t="s">
        <v>2973</v>
      </c>
      <c r="C315" s="440">
        <v>6.5730000000000004</v>
      </c>
      <c r="D315" s="411" t="s">
        <v>2</v>
      </c>
    </row>
    <row r="316" spans="1:4">
      <c r="A316" s="411">
        <v>61</v>
      </c>
      <c r="B316" s="411" t="s">
        <v>2966</v>
      </c>
      <c r="C316" s="440">
        <v>5.7409999999999997</v>
      </c>
      <c r="D316" s="411" t="s">
        <v>2</v>
      </c>
    </row>
    <row r="317" spans="1:4">
      <c r="A317" s="411">
        <v>62</v>
      </c>
      <c r="B317" s="411" t="s">
        <v>2967</v>
      </c>
      <c r="C317" s="440">
        <v>2.2400000000000002</v>
      </c>
      <c r="D317" s="411" t="s">
        <v>2</v>
      </c>
    </row>
    <row r="318" spans="1:4">
      <c r="A318" s="411">
        <v>63</v>
      </c>
      <c r="B318" s="411" t="s">
        <v>2969</v>
      </c>
      <c r="C318" s="440">
        <v>4.71</v>
      </c>
      <c r="D318" s="411" t="s">
        <v>2</v>
      </c>
    </row>
    <row r="319" spans="1:4">
      <c r="A319" s="411">
        <v>64</v>
      </c>
      <c r="B319" s="411" t="s">
        <v>2968</v>
      </c>
      <c r="C319" s="440">
        <v>3.379</v>
      </c>
      <c r="D319" s="411" t="s">
        <v>2</v>
      </c>
    </row>
    <row r="320" spans="1:4">
      <c r="A320" s="411">
        <v>65</v>
      </c>
      <c r="B320" s="411" t="s">
        <v>2974</v>
      </c>
      <c r="C320" s="440">
        <v>6.3550000000000004</v>
      </c>
      <c r="D320" s="411" t="s">
        <v>2</v>
      </c>
    </row>
    <row r="321" spans="1:4">
      <c r="A321" s="411">
        <v>66</v>
      </c>
      <c r="B321" s="411" t="s">
        <v>2894</v>
      </c>
      <c r="C321" s="440">
        <v>3.07</v>
      </c>
      <c r="D321" s="411" t="s">
        <v>3</v>
      </c>
    </row>
    <row r="322" spans="1:4">
      <c r="A322">
        <v>321</v>
      </c>
      <c r="B322" t="s">
        <v>2970</v>
      </c>
      <c r="C322" s="423">
        <v>0.32600000000000001</v>
      </c>
      <c r="D322" t="s">
        <v>2</v>
      </c>
    </row>
    <row r="323" spans="1:4">
      <c r="B323" t="s">
        <v>2971</v>
      </c>
      <c r="C323" s="423">
        <v>1.0940000000000001</v>
      </c>
      <c r="D323" t="s">
        <v>2</v>
      </c>
    </row>
    <row r="324" spans="1:4">
      <c r="B324" t="s">
        <v>3007</v>
      </c>
      <c r="C324" s="423">
        <v>8.1</v>
      </c>
      <c r="D324" t="s">
        <v>3004</v>
      </c>
    </row>
    <row r="325" spans="1:4">
      <c r="B325" t="s">
        <v>3008</v>
      </c>
      <c r="C325" s="423">
        <v>6.6</v>
      </c>
      <c r="D325" t="s">
        <v>3004</v>
      </c>
    </row>
    <row r="326" spans="1:4">
      <c r="A326" s="485">
        <v>67</v>
      </c>
      <c r="B326" s="485" t="s">
        <v>3049</v>
      </c>
      <c r="C326" s="486">
        <v>6.9779999999999998</v>
      </c>
      <c r="D326" s="485" t="s">
        <v>3050</v>
      </c>
    </row>
    <row r="327" spans="1:4">
      <c r="A327" s="485">
        <v>68</v>
      </c>
      <c r="B327" s="485" t="s">
        <v>3051</v>
      </c>
      <c r="C327" s="486">
        <v>3.96</v>
      </c>
      <c r="D327" s="485" t="s">
        <v>3050</v>
      </c>
    </row>
    <row r="328" spans="1:4">
      <c r="A328" s="485">
        <v>69</v>
      </c>
      <c r="B328" s="485" t="s">
        <v>3052</v>
      </c>
      <c r="C328" s="486">
        <v>1.992</v>
      </c>
      <c r="D328" s="485" t="s">
        <v>3050</v>
      </c>
    </row>
    <row r="329" spans="1:4">
      <c r="A329" s="485">
        <v>70</v>
      </c>
      <c r="B329" s="485" t="s">
        <v>3065</v>
      </c>
      <c r="C329" s="486">
        <v>1</v>
      </c>
      <c r="D329" s="485" t="s">
        <v>3050</v>
      </c>
    </row>
    <row r="330" spans="1:4">
      <c r="A330" s="485">
        <v>71</v>
      </c>
      <c r="B330" s="485" t="s">
        <v>3053</v>
      </c>
      <c r="C330" s="486">
        <v>4.0620000000000003</v>
      </c>
      <c r="D330" s="485" t="s">
        <v>3050</v>
      </c>
    </row>
    <row r="331" spans="1:4">
      <c r="A331" s="485">
        <v>72</v>
      </c>
      <c r="B331" s="485" t="s">
        <v>3054</v>
      </c>
      <c r="C331" s="486">
        <v>12.954000000000001</v>
      </c>
      <c r="D331" s="485" t="s">
        <v>3055</v>
      </c>
    </row>
    <row r="332" spans="1:4">
      <c r="A332" s="489">
        <v>73</v>
      </c>
      <c r="B332" s="489" t="s">
        <v>3110</v>
      </c>
      <c r="C332" s="497">
        <v>3.5760000000000001</v>
      </c>
      <c r="D332" s="489" t="s">
        <v>3111</v>
      </c>
    </row>
    <row r="333" spans="1:4">
      <c r="A333" s="489">
        <v>74</v>
      </c>
      <c r="B333" s="489" t="s">
        <v>3112</v>
      </c>
      <c r="C333" s="497">
        <v>2.8860000000000001</v>
      </c>
      <c r="D333" s="489" t="s">
        <v>3111</v>
      </c>
    </row>
    <row r="334" spans="1:4">
      <c r="A334" s="489">
        <v>75</v>
      </c>
      <c r="B334" s="489" t="s">
        <v>3114</v>
      </c>
      <c r="C334" s="497">
        <v>5.46</v>
      </c>
      <c r="D334" s="489" t="s">
        <v>1</v>
      </c>
    </row>
    <row r="335" spans="1:4">
      <c r="A335">
        <v>76</v>
      </c>
      <c r="B335" t="s">
        <v>3177</v>
      </c>
      <c r="C335">
        <v>6.2779999999999996</v>
      </c>
    </row>
  </sheetData>
  <hyperlinks>
    <hyperlink ref="G1" location="'สารบัญ'!A1" display="🏠 สารบัญ" xr:uid="{00000000-0004-0000-0C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G203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defaultColWidth="8.6640625" defaultRowHeight="14.4"/>
  <cols>
    <col min="1" max="1" width="34.77734375" customWidth="1"/>
    <col min="2" max="2" width="11.77734375" customWidth="1"/>
    <col min="3" max="3" width="9.77734375" customWidth="1"/>
    <col min="4" max="4" width="52.77734375" customWidth="1"/>
    <col min="7" max="7" width="32.77734375" customWidth="1"/>
  </cols>
  <sheetData>
    <row r="1" spans="1:6" ht="15" thickBot="1">
      <c r="A1" s="424" t="s">
        <v>2807</v>
      </c>
      <c r="B1" s="423"/>
      <c r="C1" s="423"/>
      <c r="D1" s="423"/>
      <c r="F1" s="583" t="s">
        <v>68</v>
      </c>
    </row>
    <row r="2" spans="1:6" ht="30" customHeight="1">
      <c r="A2" s="507" t="s">
        <v>1044</v>
      </c>
      <c r="B2" s="508" t="s">
        <v>1045</v>
      </c>
      <c r="C2" s="506" t="s">
        <v>2710</v>
      </c>
      <c r="D2" s="509" t="s">
        <v>2707</v>
      </c>
    </row>
    <row r="3" spans="1:6" ht="15" customHeight="1">
      <c r="A3" s="517" t="s">
        <v>733</v>
      </c>
      <c r="B3" s="510">
        <v>264</v>
      </c>
      <c r="C3" s="516"/>
      <c r="D3" s="499"/>
    </row>
    <row r="4" spans="1:6" ht="15" customHeight="1">
      <c r="A4" s="517" t="s">
        <v>725</v>
      </c>
      <c r="B4" s="510">
        <v>592</v>
      </c>
      <c r="C4" s="516"/>
      <c r="D4" s="499"/>
    </row>
    <row r="5" spans="1:6" ht="15" customHeight="1">
      <c r="A5" s="517" t="s">
        <v>727</v>
      </c>
      <c r="B5" s="510">
        <v>700</v>
      </c>
      <c r="C5" s="516"/>
      <c r="D5" s="499"/>
    </row>
    <row r="6" spans="1:6" ht="15" customHeight="1">
      <c r="A6" s="517" t="s">
        <v>746</v>
      </c>
      <c r="B6" s="510">
        <v>1023</v>
      </c>
      <c r="C6" s="516"/>
      <c r="D6" s="499"/>
    </row>
    <row r="7" spans="1:6" ht="15" customHeight="1">
      <c r="A7" s="517" t="s">
        <v>734</v>
      </c>
      <c r="B7" s="510">
        <v>517</v>
      </c>
      <c r="C7" s="516"/>
      <c r="D7" s="499"/>
    </row>
    <row r="8" spans="1:6" ht="15" customHeight="1">
      <c r="A8" s="517" t="s">
        <v>735</v>
      </c>
      <c r="B8" s="510">
        <v>915</v>
      </c>
      <c r="C8" s="516"/>
      <c r="D8" s="499"/>
    </row>
    <row r="9" spans="1:6" ht="15" customHeight="1">
      <c r="A9" s="517" t="s">
        <v>729</v>
      </c>
      <c r="B9" s="510">
        <v>807</v>
      </c>
      <c r="C9" s="516"/>
      <c r="D9" s="499"/>
    </row>
    <row r="10" spans="1:6" ht="15" customHeight="1">
      <c r="A10" s="517" t="s">
        <v>730</v>
      </c>
      <c r="B10" s="510">
        <v>570</v>
      </c>
      <c r="C10" s="516"/>
      <c r="D10" s="499"/>
    </row>
    <row r="11" spans="1:6" ht="15" customHeight="1">
      <c r="A11" s="517" t="s">
        <v>748</v>
      </c>
      <c r="B11" s="510">
        <v>1184</v>
      </c>
      <c r="C11" s="516"/>
      <c r="D11" s="499"/>
    </row>
    <row r="12" spans="1:6" ht="15" customHeight="1">
      <c r="A12" s="517" t="s">
        <v>749</v>
      </c>
      <c r="B12" s="510">
        <v>1292</v>
      </c>
      <c r="C12" s="516"/>
      <c r="D12" s="499"/>
    </row>
    <row r="13" spans="1:6" ht="34.5" customHeight="1">
      <c r="A13" s="517" t="s">
        <v>750</v>
      </c>
      <c r="B13" s="510">
        <v>1399</v>
      </c>
      <c r="C13" s="516"/>
      <c r="D13" s="499"/>
    </row>
    <row r="14" spans="1:6" ht="15" customHeight="1">
      <c r="A14" s="517" t="s">
        <v>737</v>
      </c>
      <c r="B14" s="510">
        <v>403</v>
      </c>
      <c r="C14" s="516"/>
      <c r="D14" s="499"/>
    </row>
    <row r="15" spans="1:6" ht="15" customHeight="1">
      <c r="A15" s="517" t="s">
        <v>731</v>
      </c>
      <c r="B15" s="510">
        <v>848</v>
      </c>
      <c r="C15" s="516"/>
      <c r="D15" s="499"/>
    </row>
    <row r="16" spans="1:6" ht="15" customHeight="1">
      <c r="A16" s="517" t="s">
        <v>732</v>
      </c>
      <c r="B16" s="510">
        <v>942</v>
      </c>
      <c r="C16" s="516"/>
      <c r="D16" s="499"/>
    </row>
    <row r="17" spans="1:4" ht="15" customHeight="1">
      <c r="A17" s="517" t="s">
        <v>751</v>
      </c>
      <c r="B17" s="510">
        <v>3122</v>
      </c>
      <c r="C17" s="516"/>
      <c r="D17" s="499"/>
    </row>
    <row r="18" spans="1:4" ht="15" customHeight="1">
      <c r="A18" s="517" t="s">
        <v>752</v>
      </c>
      <c r="B18" s="510">
        <v>1432</v>
      </c>
      <c r="C18" s="516"/>
      <c r="D18" s="499"/>
    </row>
    <row r="19" spans="1:4" ht="15" customHeight="1">
      <c r="A19" s="518" t="s">
        <v>754</v>
      </c>
      <c r="B19" s="511">
        <v>3466</v>
      </c>
      <c r="C19" s="500" t="s">
        <v>2709</v>
      </c>
      <c r="D19" s="501" t="s">
        <v>2708</v>
      </c>
    </row>
    <row r="20" spans="1:4" ht="15" customHeight="1">
      <c r="A20" s="517" t="s">
        <v>755</v>
      </c>
      <c r="B20" s="510">
        <v>805</v>
      </c>
      <c r="C20" s="516"/>
      <c r="D20" s="499"/>
    </row>
    <row r="21" spans="1:4" ht="15" customHeight="1">
      <c r="A21" s="517" t="s">
        <v>756</v>
      </c>
      <c r="B21" s="510">
        <v>1113</v>
      </c>
      <c r="C21" s="516"/>
      <c r="D21" s="499"/>
    </row>
    <row r="22" spans="1:4" ht="15" customHeight="1">
      <c r="A22" s="517" t="s">
        <v>757</v>
      </c>
      <c r="B22" s="510">
        <v>646</v>
      </c>
      <c r="C22" s="516"/>
      <c r="D22" s="499"/>
    </row>
    <row r="23" spans="1:4" ht="15" customHeight="1">
      <c r="A23" s="517" t="s">
        <v>758</v>
      </c>
      <c r="B23" s="510">
        <v>678</v>
      </c>
      <c r="C23" s="516"/>
      <c r="D23" s="499"/>
    </row>
    <row r="24" spans="1:4" ht="15" customHeight="1">
      <c r="A24" s="517" t="s">
        <v>759</v>
      </c>
      <c r="B24" s="510">
        <v>732</v>
      </c>
      <c r="C24" s="516"/>
      <c r="D24" s="499"/>
    </row>
    <row r="25" spans="1:4" ht="15" customHeight="1">
      <c r="A25" s="517" t="s">
        <v>760</v>
      </c>
      <c r="B25" s="510">
        <v>1423</v>
      </c>
      <c r="C25" s="516"/>
      <c r="D25" s="499"/>
    </row>
    <row r="26" spans="1:4" ht="15" customHeight="1">
      <c r="A26" s="517" t="s">
        <v>761</v>
      </c>
      <c r="B26" s="510">
        <v>732</v>
      </c>
      <c r="C26" s="516"/>
      <c r="D26" s="499"/>
    </row>
    <row r="27" spans="1:4" ht="15" customHeight="1">
      <c r="A27" s="517" t="s">
        <v>762</v>
      </c>
      <c r="B27" s="510">
        <v>786</v>
      </c>
      <c r="C27" s="516"/>
      <c r="D27" s="499"/>
    </row>
    <row r="28" spans="1:4" ht="15" customHeight="1">
      <c r="A28" s="517" t="s">
        <v>763</v>
      </c>
      <c r="B28" s="510">
        <v>1480</v>
      </c>
      <c r="C28" s="516"/>
      <c r="D28" s="499"/>
    </row>
    <row r="29" spans="1:4" ht="15" customHeight="1">
      <c r="A29" s="517" t="s">
        <v>764</v>
      </c>
      <c r="B29" s="510">
        <v>2422</v>
      </c>
      <c r="C29" s="516"/>
      <c r="D29" s="499"/>
    </row>
    <row r="30" spans="1:4" ht="15" customHeight="1">
      <c r="A30" s="517" t="s">
        <v>765</v>
      </c>
      <c r="B30" s="510">
        <v>2745</v>
      </c>
      <c r="C30" s="516"/>
      <c r="D30" s="499"/>
    </row>
    <row r="31" spans="1:4" ht="15" customHeight="1">
      <c r="A31" s="517" t="s">
        <v>766</v>
      </c>
      <c r="B31" s="510">
        <v>2960</v>
      </c>
      <c r="C31" s="516"/>
      <c r="D31" s="499"/>
    </row>
    <row r="32" spans="1:4" ht="15" customHeight="1">
      <c r="A32" s="517" t="s">
        <v>1056</v>
      </c>
      <c r="B32" s="510">
        <v>883</v>
      </c>
      <c r="C32" s="516"/>
      <c r="D32" s="499"/>
    </row>
    <row r="33" spans="1:4" ht="15" customHeight="1">
      <c r="A33" s="517" t="s">
        <v>1057</v>
      </c>
      <c r="B33" s="510">
        <v>861</v>
      </c>
      <c r="C33" s="516"/>
      <c r="D33" s="499"/>
    </row>
    <row r="34" spans="1:4" ht="15" customHeight="1">
      <c r="A34" s="517" t="s">
        <v>1058</v>
      </c>
      <c r="B34" s="510">
        <v>1329</v>
      </c>
      <c r="C34" s="516"/>
      <c r="D34" s="499"/>
    </row>
    <row r="35" spans="1:4" ht="15" customHeight="1">
      <c r="A35" s="517" t="s">
        <v>1060</v>
      </c>
      <c r="B35" s="510">
        <v>1766</v>
      </c>
      <c r="C35" s="516" t="s">
        <v>1061</v>
      </c>
      <c r="D35" s="499"/>
    </row>
    <row r="36" spans="1:4" ht="23.25" customHeight="1">
      <c r="A36" s="517" t="s">
        <v>770</v>
      </c>
      <c r="B36" s="510">
        <v>2260</v>
      </c>
      <c r="C36" s="516" t="s">
        <v>1063</v>
      </c>
      <c r="D36" s="499"/>
    </row>
    <row r="37" spans="1:4" ht="15" customHeight="1">
      <c r="A37" s="517" t="s">
        <v>1064</v>
      </c>
      <c r="B37" s="510">
        <v>301</v>
      </c>
      <c r="C37" s="516"/>
      <c r="D37" s="499"/>
    </row>
    <row r="38" spans="1:4" ht="15" customHeight="1">
      <c r="A38" s="517" t="s">
        <v>1065</v>
      </c>
      <c r="B38" s="510">
        <v>398</v>
      </c>
      <c r="C38" s="516"/>
      <c r="D38" s="499"/>
    </row>
    <row r="39" spans="1:4" ht="15" customHeight="1">
      <c r="A39" s="517" t="s">
        <v>1066</v>
      </c>
      <c r="B39" s="510">
        <v>646</v>
      </c>
      <c r="C39" s="516"/>
      <c r="D39" s="499"/>
    </row>
    <row r="40" spans="1:4" ht="15" customHeight="1">
      <c r="A40" s="517" t="s">
        <v>1067</v>
      </c>
      <c r="B40" s="510">
        <v>716</v>
      </c>
      <c r="C40" s="516"/>
      <c r="D40" s="499"/>
    </row>
    <row r="41" spans="1:4" ht="15" customHeight="1">
      <c r="A41" s="517" t="s">
        <v>767</v>
      </c>
      <c r="B41" s="510">
        <v>700</v>
      </c>
      <c r="C41" s="516"/>
      <c r="D41" s="499"/>
    </row>
    <row r="42" spans="1:4" ht="15" customHeight="1">
      <c r="A42" s="518" t="s">
        <v>768</v>
      </c>
      <c r="B42" s="511">
        <v>6674</v>
      </c>
      <c r="C42" s="500" t="s">
        <v>2709</v>
      </c>
      <c r="D42" s="501" t="s">
        <v>2708</v>
      </c>
    </row>
    <row r="43" spans="1:4" ht="15" customHeight="1">
      <c r="A43" s="517" t="s">
        <v>769</v>
      </c>
      <c r="B43" s="510">
        <v>807</v>
      </c>
      <c r="C43" s="516"/>
      <c r="D43" s="499"/>
    </row>
    <row r="44" spans="1:4" ht="15" customHeight="1">
      <c r="A44" s="517" t="s">
        <v>753</v>
      </c>
      <c r="B44" s="510">
        <v>2336</v>
      </c>
      <c r="C44" s="516"/>
      <c r="D44" s="499"/>
    </row>
    <row r="45" spans="1:4" ht="15" customHeight="1">
      <c r="A45" s="517" t="s">
        <v>1069</v>
      </c>
      <c r="B45" s="510">
        <v>893</v>
      </c>
      <c r="C45" s="516"/>
      <c r="D45" s="499"/>
    </row>
    <row r="46" spans="1:4" ht="15" customHeight="1">
      <c r="A46" s="517" t="s">
        <v>1070</v>
      </c>
      <c r="B46" s="510">
        <v>1300</v>
      </c>
      <c r="C46" s="516"/>
      <c r="D46" s="499"/>
    </row>
    <row r="47" spans="1:4" ht="15" customHeight="1">
      <c r="A47" s="517" t="s">
        <v>1071</v>
      </c>
      <c r="B47" s="510">
        <v>1350</v>
      </c>
      <c r="C47" s="516"/>
      <c r="D47" s="499"/>
    </row>
    <row r="48" spans="1:4" ht="15" customHeight="1">
      <c r="A48" s="517" t="s">
        <v>1072</v>
      </c>
      <c r="B48" s="510">
        <v>1600</v>
      </c>
      <c r="C48" s="516"/>
      <c r="D48" s="499"/>
    </row>
    <row r="49" spans="1:4" ht="15" customHeight="1">
      <c r="A49" s="517" t="s">
        <v>772</v>
      </c>
      <c r="B49" s="510">
        <v>2540</v>
      </c>
      <c r="C49" s="516"/>
      <c r="D49" s="499"/>
    </row>
    <row r="50" spans="1:4" ht="15" customHeight="1">
      <c r="A50" s="517" t="s">
        <v>773</v>
      </c>
      <c r="B50" s="510">
        <v>1938</v>
      </c>
      <c r="C50" s="516"/>
      <c r="D50" s="499"/>
    </row>
    <row r="51" spans="1:4" ht="15" customHeight="1">
      <c r="A51" s="517" t="s">
        <v>774</v>
      </c>
      <c r="B51" s="510">
        <v>2217</v>
      </c>
      <c r="C51" s="516"/>
      <c r="D51" s="499"/>
    </row>
    <row r="52" spans="1:4" ht="15" customHeight="1">
      <c r="A52" s="517" t="s">
        <v>775</v>
      </c>
      <c r="B52" s="510">
        <v>2540</v>
      </c>
      <c r="C52" s="516"/>
      <c r="D52" s="499"/>
    </row>
    <row r="53" spans="1:4" ht="15" customHeight="1">
      <c r="A53" s="518" t="s">
        <v>777</v>
      </c>
      <c r="B53" s="511">
        <v>2702</v>
      </c>
      <c r="C53" s="500" t="s">
        <v>2709</v>
      </c>
      <c r="D53" s="501" t="s">
        <v>2708</v>
      </c>
    </row>
    <row r="54" spans="1:4" ht="15" customHeight="1">
      <c r="A54" s="518" t="s">
        <v>778</v>
      </c>
      <c r="B54" s="511">
        <v>3531</v>
      </c>
      <c r="C54" s="500" t="s">
        <v>2709</v>
      </c>
      <c r="D54" s="501" t="s">
        <v>2708</v>
      </c>
    </row>
    <row r="55" spans="1:4" ht="15" customHeight="1">
      <c r="A55" s="518" t="s">
        <v>779</v>
      </c>
      <c r="B55" s="511">
        <v>2562</v>
      </c>
      <c r="C55" s="500" t="s">
        <v>2709</v>
      </c>
      <c r="D55" s="501" t="s">
        <v>2708</v>
      </c>
    </row>
    <row r="56" spans="1:4" ht="15" customHeight="1">
      <c r="A56" s="518" t="s">
        <v>783</v>
      </c>
      <c r="B56" s="511">
        <v>5328</v>
      </c>
      <c r="C56" s="500" t="s">
        <v>2709</v>
      </c>
      <c r="D56" s="501" t="s">
        <v>2708</v>
      </c>
    </row>
    <row r="57" spans="1:4" ht="15" customHeight="1">
      <c r="A57" s="518" t="s">
        <v>1075</v>
      </c>
      <c r="B57" s="511">
        <v>7158</v>
      </c>
      <c r="C57" s="500" t="s">
        <v>2709</v>
      </c>
      <c r="D57" s="501" t="s">
        <v>2708</v>
      </c>
    </row>
    <row r="58" spans="1:4" ht="15" customHeight="1">
      <c r="A58" s="518" t="s">
        <v>781</v>
      </c>
      <c r="B58" s="511">
        <v>2282</v>
      </c>
      <c r="C58" s="500" t="s">
        <v>2709</v>
      </c>
      <c r="D58" s="501" t="s">
        <v>2708</v>
      </c>
    </row>
    <row r="59" spans="1:4" ht="15" customHeight="1">
      <c r="A59" s="517" t="s">
        <v>1076</v>
      </c>
      <c r="B59" s="510">
        <v>872</v>
      </c>
      <c r="C59" s="516"/>
      <c r="D59" s="499"/>
    </row>
    <row r="60" spans="1:4" ht="15" customHeight="1">
      <c r="A60" s="517" t="s">
        <v>1077</v>
      </c>
      <c r="B60" s="510">
        <v>2454</v>
      </c>
      <c r="C60" s="516"/>
      <c r="D60" s="499"/>
    </row>
    <row r="61" spans="1:4" ht="15" customHeight="1">
      <c r="A61" s="517" t="s">
        <v>738</v>
      </c>
      <c r="B61" s="510">
        <v>242</v>
      </c>
      <c r="C61" s="516"/>
      <c r="D61" s="499"/>
    </row>
    <row r="62" spans="1:4" ht="15" customHeight="1">
      <c r="A62" s="517" t="s">
        <v>740</v>
      </c>
      <c r="B62" s="510">
        <v>409</v>
      </c>
      <c r="C62" s="516"/>
      <c r="D62" s="499"/>
    </row>
    <row r="63" spans="1:4" ht="15" customHeight="1">
      <c r="A63" s="517" t="s">
        <v>741</v>
      </c>
      <c r="B63" s="510">
        <v>517</v>
      </c>
      <c r="C63" s="516"/>
      <c r="D63" s="499"/>
    </row>
    <row r="64" spans="1:4" ht="15" customHeight="1">
      <c r="A64" s="517" t="s">
        <v>742</v>
      </c>
      <c r="B64" s="510">
        <v>403</v>
      </c>
      <c r="C64" s="516"/>
      <c r="D64" s="499"/>
    </row>
    <row r="65" spans="1:4" ht="15" customHeight="1">
      <c r="A65" s="517" t="s">
        <v>743</v>
      </c>
      <c r="B65" s="510">
        <v>622</v>
      </c>
      <c r="C65" s="516"/>
      <c r="D65" s="499"/>
    </row>
    <row r="66" spans="1:4">
      <c r="A66" s="517" t="s">
        <v>744</v>
      </c>
      <c r="B66" s="510">
        <v>695</v>
      </c>
      <c r="C66" s="516"/>
      <c r="D66" s="499"/>
    </row>
    <row r="67" spans="1:4">
      <c r="A67" s="517" t="s">
        <v>745</v>
      </c>
      <c r="B67" s="510">
        <v>787</v>
      </c>
      <c r="C67" s="516"/>
      <c r="D67" s="499"/>
    </row>
    <row r="68" spans="1:4">
      <c r="A68" s="517" t="s">
        <v>784</v>
      </c>
      <c r="B68" s="510">
        <v>205</v>
      </c>
      <c r="C68" s="516"/>
      <c r="D68" s="499"/>
    </row>
    <row r="69" spans="1:4">
      <c r="A69" s="517" t="s">
        <v>785</v>
      </c>
      <c r="B69" s="510">
        <v>226</v>
      </c>
      <c r="C69" s="516"/>
      <c r="D69" s="499"/>
    </row>
    <row r="70" spans="1:4">
      <c r="A70" s="517" t="s">
        <v>786</v>
      </c>
      <c r="B70" s="510">
        <v>538</v>
      </c>
      <c r="C70" s="516"/>
      <c r="D70" s="499"/>
    </row>
    <row r="71" spans="1:4">
      <c r="A71" s="517" t="s">
        <v>787</v>
      </c>
      <c r="B71" s="510">
        <v>538</v>
      </c>
      <c r="C71" s="516"/>
      <c r="D71" s="499"/>
    </row>
    <row r="72" spans="1:4">
      <c r="A72" s="517" t="s">
        <v>788</v>
      </c>
      <c r="B72" s="510">
        <v>248</v>
      </c>
      <c r="C72" s="516"/>
      <c r="D72" s="499"/>
    </row>
    <row r="73" spans="1:4">
      <c r="A73" s="517" t="s">
        <v>789</v>
      </c>
      <c r="B73" s="510">
        <v>258</v>
      </c>
      <c r="C73" s="516"/>
      <c r="D73" s="499"/>
    </row>
    <row r="74" spans="1:4">
      <c r="A74" s="517" t="s">
        <v>790</v>
      </c>
      <c r="B74" s="510">
        <v>452</v>
      </c>
      <c r="C74" s="516"/>
      <c r="D74" s="499"/>
    </row>
    <row r="75" spans="1:4">
      <c r="A75" s="517" t="s">
        <v>1078</v>
      </c>
      <c r="B75" s="510">
        <v>2928</v>
      </c>
      <c r="C75" s="516"/>
      <c r="D75" s="499"/>
    </row>
    <row r="76" spans="1:4">
      <c r="A76" s="519" t="s">
        <v>1079</v>
      </c>
      <c r="B76" s="512">
        <v>4133</v>
      </c>
      <c r="C76" s="502" t="s">
        <v>2709</v>
      </c>
      <c r="D76" s="503" t="s">
        <v>3010</v>
      </c>
    </row>
    <row r="77" spans="1:4">
      <c r="A77" s="519" t="s">
        <v>3011</v>
      </c>
      <c r="B77" s="512">
        <v>3272</v>
      </c>
      <c r="C77" s="502"/>
      <c r="D77" s="503" t="s">
        <v>3012</v>
      </c>
    </row>
    <row r="78" spans="1:4">
      <c r="A78" s="519" t="s">
        <v>3013</v>
      </c>
      <c r="B78" s="512">
        <v>4478</v>
      </c>
      <c r="C78" s="502"/>
      <c r="D78" s="503" t="s">
        <v>3014</v>
      </c>
    </row>
    <row r="79" spans="1:4">
      <c r="A79" s="519" t="s">
        <v>3015</v>
      </c>
      <c r="B79" s="512">
        <v>3186</v>
      </c>
      <c r="C79" s="502"/>
      <c r="D79" s="503" t="s">
        <v>3016</v>
      </c>
    </row>
    <row r="80" spans="1:4">
      <c r="A80" s="519" t="s">
        <v>3017</v>
      </c>
      <c r="B80" s="512">
        <v>3531</v>
      </c>
      <c r="C80" s="502"/>
      <c r="D80" s="503" t="s">
        <v>3018</v>
      </c>
    </row>
    <row r="81" spans="1:4">
      <c r="A81" s="519" t="s">
        <v>3019</v>
      </c>
      <c r="B81" s="512">
        <v>4392</v>
      </c>
      <c r="C81" s="502"/>
      <c r="D81" s="503" t="s">
        <v>3020</v>
      </c>
    </row>
    <row r="82" spans="1:4">
      <c r="A82" s="519" t="s">
        <v>3021</v>
      </c>
      <c r="B82" s="512">
        <v>4736</v>
      </c>
      <c r="C82" s="502"/>
      <c r="D82" s="503" t="s">
        <v>3022</v>
      </c>
    </row>
    <row r="83" spans="1:4">
      <c r="A83" s="519" t="s">
        <v>3023</v>
      </c>
      <c r="B83" s="512">
        <v>1184</v>
      </c>
      <c r="C83" s="502"/>
      <c r="D83" s="503" t="s">
        <v>3024</v>
      </c>
    </row>
    <row r="84" spans="1:4">
      <c r="A84" s="517" t="s">
        <v>793</v>
      </c>
      <c r="B84" s="510">
        <v>1668</v>
      </c>
      <c r="C84" s="516"/>
      <c r="D84" s="499"/>
    </row>
    <row r="85" spans="1:4">
      <c r="A85" s="517" t="s">
        <v>794</v>
      </c>
      <c r="B85" s="510">
        <v>1211</v>
      </c>
      <c r="C85" s="516"/>
      <c r="D85" s="499"/>
    </row>
    <row r="86" spans="1:4">
      <c r="A86" s="517" t="s">
        <v>1080</v>
      </c>
      <c r="B86" s="510">
        <v>3079</v>
      </c>
      <c r="C86" s="516"/>
      <c r="D86" s="499"/>
    </row>
    <row r="87" spans="1:4">
      <c r="A87" s="517" t="s">
        <v>1081</v>
      </c>
      <c r="B87" s="510">
        <v>1830</v>
      </c>
      <c r="C87" s="516" t="s">
        <v>1082</v>
      </c>
      <c r="D87" s="499"/>
    </row>
    <row r="88" spans="1:4">
      <c r="A88" s="517" t="s">
        <v>795</v>
      </c>
      <c r="B88" s="510">
        <v>904</v>
      </c>
      <c r="C88" s="516" t="s">
        <v>1063</v>
      </c>
      <c r="D88" s="499"/>
    </row>
    <row r="89" spans="1:4">
      <c r="A89" s="517" t="s">
        <v>796</v>
      </c>
      <c r="B89" s="510">
        <v>904</v>
      </c>
      <c r="C89" s="516"/>
      <c r="D89" s="499"/>
    </row>
    <row r="90" spans="1:4">
      <c r="A90" s="517" t="s">
        <v>797</v>
      </c>
      <c r="B90" s="510">
        <v>2174</v>
      </c>
      <c r="C90" s="516"/>
      <c r="D90" s="499"/>
    </row>
    <row r="91" spans="1:4">
      <c r="A91" s="518" t="s">
        <v>1083</v>
      </c>
      <c r="B91" s="511">
        <v>4898</v>
      </c>
      <c r="C91" s="500" t="s">
        <v>2709</v>
      </c>
      <c r="D91" s="501" t="s">
        <v>2708</v>
      </c>
    </row>
    <row r="92" spans="1:4">
      <c r="A92" s="518" t="s">
        <v>1084</v>
      </c>
      <c r="B92" s="511">
        <v>4898</v>
      </c>
      <c r="C92" s="500" t="s">
        <v>2709</v>
      </c>
      <c r="D92" s="501" t="s">
        <v>2708</v>
      </c>
    </row>
    <row r="93" spans="1:4">
      <c r="A93" s="518" t="s">
        <v>1085</v>
      </c>
      <c r="B93" s="511">
        <v>4898</v>
      </c>
      <c r="C93" s="500" t="s">
        <v>2709</v>
      </c>
      <c r="D93" s="501" t="s">
        <v>2708</v>
      </c>
    </row>
    <row r="94" spans="1:4">
      <c r="A94" s="518" t="s">
        <v>1086</v>
      </c>
      <c r="B94" s="511">
        <v>5005</v>
      </c>
      <c r="C94" s="500" t="s">
        <v>2709</v>
      </c>
      <c r="D94" s="501" t="s">
        <v>2708</v>
      </c>
    </row>
    <row r="95" spans="1:4">
      <c r="A95" s="518" t="s">
        <v>1087</v>
      </c>
      <c r="B95" s="511">
        <v>5005</v>
      </c>
      <c r="C95" s="500" t="s">
        <v>2709</v>
      </c>
      <c r="D95" s="501" t="s">
        <v>2708</v>
      </c>
    </row>
    <row r="96" spans="1:4">
      <c r="A96" s="520" t="s">
        <v>1088</v>
      </c>
      <c r="B96" s="513">
        <v>5005</v>
      </c>
      <c r="C96" s="500" t="s">
        <v>2709</v>
      </c>
      <c r="D96" s="501" t="s">
        <v>2708</v>
      </c>
    </row>
    <row r="97" spans="1:4">
      <c r="A97" s="521" t="s">
        <v>1089</v>
      </c>
      <c r="B97" s="514">
        <v>1738</v>
      </c>
      <c r="C97" s="516"/>
      <c r="D97" s="499"/>
    </row>
    <row r="98" spans="1:4">
      <c r="A98" s="521" t="s">
        <v>1090</v>
      </c>
      <c r="B98" s="514">
        <v>592</v>
      </c>
      <c r="C98" s="516"/>
      <c r="D98" s="499"/>
    </row>
    <row r="99" spans="1:4">
      <c r="A99" s="521" t="s">
        <v>1091</v>
      </c>
      <c r="B99" s="514">
        <v>915</v>
      </c>
      <c r="C99" s="516"/>
      <c r="D99" s="499"/>
    </row>
    <row r="100" spans="1:4">
      <c r="A100" s="520" t="s">
        <v>1092</v>
      </c>
      <c r="B100" s="513">
        <v>3800</v>
      </c>
      <c r="C100" s="500" t="s">
        <v>2709</v>
      </c>
      <c r="D100" s="501" t="s">
        <v>2708</v>
      </c>
    </row>
    <row r="101" spans="1:4">
      <c r="A101" s="521" t="s">
        <v>1093</v>
      </c>
      <c r="B101" s="514">
        <v>403</v>
      </c>
      <c r="C101" s="516"/>
      <c r="D101" s="499"/>
    </row>
    <row r="102" spans="1:4">
      <c r="A102" s="521" t="s">
        <v>1094</v>
      </c>
      <c r="B102" s="514">
        <v>716</v>
      </c>
      <c r="C102" s="516"/>
      <c r="D102" s="499"/>
    </row>
    <row r="103" spans="1:4">
      <c r="A103" s="521" t="s">
        <v>1095</v>
      </c>
      <c r="B103" s="514">
        <v>848</v>
      </c>
      <c r="C103" s="516"/>
      <c r="D103" s="499"/>
    </row>
    <row r="104" spans="1:4">
      <c r="A104" s="521" t="s">
        <v>1096</v>
      </c>
      <c r="B104" s="514">
        <v>942</v>
      </c>
      <c r="C104" s="516"/>
      <c r="D104" s="499"/>
    </row>
    <row r="105" spans="1:4">
      <c r="A105" s="521" t="s">
        <v>1097</v>
      </c>
      <c r="B105" s="514">
        <v>248</v>
      </c>
      <c r="C105" s="516"/>
      <c r="D105" s="499"/>
    </row>
    <row r="106" spans="1:4">
      <c r="A106" s="521" t="s">
        <v>1098</v>
      </c>
      <c r="B106" s="514">
        <v>258</v>
      </c>
      <c r="C106" s="516"/>
      <c r="D106" s="499"/>
    </row>
    <row r="107" spans="1:4" ht="22.05" customHeight="1">
      <c r="A107" s="521" t="s">
        <v>791</v>
      </c>
      <c r="B107" s="514">
        <v>1206</v>
      </c>
      <c r="C107" s="516"/>
      <c r="D107" s="499"/>
    </row>
    <row r="108" spans="1:4">
      <c r="A108" s="521" t="s">
        <v>1099</v>
      </c>
      <c r="B108" s="514">
        <v>3229</v>
      </c>
      <c r="C108" s="516"/>
      <c r="D108" s="499"/>
    </row>
    <row r="109" spans="1:4">
      <c r="A109" s="520" t="s">
        <v>1100</v>
      </c>
      <c r="B109" s="513">
        <v>4252</v>
      </c>
      <c r="C109" s="500" t="s">
        <v>2709</v>
      </c>
      <c r="D109" s="501" t="s">
        <v>2708</v>
      </c>
    </row>
    <row r="110" spans="1:4">
      <c r="A110" s="520" t="s">
        <v>1101</v>
      </c>
      <c r="B110" s="513">
        <v>4252</v>
      </c>
      <c r="C110" s="500" t="s">
        <v>2709</v>
      </c>
      <c r="D110" s="501" t="s">
        <v>2708</v>
      </c>
    </row>
    <row r="111" spans="1:4">
      <c r="A111" s="520" t="s">
        <v>1102</v>
      </c>
      <c r="B111" s="513">
        <v>6674</v>
      </c>
      <c r="C111" s="500" t="s">
        <v>2709</v>
      </c>
      <c r="D111" s="501" t="s">
        <v>2708</v>
      </c>
    </row>
    <row r="112" spans="1:4" ht="15" thickBot="1">
      <c r="A112" s="522" t="s">
        <v>1103</v>
      </c>
      <c r="B112" s="515">
        <v>5974</v>
      </c>
      <c r="C112" s="504" t="s">
        <v>2709</v>
      </c>
      <c r="D112" s="505" t="s">
        <v>2708</v>
      </c>
    </row>
    <row r="114" spans="1:7" ht="15" thickBot="1">
      <c r="A114" s="407" t="s">
        <v>2808</v>
      </c>
      <c r="B114" s="407"/>
      <c r="C114" s="407"/>
      <c r="D114" s="407"/>
      <c r="E114" s="407"/>
      <c r="F114" s="407"/>
      <c r="G114" s="407"/>
    </row>
    <row r="115" spans="1:7" ht="30" customHeight="1">
      <c r="A115" s="524" t="s">
        <v>723</v>
      </c>
      <c r="B115" s="525" t="s">
        <v>2809</v>
      </c>
      <c r="C115" s="525" t="s">
        <v>2810</v>
      </c>
      <c r="D115" s="525" t="s">
        <v>724</v>
      </c>
      <c r="E115" s="525" t="s">
        <v>2811</v>
      </c>
      <c r="F115" s="526" t="s">
        <v>2812</v>
      </c>
      <c r="G115" s="407" t="s">
        <v>569</v>
      </c>
    </row>
    <row r="116" spans="1:7">
      <c r="A116" s="531">
        <v>1</v>
      </c>
      <c r="B116" s="498" t="s">
        <v>725</v>
      </c>
      <c r="C116" s="498" t="s">
        <v>2813</v>
      </c>
      <c r="D116" s="527">
        <v>646</v>
      </c>
      <c r="E116" s="527">
        <v>592</v>
      </c>
      <c r="F116" s="528">
        <v>-54</v>
      </c>
      <c r="G116" t="s">
        <v>726</v>
      </c>
    </row>
    <row r="117" spans="1:7">
      <c r="A117" s="531">
        <v>2</v>
      </c>
      <c r="B117" s="498" t="s">
        <v>727</v>
      </c>
      <c r="C117" s="498" t="s">
        <v>2813</v>
      </c>
      <c r="D117" s="527">
        <v>754</v>
      </c>
      <c r="E117" s="527">
        <v>700</v>
      </c>
      <c r="F117" s="528">
        <v>-54</v>
      </c>
      <c r="G117" t="s">
        <v>728</v>
      </c>
    </row>
    <row r="118" spans="1:7">
      <c r="A118" s="531">
        <v>3</v>
      </c>
      <c r="B118" s="498" t="s">
        <v>729</v>
      </c>
      <c r="C118" s="498" t="s">
        <v>2813</v>
      </c>
      <c r="D118" s="527">
        <v>1023</v>
      </c>
      <c r="E118" s="527">
        <v>807</v>
      </c>
      <c r="F118" s="528">
        <v>-216</v>
      </c>
      <c r="G118" t="s">
        <v>2814</v>
      </c>
    </row>
    <row r="119" spans="1:7">
      <c r="A119" s="531">
        <v>4</v>
      </c>
      <c r="B119" s="498" t="s">
        <v>730</v>
      </c>
      <c r="C119" s="498" t="s">
        <v>2813</v>
      </c>
      <c r="D119" s="527">
        <v>571</v>
      </c>
      <c r="E119" s="527">
        <v>570</v>
      </c>
      <c r="F119" s="528">
        <v>-1</v>
      </c>
      <c r="G119" t="s">
        <v>2815</v>
      </c>
    </row>
    <row r="120" spans="1:7">
      <c r="A120" s="531">
        <v>5</v>
      </c>
      <c r="B120" s="498" t="s">
        <v>1094</v>
      </c>
      <c r="C120" s="498" t="s">
        <v>2813</v>
      </c>
      <c r="D120" s="527">
        <v>820</v>
      </c>
      <c r="E120" s="527">
        <v>716</v>
      </c>
      <c r="F120" s="528">
        <v>-104</v>
      </c>
      <c r="G120" t="s">
        <v>2816</v>
      </c>
    </row>
    <row r="121" spans="1:7">
      <c r="A121" s="531">
        <v>6</v>
      </c>
      <c r="B121" s="498" t="s">
        <v>731</v>
      </c>
      <c r="C121" s="498" t="s">
        <v>2813</v>
      </c>
      <c r="D121" s="527">
        <v>1023</v>
      </c>
      <c r="E121" s="527">
        <v>848</v>
      </c>
      <c r="F121" s="528">
        <v>-175</v>
      </c>
      <c r="G121" t="s">
        <v>2817</v>
      </c>
    </row>
    <row r="122" spans="1:7">
      <c r="A122" s="531">
        <v>7</v>
      </c>
      <c r="B122" s="498" t="s">
        <v>732</v>
      </c>
      <c r="C122" s="498" t="s">
        <v>2813</v>
      </c>
      <c r="D122" s="527">
        <v>1159</v>
      </c>
      <c r="E122" s="527">
        <v>942</v>
      </c>
      <c r="F122" s="528">
        <v>-217</v>
      </c>
      <c r="G122" t="s">
        <v>2818</v>
      </c>
    </row>
    <row r="123" spans="1:7">
      <c r="A123" s="531">
        <v>8</v>
      </c>
      <c r="B123" s="498" t="s">
        <v>1064</v>
      </c>
      <c r="C123" s="498" t="s">
        <v>2813</v>
      </c>
      <c r="D123" s="527">
        <v>400</v>
      </c>
      <c r="E123" s="527">
        <v>301</v>
      </c>
      <c r="F123" s="528">
        <v>-99</v>
      </c>
      <c r="G123" t="s">
        <v>2819</v>
      </c>
    </row>
    <row r="124" spans="1:7">
      <c r="A124" s="531">
        <v>9</v>
      </c>
      <c r="B124" s="498" t="s">
        <v>1065</v>
      </c>
      <c r="C124" s="498" t="s">
        <v>2813</v>
      </c>
      <c r="D124" s="527">
        <v>600</v>
      </c>
      <c r="E124" s="527">
        <v>398</v>
      </c>
      <c r="F124" s="528">
        <v>-202</v>
      </c>
      <c r="G124" t="s">
        <v>2820</v>
      </c>
    </row>
    <row r="125" spans="1:7">
      <c r="A125" s="531">
        <v>10</v>
      </c>
      <c r="B125" s="498" t="s">
        <v>1066</v>
      </c>
      <c r="C125" s="498" t="s">
        <v>2813</v>
      </c>
      <c r="D125" s="527">
        <v>700</v>
      </c>
      <c r="E125" s="527">
        <v>646</v>
      </c>
      <c r="F125" s="528">
        <v>-54</v>
      </c>
      <c r="G125" t="s">
        <v>2821</v>
      </c>
    </row>
    <row r="126" spans="1:7">
      <c r="A126" s="531">
        <v>11</v>
      </c>
      <c r="B126" s="498" t="s">
        <v>1076</v>
      </c>
      <c r="C126" s="498" t="s">
        <v>2813</v>
      </c>
      <c r="D126" s="527">
        <v>700</v>
      </c>
      <c r="E126" s="527">
        <v>872</v>
      </c>
      <c r="F126" s="528">
        <v>172</v>
      </c>
      <c r="G126" t="s">
        <v>2822</v>
      </c>
    </row>
    <row r="127" spans="1:7">
      <c r="A127" s="531">
        <v>12</v>
      </c>
      <c r="B127" s="498" t="s">
        <v>1056</v>
      </c>
      <c r="C127" s="498" t="s">
        <v>2813</v>
      </c>
      <c r="D127" s="527">
        <v>1065</v>
      </c>
      <c r="E127" s="527">
        <v>883</v>
      </c>
      <c r="F127" s="528">
        <v>-182</v>
      </c>
      <c r="G127" t="s">
        <v>2823</v>
      </c>
    </row>
    <row r="128" spans="1:7">
      <c r="A128" s="531">
        <v>13</v>
      </c>
      <c r="B128" s="498" t="s">
        <v>1057</v>
      </c>
      <c r="C128" s="498" t="s">
        <v>2813</v>
      </c>
      <c r="D128" s="527">
        <v>1270</v>
      </c>
      <c r="E128" s="527">
        <v>861</v>
      </c>
      <c r="F128" s="528">
        <v>-409</v>
      </c>
      <c r="G128" t="s">
        <v>2824</v>
      </c>
    </row>
    <row r="129" spans="1:7">
      <c r="A129" s="531">
        <v>14</v>
      </c>
      <c r="B129" s="498" t="s">
        <v>1069</v>
      </c>
      <c r="C129" s="498" t="s">
        <v>2813</v>
      </c>
      <c r="D129" s="527">
        <v>1400</v>
      </c>
      <c r="E129" s="527">
        <v>893</v>
      </c>
      <c r="F129" s="528">
        <v>-507</v>
      </c>
      <c r="G129" t="s">
        <v>2825</v>
      </c>
    </row>
    <row r="130" spans="1:7">
      <c r="A130" s="531">
        <v>15</v>
      </c>
      <c r="B130" s="498" t="s">
        <v>1058</v>
      </c>
      <c r="C130" s="498" t="s">
        <v>2813</v>
      </c>
      <c r="D130" s="527">
        <v>2636</v>
      </c>
      <c r="E130" s="527">
        <v>1329</v>
      </c>
      <c r="F130" s="528">
        <v>-1307</v>
      </c>
      <c r="G130" t="s">
        <v>2826</v>
      </c>
    </row>
    <row r="131" spans="1:7">
      <c r="A131" s="531">
        <v>16</v>
      </c>
      <c r="B131" s="498" t="s">
        <v>1060</v>
      </c>
      <c r="C131" s="498" t="s">
        <v>2813</v>
      </c>
      <c r="D131" s="527">
        <v>2679</v>
      </c>
      <c r="E131" s="527">
        <v>1766</v>
      </c>
      <c r="F131" s="528">
        <v>-913</v>
      </c>
      <c r="G131" t="s">
        <v>2827</v>
      </c>
    </row>
    <row r="132" spans="1:7">
      <c r="A132" s="531">
        <v>17</v>
      </c>
      <c r="B132" s="498" t="s">
        <v>733</v>
      </c>
      <c r="C132" s="498" t="s">
        <v>2828</v>
      </c>
      <c r="D132" s="527">
        <v>264</v>
      </c>
      <c r="E132" s="527">
        <v>264</v>
      </c>
      <c r="F132" s="528">
        <v>0</v>
      </c>
      <c r="G132" t="s">
        <v>2829</v>
      </c>
    </row>
    <row r="133" spans="1:7">
      <c r="A133" s="531">
        <v>18</v>
      </c>
      <c r="B133" s="498" t="s">
        <v>734</v>
      </c>
      <c r="C133" s="498" t="s">
        <v>2828</v>
      </c>
      <c r="D133" s="527">
        <v>517</v>
      </c>
      <c r="E133" s="527">
        <v>517</v>
      </c>
      <c r="F133" s="528">
        <v>0</v>
      </c>
      <c r="G133" t="s">
        <v>2829</v>
      </c>
    </row>
    <row r="134" spans="1:7">
      <c r="A134" s="531">
        <v>19</v>
      </c>
      <c r="B134" s="498" t="s">
        <v>735</v>
      </c>
      <c r="C134" s="498" t="s">
        <v>2830</v>
      </c>
      <c r="D134" s="527">
        <v>915</v>
      </c>
      <c r="E134" s="527">
        <v>915</v>
      </c>
      <c r="F134" s="528">
        <v>0</v>
      </c>
      <c r="G134" t="s">
        <v>736</v>
      </c>
    </row>
    <row r="135" spans="1:7">
      <c r="A135" s="531">
        <v>20</v>
      </c>
      <c r="B135" s="498" t="s">
        <v>737</v>
      </c>
      <c r="C135" s="498" t="s">
        <v>2828</v>
      </c>
      <c r="D135" s="527">
        <v>439</v>
      </c>
      <c r="E135" s="527">
        <v>403</v>
      </c>
      <c r="F135" s="528">
        <v>0</v>
      </c>
      <c r="G135" t="s">
        <v>2829</v>
      </c>
    </row>
    <row r="136" spans="1:7">
      <c r="A136" s="531">
        <v>21</v>
      </c>
      <c r="B136" s="498" t="s">
        <v>738</v>
      </c>
      <c r="C136" s="498" t="s">
        <v>2831</v>
      </c>
      <c r="D136" s="527"/>
      <c r="E136" s="527">
        <v>242</v>
      </c>
      <c r="F136" s="528"/>
      <c r="G136" t="s">
        <v>739</v>
      </c>
    </row>
    <row r="137" spans="1:7">
      <c r="A137" s="531">
        <v>22</v>
      </c>
      <c r="B137" s="498" t="s">
        <v>740</v>
      </c>
      <c r="C137" s="498" t="s">
        <v>2831</v>
      </c>
      <c r="D137" s="527"/>
      <c r="E137" s="527">
        <v>409</v>
      </c>
      <c r="F137" s="528"/>
    </row>
    <row r="138" spans="1:7">
      <c r="A138" s="531">
        <v>23</v>
      </c>
      <c r="B138" s="498" t="s">
        <v>741</v>
      </c>
      <c r="C138" s="498" t="s">
        <v>2831</v>
      </c>
      <c r="D138" s="527"/>
      <c r="E138" s="527">
        <v>517</v>
      </c>
      <c r="F138" s="528"/>
    </row>
    <row r="139" spans="1:7">
      <c r="A139" s="531">
        <v>24</v>
      </c>
      <c r="B139" s="498" t="s">
        <v>742</v>
      </c>
      <c r="C139" s="498" t="s">
        <v>2831</v>
      </c>
      <c r="D139" s="527"/>
      <c r="E139" s="527">
        <v>403</v>
      </c>
      <c r="F139" s="528"/>
    </row>
    <row r="140" spans="1:7">
      <c r="A140" s="531">
        <v>25</v>
      </c>
      <c r="B140" s="498" t="s">
        <v>743</v>
      </c>
      <c r="C140" s="498" t="s">
        <v>2831</v>
      </c>
      <c r="D140" s="527"/>
      <c r="E140" s="527">
        <v>622</v>
      </c>
      <c r="F140" s="528"/>
    </row>
    <row r="141" spans="1:7">
      <c r="A141" s="531">
        <v>26</v>
      </c>
      <c r="B141" s="498" t="s">
        <v>744</v>
      </c>
      <c r="C141" s="498" t="s">
        <v>2831</v>
      </c>
      <c r="D141" s="527"/>
      <c r="E141" s="527">
        <v>695</v>
      </c>
      <c r="F141" s="528"/>
    </row>
    <row r="142" spans="1:7">
      <c r="A142" s="531">
        <v>27</v>
      </c>
      <c r="B142" s="498" t="s">
        <v>745</v>
      </c>
      <c r="C142" s="498" t="s">
        <v>2831</v>
      </c>
      <c r="D142" s="527"/>
      <c r="E142" s="527">
        <v>787</v>
      </c>
      <c r="F142" s="528"/>
    </row>
    <row r="143" spans="1:7">
      <c r="A143" s="531">
        <v>28</v>
      </c>
      <c r="B143" s="498" t="s">
        <v>1059</v>
      </c>
      <c r="C143" s="498" t="s">
        <v>2832</v>
      </c>
      <c r="D143" s="527">
        <v>3314</v>
      </c>
      <c r="E143" s="527">
        <v>969</v>
      </c>
      <c r="F143" s="528">
        <v>-2345</v>
      </c>
      <c r="G143" t="s">
        <v>2833</v>
      </c>
    </row>
    <row r="144" spans="1:7">
      <c r="A144" s="531">
        <v>29</v>
      </c>
      <c r="B144" s="498" t="s">
        <v>1062</v>
      </c>
      <c r="C144" s="498" t="s">
        <v>2832</v>
      </c>
      <c r="D144" s="527">
        <v>4412</v>
      </c>
      <c r="E144" s="527">
        <v>1432</v>
      </c>
      <c r="F144" s="528">
        <v>-2980</v>
      </c>
      <c r="G144" t="s">
        <v>2833</v>
      </c>
    </row>
    <row r="145" spans="1:7">
      <c r="A145" s="531">
        <v>30</v>
      </c>
      <c r="B145" s="498" t="s">
        <v>746</v>
      </c>
      <c r="C145" s="498" t="s">
        <v>2813</v>
      </c>
      <c r="D145" s="527">
        <v>915</v>
      </c>
      <c r="E145" s="527">
        <v>1023</v>
      </c>
      <c r="F145" s="528"/>
      <c r="G145" t="s">
        <v>2834</v>
      </c>
    </row>
    <row r="146" spans="1:7">
      <c r="A146" s="531">
        <v>31</v>
      </c>
      <c r="B146" s="498" t="s">
        <v>747</v>
      </c>
      <c r="C146" s="498" t="s">
        <v>2835</v>
      </c>
      <c r="D146" s="527">
        <v>3917</v>
      </c>
      <c r="E146" s="527"/>
      <c r="F146" s="528"/>
      <c r="G146" t="s">
        <v>2836</v>
      </c>
    </row>
    <row r="147" spans="1:7">
      <c r="A147" s="531">
        <v>32</v>
      </c>
      <c r="B147" s="498" t="s">
        <v>748</v>
      </c>
      <c r="C147" s="498" t="s">
        <v>2813</v>
      </c>
      <c r="D147" s="527">
        <v>1216</v>
      </c>
      <c r="E147" s="527">
        <v>1184</v>
      </c>
      <c r="F147" s="528"/>
      <c r="G147" t="s">
        <v>2837</v>
      </c>
    </row>
    <row r="148" spans="1:7">
      <c r="A148" s="531">
        <v>33</v>
      </c>
      <c r="B148" s="498" t="s">
        <v>749</v>
      </c>
      <c r="C148" s="498" t="s">
        <v>2813</v>
      </c>
      <c r="D148" s="527">
        <v>1388</v>
      </c>
      <c r="E148" s="527">
        <v>1292</v>
      </c>
      <c r="F148" s="528"/>
      <c r="G148" t="s">
        <v>2837</v>
      </c>
    </row>
    <row r="149" spans="1:7">
      <c r="A149" s="531">
        <v>34</v>
      </c>
      <c r="B149" s="498" t="s">
        <v>750</v>
      </c>
      <c r="C149" s="498" t="s">
        <v>2813</v>
      </c>
      <c r="D149" s="527">
        <v>1517</v>
      </c>
      <c r="E149" s="527">
        <v>1399</v>
      </c>
      <c r="F149" s="528"/>
      <c r="G149" t="s">
        <v>2837</v>
      </c>
    </row>
    <row r="150" spans="1:7">
      <c r="A150" s="531">
        <v>35</v>
      </c>
      <c r="B150" s="498" t="s">
        <v>751</v>
      </c>
      <c r="C150" s="498" t="s">
        <v>2813</v>
      </c>
      <c r="D150" s="527">
        <v>3121</v>
      </c>
      <c r="E150" s="527">
        <v>3122</v>
      </c>
      <c r="F150" s="528">
        <v>-42</v>
      </c>
      <c r="G150" t="s">
        <v>2837</v>
      </c>
    </row>
    <row r="151" spans="1:7">
      <c r="A151" s="531">
        <v>36</v>
      </c>
      <c r="B151" s="498" t="s">
        <v>752</v>
      </c>
      <c r="C151" s="498" t="s">
        <v>2813</v>
      </c>
      <c r="D151" s="527">
        <v>1432</v>
      </c>
      <c r="E151" s="527">
        <v>1432</v>
      </c>
      <c r="F151" s="528">
        <v>178</v>
      </c>
      <c r="G151" t="s">
        <v>2837</v>
      </c>
    </row>
    <row r="152" spans="1:7">
      <c r="A152" s="531">
        <v>37</v>
      </c>
      <c r="B152" s="498" t="s">
        <v>753</v>
      </c>
      <c r="C152" s="498" t="s">
        <v>2813</v>
      </c>
      <c r="D152" s="527">
        <v>2200</v>
      </c>
      <c r="E152" s="527">
        <v>2336</v>
      </c>
      <c r="F152" s="528">
        <v>227</v>
      </c>
      <c r="G152" t="s">
        <v>2837</v>
      </c>
    </row>
    <row r="153" spans="1:7">
      <c r="A153" s="531">
        <v>38</v>
      </c>
      <c r="B153" s="498" t="s">
        <v>754</v>
      </c>
      <c r="C153" s="498" t="s">
        <v>2813</v>
      </c>
      <c r="D153" s="527">
        <v>3497</v>
      </c>
      <c r="E153" s="527">
        <v>3466</v>
      </c>
      <c r="F153" s="528">
        <v>-774</v>
      </c>
      <c r="G153" t="s">
        <v>2837</v>
      </c>
    </row>
    <row r="154" spans="1:7">
      <c r="A154" s="531">
        <v>39</v>
      </c>
      <c r="B154" s="498" t="s">
        <v>755</v>
      </c>
      <c r="C154" s="498" t="s">
        <v>2813</v>
      </c>
      <c r="D154" s="527">
        <v>1076</v>
      </c>
      <c r="E154" s="527">
        <v>805</v>
      </c>
      <c r="F154" s="528">
        <v>-271</v>
      </c>
      <c r="G154" t="s">
        <v>2838</v>
      </c>
    </row>
    <row r="155" spans="1:7">
      <c r="A155" s="531">
        <v>40</v>
      </c>
      <c r="B155" s="498" t="s">
        <v>756</v>
      </c>
      <c r="C155" s="498" t="s">
        <v>2813</v>
      </c>
      <c r="D155" s="527">
        <v>1937</v>
      </c>
      <c r="E155" s="527">
        <v>1113</v>
      </c>
      <c r="F155" s="528">
        <v>-824</v>
      </c>
      <c r="G155" t="s">
        <v>2839</v>
      </c>
    </row>
    <row r="156" spans="1:7">
      <c r="A156" s="531">
        <v>41</v>
      </c>
      <c r="B156" s="498" t="s">
        <v>757</v>
      </c>
      <c r="C156" s="498" t="s">
        <v>2813</v>
      </c>
      <c r="D156" s="527">
        <v>824</v>
      </c>
      <c r="E156" s="527">
        <v>646</v>
      </c>
      <c r="F156" s="528">
        <v>-178</v>
      </c>
      <c r="G156" t="s">
        <v>2837</v>
      </c>
    </row>
    <row r="157" spans="1:7">
      <c r="A157" s="531">
        <v>42</v>
      </c>
      <c r="B157" s="498" t="s">
        <v>758</v>
      </c>
      <c r="C157" s="498" t="s">
        <v>2813</v>
      </c>
      <c r="D157" s="527">
        <v>1006</v>
      </c>
      <c r="E157" s="527">
        <v>678</v>
      </c>
      <c r="F157" s="528">
        <v>-328</v>
      </c>
      <c r="G157" t="s">
        <v>2837</v>
      </c>
    </row>
    <row r="158" spans="1:7">
      <c r="A158" s="531">
        <v>43</v>
      </c>
      <c r="B158" s="498" t="s">
        <v>759</v>
      </c>
      <c r="C158" s="498" t="s">
        <v>2813</v>
      </c>
      <c r="D158" s="527">
        <v>1033</v>
      </c>
      <c r="E158" s="527">
        <v>732</v>
      </c>
      <c r="F158" s="528">
        <v>-301</v>
      </c>
      <c r="G158" t="s">
        <v>2837</v>
      </c>
    </row>
    <row r="159" spans="1:7">
      <c r="A159" s="531">
        <v>44</v>
      </c>
      <c r="B159" s="498" t="s">
        <v>760</v>
      </c>
      <c r="C159" s="498" t="s">
        <v>2813</v>
      </c>
      <c r="D159" s="527">
        <v>2637</v>
      </c>
      <c r="E159" s="527">
        <v>1423</v>
      </c>
      <c r="F159" s="528">
        <v>-1214</v>
      </c>
      <c r="G159" t="s">
        <v>2837</v>
      </c>
    </row>
    <row r="160" spans="1:7">
      <c r="A160" s="531">
        <v>45</v>
      </c>
      <c r="B160" s="498" t="s">
        <v>761</v>
      </c>
      <c r="C160" s="498" t="s">
        <v>2813</v>
      </c>
      <c r="D160" s="527">
        <v>1184</v>
      </c>
      <c r="E160" s="527">
        <v>732</v>
      </c>
      <c r="F160" s="528">
        <v>-452</v>
      </c>
      <c r="G160" t="s">
        <v>2837</v>
      </c>
    </row>
    <row r="161" spans="1:7">
      <c r="A161" s="531">
        <v>46</v>
      </c>
      <c r="B161" s="498" t="s">
        <v>762</v>
      </c>
      <c r="C161" s="498" t="s">
        <v>2813</v>
      </c>
      <c r="D161" s="527">
        <v>1291</v>
      </c>
      <c r="E161" s="527">
        <v>786</v>
      </c>
      <c r="F161" s="528">
        <v>-505</v>
      </c>
      <c r="G161" t="s">
        <v>2837</v>
      </c>
    </row>
    <row r="162" spans="1:7">
      <c r="A162" s="531">
        <v>47</v>
      </c>
      <c r="B162" s="498" t="s">
        <v>763</v>
      </c>
      <c r="C162" s="498" t="s">
        <v>2813</v>
      </c>
      <c r="D162" s="527">
        <v>4670</v>
      </c>
      <c r="E162" s="527">
        <v>1480</v>
      </c>
      <c r="F162" s="528">
        <v>-3190</v>
      </c>
      <c r="G162" t="s">
        <v>2840</v>
      </c>
    </row>
    <row r="163" spans="1:7">
      <c r="A163" s="531">
        <v>48</v>
      </c>
      <c r="B163" s="498" t="s">
        <v>764</v>
      </c>
      <c r="C163" s="498" t="s">
        <v>2828</v>
      </c>
      <c r="D163" s="527">
        <v>1937</v>
      </c>
      <c r="E163" s="527">
        <v>2422</v>
      </c>
      <c r="F163" s="528"/>
      <c r="G163" t="s">
        <v>2829</v>
      </c>
    </row>
    <row r="164" spans="1:7">
      <c r="A164" s="531">
        <v>49</v>
      </c>
      <c r="B164" s="498" t="s">
        <v>765</v>
      </c>
      <c r="C164" s="498" t="s">
        <v>2828</v>
      </c>
      <c r="D164" s="527">
        <v>2196</v>
      </c>
      <c r="E164" s="527">
        <v>2745</v>
      </c>
      <c r="F164" s="528"/>
      <c r="G164" t="s">
        <v>2829</v>
      </c>
    </row>
    <row r="165" spans="1:7">
      <c r="A165" s="531">
        <v>50</v>
      </c>
      <c r="B165" s="498" t="s">
        <v>766</v>
      </c>
      <c r="C165" s="498" t="s">
        <v>2828</v>
      </c>
      <c r="D165" s="527">
        <v>2368</v>
      </c>
      <c r="E165" s="527">
        <v>2960</v>
      </c>
      <c r="F165" s="528"/>
      <c r="G165" t="s">
        <v>2829</v>
      </c>
    </row>
    <row r="166" spans="1:7">
      <c r="A166" s="531">
        <v>51</v>
      </c>
      <c r="B166" s="498" t="s">
        <v>767</v>
      </c>
      <c r="C166" s="498" t="s">
        <v>2813</v>
      </c>
      <c r="D166" s="527">
        <v>1100</v>
      </c>
      <c r="E166" s="527">
        <v>700</v>
      </c>
      <c r="F166" s="528">
        <v>-400</v>
      </c>
      <c r="G166" t="s">
        <v>2837</v>
      </c>
    </row>
    <row r="167" spans="1:7">
      <c r="A167" s="531">
        <v>52</v>
      </c>
      <c r="B167" s="498" t="s">
        <v>768</v>
      </c>
      <c r="C167" s="498" t="s">
        <v>2828</v>
      </c>
      <c r="D167" s="527">
        <v>1700</v>
      </c>
      <c r="E167" s="527">
        <v>6674</v>
      </c>
      <c r="F167" s="528"/>
      <c r="G167" t="s">
        <v>2829</v>
      </c>
    </row>
    <row r="168" spans="1:7">
      <c r="A168" s="531">
        <v>53</v>
      </c>
      <c r="B168" s="498" t="s">
        <v>769</v>
      </c>
      <c r="C168" s="498" t="s">
        <v>2813</v>
      </c>
      <c r="D168" s="527">
        <v>900</v>
      </c>
      <c r="E168" s="527">
        <v>807</v>
      </c>
      <c r="F168" s="528">
        <v>-93</v>
      </c>
      <c r="G168" t="s">
        <v>2837</v>
      </c>
    </row>
    <row r="169" spans="1:7">
      <c r="A169" s="531">
        <v>54</v>
      </c>
      <c r="B169" s="498" t="s">
        <v>1070</v>
      </c>
      <c r="C169" s="498" t="s">
        <v>2828</v>
      </c>
      <c r="D169" s="527">
        <v>1300</v>
      </c>
      <c r="E169" s="527">
        <v>1300</v>
      </c>
      <c r="F169" s="528"/>
      <c r="G169" t="s">
        <v>2836</v>
      </c>
    </row>
    <row r="170" spans="1:7">
      <c r="A170" s="531">
        <v>55</v>
      </c>
      <c r="B170" s="498" t="s">
        <v>1071</v>
      </c>
      <c r="C170" s="498" t="s">
        <v>2828</v>
      </c>
      <c r="D170" s="527">
        <v>1350</v>
      </c>
      <c r="E170" s="527">
        <v>1350</v>
      </c>
      <c r="F170" s="528"/>
      <c r="G170" t="s">
        <v>2836</v>
      </c>
    </row>
    <row r="171" spans="1:7">
      <c r="A171" s="531">
        <v>56</v>
      </c>
      <c r="B171" s="498" t="s">
        <v>1072</v>
      </c>
      <c r="C171" s="498" t="s">
        <v>2828</v>
      </c>
      <c r="D171" s="527">
        <v>1600</v>
      </c>
      <c r="E171" s="527">
        <v>1600</v>
      </c>
      <c r="F171" s="528"/>
      <c r="G171" t="s">
        <v>2836</v>
      </c>
    </row>
    <row r="172" spans="1:7">
      <c r="A172" s="531">
        <v>57</v>
      </c>
      <c r="B172" s="498" t="s">
        <v>770</v>
      </c>
      <c r="C172" s="498" t="s">
        <v>2813</v>
      </c>
      <c r="D172" s="527">
        <v>2195</v>
      </c>
      <c r="E172" s="527">
        <v>2260</v>
      </c>
      <c r="F172" s="528"/>
      <c r="G172" t="s">
        <v>2837</v>
      </c>
    </row>
    <row r="173" spans="1:7">
      <c r="A173" s="531">
        <v>58</v>
      </c>
      <c r="B173" s="498" t="s">
        <v>771</v>
      </c>
      <c r="C173" s="498" t="s">
        <v>2835</v>
      </c>
      <c r="D173" s="527">
        <v>1700</v>
      </c>
      <c r="E173" s="527"/>
      <c r="F173" s="528"/>
      <c r="G173" t="s">
        <v>2836</v>
      </c>
    </row>
    <row r="174" spans="1:7">
      <c r="A174" s="531">
        <v>59</v>
      </c>
      <c r="B174" s="498" t="s">
        <v>772</v>
      </c>
      <c r="C174" s="498" t="s">
        <v>2828</v>
      </c>
      <c r="D174" s="527">
        <v>2000</v>
      </c>
      <c r="E174" s="527">
        <v>2540</v>
      </c>
      <c r="F174" s="528"/>
      <c r="G174" t="s">
        <v>2836</v>
      </c>
    </row>
    <row r="175" spans="1:7">
      <c r="A175" s="531">
        <v>60</v>
      </c>
      <c r="B175" s="498" t="s">
        <v>773</v>
      </c>
      <c r="C175" s="498" t="s">
        <v>2828</v>
      </c>
      <c r="D175" s="527">
        <v>1700</v>
      </c>
      <c r="E175" s="527">
        <v>1938</v>
      </c>
      <c r="F175" s="528"/>
      <c r="G175" t="s">
        <v>2836</v>
      </c>
    </row>
    <row r="176" spans="1:7">
      <c r="A176" s="531">
        <v>61</v>
      </c>
      <c r="B176" s="498" t="s">
        <v>774</v>
      </c>
      <c r="C176" s="498" t="s">
        <v>2828</v>
      </c>
      <c r="D176" s="527">
        <v>2000</v>
      </c>
      <c r="E176" s="527">
        <v>2217</v>
      </c>
      <c r="F176" s="528"/>
      <c r="G176" t="s">
        <v>2836</v>
      </c>
    </row>
    <row r="177" spans="1:7">
      <c r="A177" s="531">
        <v>62</v>
      </c>
      <c r="B177" s="498" t="s">
        <v>775</v>
      </c>
      <c r="C177" s="498" t="s">
        <v>2828</v>
      </c>
      <c r="D177" s="527">
        <v>1700</v>
      </c>
      <c r="E177" s="527">
        <v>2540</v>
      </c>
      <c r="F177" s="528"/>
      <c r="G177" t="s">
        <v>2836</v>
      </c>
    </row>
    <row r="178" spans="1:7">
      <c r="A178" s="531">
        <v>63</v>
      </c>
      <c r="B178" s="498" t="s">
        <v>776</v>
      </c>
      <c r="C178" s="498" t="s">
        <v>2835</v>
      </c>
      <c r="D178" s="527">
        <v>2000</v>
      </c>
      <c r="E178" s="527"/>
      <c r="F178" s="528"/>
      <c r="G178" t="s">
        <v>2836</v>
      </c>
    </row>
    <row r="179" spans="1:7">
      <c r="A179" s="531">
        <v>64</v>
      </c>
      <c r="B179" s="498" t="s">
        <v>777</v>
      </c>
      <c r="C179" s="498" t="s">
        <v>2828</v>
      </c>
      <c r="D179" s="527">
        <v>1600</v>
      </c>
      <c r="E179" s="527">
        <v>2702</v>
      </c>
      <c r="F179" s="528"/>
      <c r="G179" t="s">
        <v>2836</v>
      </c>
    </row>
    <row r="180" spans="1:7">
      <c r="A180" s="531">
        <v>65</v>
      </c>
      <c r="B180" s="498" t="s">
        <v>778</v>
      </c>
      <c r="C180" s="498" t="s">
        <v>2828</v>
      </c>
      <c r="D180" s="527">
        <v>1900</v>
      </c>
      <c r="E180" s="527">
        <v>3531</v>
      </c>
      <c r="F180" s="528"/>
      <c r="G180" t="s">
        <v>2836</v>
      </c>
    </row>
    <row r="181" spans="1:7">
      <c r="A181" s="531">
        <v>66</v>
      </c>
      <c r="B181" s="498" t="s">
        <v>779</v>
      </c>
      <c r="C181" s="498" t="s">
        <v>2828</v>
      </c>
      <c r="D181" s="527">
        <v>1600</v>
      </c>
      <c r="E181" s="527">
        <v>2562</v>
      </c>
      <c r="F181" s="528"/>
      <c r="G181" t="s">
        <v>2836</v>
      </c>
    </row>
    <row r="182" spans="1:7">
      <c r="A182" s="531">
        <v>67</v>
      </c>
      <c r="B182" s="498" t="s">
        <v>780</v>
      </c>
      <c r="C182" s="498" t="s">
        <v>2835</v>
      </c>
      <c r="D182" s="527">
        <v>1900</v>
      </c>
      <c r="E182" s="527"/>
      <c r="F182" s="528"/>
      <c r="G182" t="s">
        <v>2836</v>
      </c>
    </row>
    <row r="183" spans="1:7">
      <c r="A183" s="531">
        <v>68</v>
      </c>
      <c r="B183" s="498" t="s">
        <v>781</v>
      </c>
      <c r="C183" s="498" t="s">
        <v>2828</v>
      </c>
      <c r="D183" s="527">
        <v>1700</v>
      </c>
      <c r="E183" s="527">
        <v>2282</v>
      </c>
      <c r="F183" s="528"/>
      <c r="G183" t="s">
        <v>2836</v>
      </c>
    </row>
    <row r="184" spans="1:7">
      <c r="A184" s="531">
        <v>69</v>
      </c>
      <c r="B184" s="498" t="s">
        <v>782</v>
      </c>
      <c r="C184" s="498" t="s">
        <v>2835</v>
      </c>
      <c r="D184" s="527">
        <v>2000</v>
      </c>
      <c r="E184" s="527"/>
      <c r="F184" s="528"/>
      <c r="G184" t="s">
        <v>2836</v>
      </c>
    </row>
    <row r="185" spans="1:7">
      <c r="A185" s="531">
        <v>70</v>
      </c>
      <c r="B185" s="498" t="s">
        <v>1077</v>
      </c>
      <c r="C185" s="498" t="s">
        <v>2828</v>
      </c>
      <c r="D185" s="527">
        <v>3000</v>
      </c>
      <c r="E185" s="527">
        <v>2454</v>
      </c>
      <c r="F185" s="528"/>
      <c r="G185" t="s">
        <v>2836</v>
      </c>
    </row>
    <row r="186" spans="1:7">
      <c r="A186" s="531">
        <v>71</v>
      </c>
      <c r="B186" s="498" t="s">
        <v>783</v>
      </c>
      <c r="C186" s="498" t="s">
        <v>2813</v>
      </c>
      <c r="D186" s="527">
        <v>6750</v>
      </c>
      <c r="E186" s="527">
        <v>5328</v>
      </c>
      <c r="F186" s="528"/>
      <c r="G186" t="s">
        <v>2841</v>
      </c>
    </row>
    <row r="187" spans="1:7">
      <c r="A187" s="531">
        <v>72</v>
      </c>
      <c r="B187" s="498" t="s">
        <v>1075</v>
      </c>
      <c r="C187" s="498" t="s">
        <v>2828</v>
      </c>
      <c r="D187" s="527">
        <v>8750</v>
      </c>
      <c r="E187" s="527">
        <v>7158</v>
      </c>
      <c r="F187" s="528"/>
      <c r="G187" t="s">
        <v>2836</v>
      </c>
    </row>
    <row r="188" spans="1:7">
      <c r="A188" s="531">
        <v>73</v>
      </c>
      <c r="B188" s="498" t="s">
        <v>784</v>
      </c>
      <c r="C188" s="498" t="s">
        <v>2842</v>
      </c>
      <c r="D188" s="527"/>
      <c r="E188" s="527">
        <v>205</v>
      </c>
      <c r="F188" s="528"/>
      <c r="G188" t="s">
        <v>2843</v>
      </c>
    </row>
    <row r="189" spans="1:7">
      <c r="A189" s="531">
        <v>74</v>
      </c>
      <c r="B189" s="498" t="s">
        <v>785</v>
      </c>
      <c r="C189" s="498" t="s">
        <v>2842</v>
      </c>
      <c r="D189" s="527"/>
      <c r="E189" s="527">
        <v>226</v>
      </c>
      <c r="F189" s="528"/>
      <c r="G189" t="s">
        <v>2843</v>
      </c>
    </row>
    <row r="190" spans="1:7">
      <c r="A190" s="531">
        <v>75</v>
      </c>
      <c r="B190" s="498" t="s">
        <v>786</v>
      </c>
      <c r="C190" s="498" t="s">
        <v>2842</v>
      </c>
      <c r="D190" s="527"/>
      <c r="E190" s="527">
        <v>538</v>
      </c>
      <c r="F190" s="528"/>
      <c r="G190" t="s">
        <v>2843</v>
      </c>
    </row>
    <row r="191" spans="1:7">
      <c r="A191" s="531">
        <v>76</v>
      </c>
      <c r="B191" s="498" t="s">
        <v>787</v>
      </c>
      <c r="C191" s="498" t="s">
        <v>2842</v>
      </c>
      <c r="D191" s="527"/>
      <c r="E191" s="527">
        <v>538</v>
      </c>
      <c r="F191" s="528"/>
      <c r="G191" t="s">
        <v>2843</v>
      </c>
    </row>
    <row r="192" spans="1:7">
      <c r="A192" s="531">
        <v>77</v>
      </c>
      <c r="B192" s="498" t="s">
        <v>788</v>
      </c>
      <c r="C192" s="498" t="s">
        <v>2842</v>
      </c>
      <c r="D192" s="527"/>
      <c r="E192" s="527">
        <v>248</v>
      </c>
      <c r="F192" s="528"/>
      <c r="G192" t="s">
        <v>2843</v>
      </c>
    </row>
    <row r="193" spans="1:7">
      <c r="A193" s="531">
        <v>78</v>
      </c>
      <c r="B193" s="498" t="s">
        <v>789</v>
      </c>
      <c r="C193" s="498" t="s">
        <v>2842</v>
      </c>
      <c r="D193" s="527"/>
      <c r="E193" s="527">
        <v>258</v>
      </c>
      <c r="F193" s="528"/>
      <c r="G193" t="s">
        <v>2843</v>
      </c>
    </row>
    <row r="194" spans="1:7">
      <c r="A194" s="531">
        <v>79</v>
      </c>
      <c r="B194" s="498" t="s">
        <v>790</v>
      </c>
      <c r="C194" s="498" t="s">
        <v>2842</v>
      </c>
      <c r="D194" s="527"/>
      <c r="E194" s="527">
        <v>452</v>
      </c>
      <c r="F194" s="528"/>
      <c r="G194" t="s">
        <v>2843</v>
      </c>
    </row>
    <row r="195" spans="1:7">
      <c r="A195" s="531">
        <v>80</v>
      </c>
      <c r="B195" s="498" t="s">
        <v>791</v>
      </c>
      <c r="C195" s="498" t="s">
        <v>2842</v>
      </c>
      <c r="D195" s="527"/>
      <c r="E195" s="527">
        <v>1206</v>
      </c>
      <c r="F195" s="528"/>
      <c r="G195" t="s">
        <v>2843</v>
      </c>
    </row>
    <row r="196" spans="1:7">
      <c r="A196" s="531">
        <v>81</v>
      </c>
      <c r="B196" s="498" t="s">
        <v>792</v>
      </c>
      <c r="C196" s="498" t="s">
        <v>2842</v>
      </c>
      <c r="D196" s="527"/>
      <c r="E196" s="527">
        <v>1432</v>
      </c>
      <c r="F196" s="528"/>
      <c r="G196" t="s">
        <v>2843</v>
      </c>
    </row>
    <row r="197" spans="1:7">
      <c r="A197" s="531">
        <v>82</v>
      </c>
      <c r="B197" s="498" t="s">
        <v>793</v>
      </c>
      <c r="C197" s="498" t="s">
        <v>2842</v>
      </c>
      <c r="D197" s="527"/>
      <c r="E197" s="527">
        <v>1668</v>
      </c>
      <c r="F197" s="528"/>
      <c r="G197" t="s">
        <v>2843</v>
      </c>
    </row>
    <row r="198" spans="1:7">
      <c r="A198" s="531">
        <v>83</v>
      </c>
      <c r="B198" s="498" t="s">
        <v>794</v>
      </c>
      <c r="C198" s="498" t="s">
        <v>2842</v>
      </c>
      <c r="D198" s="527"/>
      <c r="E198" s="527">
        <v>1211</v>
      </c>
      <c r="F198" s="528"/>
      <c r="G198" t="s">
        <v>2843</v>
      </c>
    </row>
    <row r="199" spans="1:7">
      <c r="A199" s="531">
        <v>84</v>
      </c>
      <c r="B199" s="498" t="s">
        <v>1080</v>
      </c>
      <c r="C199" s="498" t="s">
        <v>2842</v>
      </c>
      <c r="D199" s="527"/>
      <c r="E199" s="527">
        <v>3079</v>
      </c>
      <c r="F199" s="528"/>
      <c r="G199" t="s">
        <v>2843</v>
      </c>
    </row>
    <row r="200" spans="1:7">
      <c r="A200" s="531">
        <v>85</v>
      </c>
      <c r="B200" s="498" t="s">
        <v>1081</v>
      </c>
      <c r="C200" s="498" t="s">
        <v>2842</v>
      </c>
      <c r="D200" s="527"/>
      <c r="E200" s="527">
        <v>1830</v>
      </c>
      <c r="F200" s="528"/>
      <c r="G200" t="s">
        <v>2843</v>
      </c>
    </row>
    <row r="201" spans="1:7">
      <c r="A201" s="531">
        <v>86</v>
      </c>
      <c r="B201" s="498" t="s">
        <v>795</v>
      </c>
      <c r="C201" s="498" t="s">
        <v>2842</v>
      </c>
      <c r="D201" s="527"/>
      <c r="E201" s="527">
        <v>904</v>
      </c>
      <c r="F201" s="528"/>
      <c r="G201" t="s">
        <v>2843</v>
      </c>
    </row>
    <row r="202" spans="1:7">
      <c r="A202" s="531">
        <v>87</v>
      </c>
      <c r="B202" s="498" t="s">
        <v>796</v>
      </c>
      <c r="C202" s="498" t="s">
        <v>2842</v>
      </c>
      <c r="D202" s="527"/>
      <c r="E202" s="527">
        <v>904</v>
      </c>
      <c r="F202" s="528"/>
      <c r="G202" t="s">
        <v>2843</v>
      </c>
    </row>
    <row r="203" spans="1:7" ht="15" thickBot="1">
      <c r="A203" s="532">
        <v>88</v>
      </c>
      <c r="B203" s="523" t="s">
        <v>797</v>
      </c>
      <c r="C203" s="523" t="s">
        <v>2842</v>
      </c>
      <c r="D203" s="529"/>
      <c r="E203" s="529">
        <v>2174</v>
      </c>
      <c r="F203" s="530"/>
      <c r="G203" t="s">
        <v>2843</v>
      </c>
    </row>
  </sheetData>
  <hyperlinks>
    <hyperlink ref="F1" location="'สารบัญ'!A1" display="🏠 สารบัญ" xr:uid="{8C48E35B-BB2D-4953-8149-252FDB0757FF}"/>
  </hyperlinks>
  <pageMargins left="0.3" right="0.3" top="0.4" bottom="0.4" header="0.511811023622047" footer="0.511811023622047"/>
  <pageSetup paperSize="9" scale="62" fitToHeight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H75"/>
  <sheetViews>
    <sheetView showGridLines="0" zoomScale="71" zoomScaleNormal="55" workbookViewId="0">
      <pane ySplit="10" topLeftCell="A29" activePane="bottomLeft" state="frozen"/>
      <selection pane="bottomLeft" activeCell="G1" sqref="G1"/>
    </sheetView>
  </sheetViews>
  <sheetFormatPr defaultColWidth="8.6640625" defaultRowHeight="14.4"/>
  <cols>
    <col min="1" max="1" width="49.88671875" customWidth="1"/>
    <col min="2" max="2" width="12.77734375" customWidth="1"/>
    <col min="3" max="3" width="42.6640625" customWidth="1"/>
    <col min="4" max="6" width="24" customWidth="1"/>
    <col min="7" max="7" width="8.5546875" customWidth="1"/>
    <col min="8" max="8" width="4.44140625" customWidth="1"/>
  </cols>
  <sheetData>
    <row r="1" spans="1:8" ht="24" customHeight="1">
      <c r="A1" s="660" t="s">
        <v>1104</v>
      </c>
      <c r="B1" s="650"/>
      <c r="C1" s="650"/>
      <c r="D1" s="650"/>
      <c r="E1" s="243"/>
      <c r="G1" s="293" t="s">
        <v>68</v>
      </c>
      <c r="H1" s="294"/>
    </row>
    <row r="2" spans="1:8" ht="15" customHeight="1">
      <c r="A2" s="27" t="s">
        <v>1105</v>
      </c>
      <c r="B2" s="538">
        <v>600</v>
      </c>
      <c r="E2" s="30" t="s">
        <v>1106</v>
      </c>
      <c r="F2" s="49">
        <f>IF(B5="อิสระ",B4,IF(B5="ลากจูง",B4-1,B4-2))</f>
        <v>3</v>
      </c>
    </row>
    <row r="3" spans="1:8" ht="15" customHeight="1">
      <c r="A3" s="27" t="s">
        <v>1107</v>
      </c>
      <c r="B3" s="538">
        <v>300</v>
      </c>
      <c r="E3" s="30" t="s">
        <v>1108</v>
      </c>
      <c r="F3" s="49">
        <f>IF(B5="ลากจูง",1,2)</f>
        <v>2</v>
      </c>
    </row>
    <row r="4" spans="1:8" ht="15" customHeight="1">
      <c r="A4" s="27" t="s">
        <v>1109</v>
      </c>
      <c r="B4" s="538">
        <v>3</v>
      </c>
      <c r="E4" s="30" t="s">
        <v>1110</v>
      </c>
      <c r="F4" s="49">
        <f>IF(B5="อิสระ",2,1)</f>
        <v>2</v>
      </c>
    </row>
    <row r="5" spans="1:8" ht="15" customHeight="1">
      <c r="A5" s="27" t="s">
        <v>1111</v>
      </c>
      <c r="B5" s="539" t="s">
        <v>1112</v>
      </c>
      <c r="C5" s="390" t="str">
        <f>IF(B5="","⚠ ยังไม่เลือกรูปแบบ — จำนวนเสา/ราง จะขาด","")</f>
        <v/>
      </c>
      <c r="E5" s="30" t="s">
        <v>1113</v>
      </c>
      <c r="F5" s="49">
        <f>IF(B5="เปิดคู่กลาง",4,2)</f>
        <v>2</v>
      </c>
    </row>
    <row r="6" spans="1:8" ht="15" customHeight="1">
      <c r="A6" s="30" t="s">
        <v>1114</v>
      </c>
      <c r="B6" s="31">
        <f>(B2/100)*(B3/100)</f>
        <v>18</v>
      </c>
      <c r="E6" s="30" t="s">
        <v>1115</v>
      </c>
      <c r="F6" s="49">
        <f>IF(B5="เปิดคู่กลาง",B4-2,B4-1)</f>
        <v>2</v>
      </c>
    </row>
    <row r="7" spans="1:8" ht="15" customHeight="1">
      <c r="A7" s="27" t="s">
        <v>1116</v>
      </c>
      <c r="B7" s="383">
        <f>$B$62</f>
        <v>109</v>
      </c>
      <c r="C7" s="588" t="s">
        <v>2702</v>
      </c>
      <c r="E7" s="26" t="s">
        <v>1117</v>
      </c>
      <c r="F7" s="584" t="s">
        <v>1118</v>
      </c>
    </row>
    <row r="8" spans="1:8" ht="15" customHeight="1">
      <c r="A8" s="27" t="s">
        <v>1119</v>
      </c>
      <c r="B8" s="538">
        <v>90</v>
      </c>
    </row>
    <row r="9" spans="1:8" ht="15" customHeight="1">
      <c r="A9" s="26" t="s">
        <v>1120</v>
      </c>
      <c r="B9" s="540" t="s">
        <v>733</v>
      </c>
      <c r="C9" s="32">
        <f>INDEX(ราคากระจก!$B$3:$B$206,MATCH(B9,ราคากระจก!$A$3:$A$206,0))</f>
        <v>264</v>
      </c>
      <c r="D9" s="26" t="s">
        <v>1121</v>
      </c>
      <c r="E9" s="26" t="s">
        <v>1122</v>
      </c>
      <c r="F9" s="584" t="s">
        <v>1123</v>
      </c>
      <c r="G9" s="26"/>
    </row>
    <row r="10" spans="1:8" ht="23.25" customHeight="1">
      <c r="A10" s="33" t="s">
        <v>470</v>
      </c>
      <c r="B10" s="539" t="s">
        <v>1124</v>
      </c>
      <c r="C10" s="539" t="s">
        <v>1125</v>
      </c>
      <c r="D10" s="33" t="s">
        <v>1126</v>
      </c>
    </row>
    <row r="11" spans="1:8" ht="15" customHeight="1">
      <c r="A11" s="28" t="s">
        <v>1048</v>
      </c>
      <c r="B11" s="34">
        <f>(1*(B2/100)/6.4)*buf_scrap</f>
        <v>1.21875</v>
      </c>
      <c r="C11" s="35">
        <f>IF(F9="สีอบขาว/ดำ",IFERROR(VLOOKUP("B20001",ราคาสี!$A:$D,4,0),1125),IF(OR(F9="เทาซาฮาร่า",F9="สีดำซาฮาร่า"),VLOOKUP("B20001",ราคาสี!$A:$F,5,0),IF(F9="ลายไม้ stock",(VLOOKUP("B20001",ราคาสี!$A:$H,8,0)*mult_wood/mult_sms),IFERROR(VLOOKUP("B20001",ราคาสี!$A:$D,4,0),1125)+IF(F9="สีอบพิเศษ",rate_special,rate_woodbake)*น้ำหนักโปรไฟล์!$C$324)))</f>
        <v>1265</v>
      </c>
      <c r="D11" s="29">
        <f t="shared" ref="D11:D19" si="0">B11*C11*mult_sms</f>
        <v>1541.71875</v>
      </c>
    </row>
    <row r="12" spans="1:8" ht="15" customHeight="1">
      <c r="A12" s="28" t="s">
        <v>1049</v>
      </c>
      <c r="B12" s="34">
        <f>(2*(B3/100)/6.4)*buf_scrap</f>
        <v>1.21875</v>
      </c>
      <c r="C12" s="35">
        <f>IF(F9="สีอบขาว/ดำ",IFERROR(VLOOKUP("B20003",ราคาสี!$A:$D,4,0),870),IF(OR(F9="เทาซาฮาร่า",F9="สีดำซาฮาร่า"),VLOOKUP("B20003",ราคาสี!$A:$F,5,0),IF(F9="ลายไม้ stock",(VLOOKUP("B20003",ราคาสี!$A:$H,8,0)*mult_wood/mult_sms),IFERROR(VLOOKUP("B20003",ราคาสี!$A:$D,4,0),870)+IF(F9="สีอบพิเศษ",rate_special,rate_woodbake)*น้ำหนักโปรไฟล์!$C$325)))</f>
        <v>990</v>
      </c>
      <c r="D12" s="29">
        <f t="shared" si="0"/>
        <v>1206.5625</v>
      </c>
    </row>
    <row r="13" spans="1:8" ht="15" customHeight="1">
      <c r="A13" s="28" t="s">
        <v>1050</v>
      </c>
      <c r="B13" s="34">
        <f>(1*(B2/100)/6.4)*buf_scrap</f>
        <v>1.21875</v>
      </c>
      <c r="C13" s="3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>2070</v>
      </c>
      <c r="D13" s="29">
        <f t="shared" si="0"/>
        <v>2522.8125</v>
      </c>
    </row>
    <row r="14" spans="1:8" ht="15" customHeight="1">
      <c r="A14" s="28" t="s">
        <v>1051</v>
      </c>
      <c r="B14" s="34">
        <f>($F$5*(B3/100)/6.4)*buf_scrap</f>
        <v>1.21875</v>
      </c>
      <c r="C14" s="35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stock",(VLOOKUP("B20051",ราคาสี!$A:$H,8,0)*mult_wood/mult_sms),IFERROR(VLOOKUP("B20051",ราคาสี!$A:$D,4,0),885)+IF(F9="สีอบพิเศษ",rate_special,rate_woodbake)*น้ำหนักโปรไฟล์!$C$256)))</f>
        <v>885</v>
      </c>
      <c r="D14" s="29">
        <f t="shared" si="0"/>
        <v>1078.59375</v>
      </c>
    </row>
    <row r="15" spans="1:8" ht="15" customHeight="1">
      <c r="A15" s="28" t="s">
        <v>1052</v>
      </c>
      <c r="B15" s="34">
        <f>(IF((B3/100)&gt;=2.4,$F$6,2*$F$6)*(B3/100)/6.4)*buf_scrap</f>
        <v>1.21875</v>
      </c>
      <c r="C15" s="35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stock",(VLOOKUP("B20009",ราคาสี!$A:$H,8,0)*mult_wood/mult_sms),IFERROR(VLOOKUP("B20009",ราคาสี!$A:$D,4,0),745)+IF(F9="สีอบพิเศษ",rate_special,rate_woodbake)*น้ำหนักโปรไฟล์!$C$257)))</f>
        <v>690</v>
      </c>
      <c r="D15" s="29">
        <f t="shared" si="0"/>
        <v>840.9375</v>
      </c>
    </row>
    <row r="16" spans="1:8" ht="15" customHeight="1">
      <c r="A16" s="28" t="s">
        <v>3180</v>
      </c>
      <c r="B16" s="34">
        <f>(IF((B3/100)&gt;=2.4,$F$6,0)*(B3/100)/6.4)*buf_scrap</f>
        <v>1.21875</v>
      </c>
      <c r="C16" s="35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stock",(VLOOKUP("B20010",ราคาสี!$A:$H,8,0)*mult_wood/mult_sms),IFERROR(VLOOKUP("B20010",ราคาสี!$A:$D,4,0),1235)+IF(F9="สีอบพิเศษ",rate_special,rate_woodbake)*น้ำหนักโปรไฟล์!$C$258)))</f>
        <v>1235</v>
      </c>
      <c r="D16" s="29">
        <f t="shared" si="0"/>
        <v>1505.15625</v>
      </c>
    </row>
    <row r="17" spans="1:7" ht="15" customHeight="1">
      <c r="A17" s="28" t="s">
        <v>1054</v>
      </c>
      <c r="B17" s="34">
        <f>(2*(B2/100)/6.4)*buf_scrap</f>
        <v>2.4375</v>
      </c>
      <c r="C17" s="35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stock",(VLOOKUP("B20054",ราคาสี!$A:$H,8,0)*mult_wood/mult_sms),IFERROR(VLOOKUP("B20054",ราคาสี!$A:$D,4,0),1060)+IF(F9="สีอบพิเศษ",rate_special,rate_woodbake)*น้ำหนักโปรไฟล์!$C$259)))</f>
        <v>1060</v>
      </c>
      <c r="D17" s="29">
        <f t="shared" si="0"/>
        <v>2583.75</v>
      </c>
    </row>
    <row r="18" spans="1:7" ht="15" customHeight="1">
      <c r="A18" s="28" t="s">
        <v>1055</v>
      </c>
      <c r="B18" s="34">
        <f>(4*(B3/100)/6.4)*buf_scrap</f>
        <v>2.4375</v>
      </c>
      <c r="C18" s="35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stock",(VLOOKUP("B20019",ราคาสี!$A:$H,8,0)*mult_wood/mult_sms),IFERROR(VLOOKUP("B20019",ราคาสี!$A:$D,4,0),175)+IF(F9="สีอบพิเศษ",rate_special,rate_woodbake)*น้ำหนักโปรไฟล์!$C$260)))</f>
        <v>175</v>
      </c>
      <c r="D18" s="29">
        <f t="shared" si="0"/>
        <v>426.5625</v>
      </c>
    </row>
    <row r="19" spans="1:7" ht="15" customHeight="1">
      <c r="A19" s="28" t="s">
        <v>1127</v>
      </c>
      <c r="B19" s="34">
        <f>IF(F7="ภายใน",(2*(B2/100)/6.4)*buf_scrap,($F$2*(B2/100)/6.4)*buf_scrap)</f>
        <v>3.65625</v>
      </c>
      <c r="C19" s="35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stock",(VLOOKUP("B20050",ราคาสี!$A:$H,8,0)*mult_wood/mult_sms),IFERROR(VLOOKUP("B20050",ราคาสี!$A:$D,4,0),145)+IF(F9="สีอบพิเศษ",rate_special,rate_woodbake)*น้ำหนักโปรไฟล์!$C$261))),150)</f>
        <v>150</v>
      </c>
      <c r="D19" s="29">
        <f t="shared" si="0"/>
        <v>548.4375</v>
      </c>
    </row>
    <row r="20" spans="1:7" ht="15" customHeight="1">
      <c r="A20" s="28" t="s">
        <v>1128</v>
      </c>
      <c r="B20" s="34">
        <f>((B2/100)+(B4-1)*0.1)*(B3/100)</f>
        <v>18.600000000000001</v>
      </c>
      <c r="C20" s="35">
        <f>INDEX(ราคากระจก!$B$3:$B$206,MATCH(B9,ราคากระจก!$A$3:$A$206,0))</f>
        <v>264</v>
      </c>
      <c r="D20" s="29">
        <f t="shared" ref="D20:D27" si="1">B20*C20</f>
        <v>4910.4000000000005</v>
      </c>
    </row>
    <row r="21" spans="1:7" ht="15" customHeight="1">
      <c r="A21" s="28" t="s">
        <v>1129</v>
      </c>
      <c r="B21" s="34">
        <f>2*$F$2</f>
        <v>6</v>
      </c>
      <c r="C21" s="35">
        <v>80</v>
      </c>
      <c r="D21" s="29">
        <f t="shared" si="1"/>
        <v>480</v>
      </c>
    </row>
    <row r="22" spans="1:7" ht="15" customHeight="1">
      <c r="A22" s="28" t="s">
        <v>1130</v>
      </c>
      <c r="B22" s="34">
        <f>2*$F$3</f>
        <v>4</v>
      </c>
      <c r="C22" s="35">
        <v>99</v>
      </c>
      <c r="D22" s="29">
        <f t="shared" si="1"/>
        <v>396</v>
      </c>
    </row>
    <row r="23" spans="1:7" ht="15" customHeight="1">
      <c r="A23" s="28" t="s">
        <v>1131</v>
      </c>
      <c r="B23" s="34">
        <f>$F$4</f>
        <v>2</v>
      </c>
      <c r="C23" s="35">
        <f>ชีทอุปกรณ์!$D$193</f>
        <v>189</v>
      </c>
      <c r="D23" s="29">
        <f t="shared" si="1"/>
        <v>378</v>
      </c>
    </row>
    <row r="24" spans="1:7" ht="15" customHeight="1">
      <c r="A24" s="28" t="s">
        <v>1132</v>
      </c>
      <c r="B24" s="34">
        <f>6*(B3/100)+9*(B2/100)+2*($F$5+$F$6)*(B3/100)</f>
        <v>96</v>
      </c>
      <c r="C24" s="35">
        <v>1.5</v>
      </c>
      <c r="D24" s="29">
        <f t="shared" si="1"/>
        <v>144</v>
      </c>
    </row>
    <row r="25" spans="1:7" ht="15" customHeight="1">
      <c r="A25" s="28" t="s">
        <v>1133</v>
      </c>
      <c r="B25" s="34">
        <f>8+4*B4</f>
        <v>20</v>
      </c>
      <c r="C25" s="35">
        <v>1</v>
      </c>
      <c r="D25" s="29">
        <f t="shared" si="1"/>
        <v>20</v>
      </c>
    </row>
    <row r="26" spans="1:7" ht="15" customHeight="1">
      <c r="A26" s="28" t="s">
        <v>1134</v>
      </c>
      <c r="B26" s="34">
        <f>ROUNDUP(2*((B2/100)+(B3/100))*2/12.5,0)</f>
        <v>3</v>
      </c>
      <c r="C26" s="35">
        <f>B8</f>
        <v>90</v>
      </c>
      <c r="D26" s="29">
        <f t="shared" si="1"/>
        <v>270</v>
      </c>
    </row>
    <row r="27" spans="1:7" ht="15" customHeight="1">
      <c r="A27" s="36" t="s">
        <v>1135</v>
      </c>
      <c r="B27" s="36">
        <f>IF(OR(F9="สีอบพิเศษ",F9="สีลายไม้อบพิเศษ"),1,0)</f>
        <v>0</v>
      </c>
      <c r="C27" s="32">
        <f>อัปเดตราคาอลู!$B$17</f>
        <v>2000</v>
      </c>
      <c r="D27" s="32">
        <f t="shared" si="1"/>
        <v>0</v>
      </c>
      <c r="E27" s="36" t="s">
        <v>1136</v>
      </c>
    </row>
    <row r="28" spans="1:7" ht="15" customHeight="1">
      <c r="A28" s="607" t="s">
        <v>1137</v>
      </c>
      <c r="D28" s="37">
        <f>SUM(D11:D27)+D57+D36+D37+D38+D39</f>
        <v>18852.931250000001</v>
      </c>
      <c r="F28" s="258" t="s">
        <v>1138</v>
      </c>
    </row>
    <row r="29" spans="1:7" ht="15" customHeight="1">
      <c r="A29" s="607" t="s">
        <v>1045</v>
      </c>
      <c r="D29" s="37">
        <f>IFERROR(D28/B6,0)</f>
        <v>1047.3850694444445</v>
      </c>
      <c r="F29" s="608" t="s">
        <v>1139</v>
      </c>
      <c r="G29" s="259">
        <f>SUM(D11:D19)</f>
        <v>12254.53125</v>
      </c>
    </row>
    <row r="30" spans="1:7" ht="15" customHeight="1">
      <c r="A30" s="38" t="s">
        <v>1140</v>
      </c>
      <c r="D30" s="39">
        <f>ROUNDUP(D28*(1+B7/100)/100,0)*100</f>
        <v>39500</v>
      </c>
      <c r="F30" s="119" t="s">
        <v>1141</v>
      </c>
      <c r="G30" s="260">
        <f>D20</f>
        <v>4910.4000000000005</v>
      </c>
    </row>
    <row r="31" spans="1:7">
      <c r="G31" s="260">
        <f>SUM(D21:D27)</f>
        <v>1688</v>
      </c>
    </row>
    <row r="32" spans="1:7" ht="15" customHeight="1">
      <c r="A32" s="45" t="s">
        <v>1143</v>
      </c>
      <c r="D32" s="24">
        <f>D30</f>
        <v>39500</v>
      </c>
      <c r="F32" s="119" t="s">
        <v>1144</v>
      </c>
      <c r="G32" s="260">
        <f>SUM(G29:G31)</f>
        <v>18852.931250000001</v>
      </c>
    </row>
    <row r="33" spans="1:8">
      <c r="A33" s="172" t="s">
        <v>1145</v>
      </c>
      <c r="F33" s="261" t="s">
        <v>1146</v>
      </c>
    </row>
    <row r="34" spans="1:8" ht="15" customHeight="1">
      <c r="A34" s="6" t="s">
        <v>1147</v>
      </c>
      <c r="B34" s="601" t="s">
        <v>674</v>
      </c>
      <c r="C34" t="str">
        <f>IF(B34="ไม่มีมุ้ง","—",IF(H35=1,"✓ ใช้ได้","⚠ ใช้กับบานนี้ไม่ได้(ทุน=0)"))</f>
        <v>—</v>
      </c>
      <c r="D34" t="str">
        <f>IF(B34="ไม่มีมุ้ง","",H40&amp;" บาน")</f>
        <v/>
      </c>
      <c r="H34" s="211" t="str">
        <f>IFERROR(VLOOKUP(B34,ราคามุ้ง!$A$2:$K$15,3,0),"")</f>
        <v/>
      </c>
    </row>
    <row r="35" spans="1:8" ht="15" customHeight="1">
      <c r="A35" s="1" t="s">
        <v>1148</v>
      </c>
      <c r="B35" s="601" t="s">
        <v>682</v>
      </c>
      <c r="C35" s="601" t="s">
        <v>1149</v>
      </c>
      <c r="D35" s="112"/>
      <c r="H35" s="211">
        <f>IF(B34="ไม่มีมุ้ง",0,IF(OR(IFERROR(VLOOKUP(B34,ราคามุ้ง!$A$2:$K$15,4,0),"ALL")="ALL",ISNUMBER(SEARCH("SMS",IFERROR(VLOOKUP(B34,ราคามุ้ง!$A$2:$K$15,4,0),"")))),1,0))</f>
        <v>0</v>
      </c>
    </row>
    <row r="36" spans="1:8" ht="15" customHeight="1">
      <c r="A36" s="1" t="s">
        <v>1150</v>
      </c>
      <c r="B36" s="213">
        <f>IF(AND(H35=1,H36=1),ROUND(H40*2*H39/6,2),0)</f>
        <v>0</v>
      </c>
      <c r="C36" s="21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6" s="112">
        <f>ROUND(B36*C36,0)</f>
        <v>0</v>
      </c>
      <c r="H36" s="211">
        <f>IF(OR(B34="มุ้งเฟรมเล็ก",B34="มุ้งเฟรมใหญ่",B34="มุ้งนิรภัย"),1,0)</f>
        <v>0</v>
      </c>
    </row>
    <row r="37" spans="1:8" ht="15" customHeight="1">
      <c r="A37" s="1" t="s">
        <v>1151</v>
      </c>
      <c r="B37" s="214">
        <f>IF(AND(H35=1,H36=1),ROUND(H40*2*H38/6,2),0)</f>
        <v>0</v>
      </c>
      <c r="C37" s="21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7" s="212">
        <f>ROUND(B37*C37,0)</f>
        <v>0</v>
      </c>
      <c r="H37" s="211">
        <f>IFERROR(VLOOKUP(B35,ราคามุ้ง!$I$2:$J$5,2,0),0)</f>
        <v>23</v>
      </c>
    </row>
    <row r="38" spans="1:8" ht="15" customHeight="1">
      <c r="A38" s="6" t="s">
        <v>1152</v>
      </c>
      <c r="B38" s="215">
        <f>IF(AND(H35=1,H36=1),ROUND(H40*2*(H38+H39),2),0)</f>
        <v>0</v>
      </c>
      <c r="C38" s="212">
        <f>ราคามุ้ง!$D$19</f>
        <v>5</v>
      </c>
      <c r="D38" s="113">
        <f>ROUND(B38*C38,0)</f>
        <v>0</v>
      </c>
      <c r="H38" s="216">
        <f>B2/(B4*100)</f>
        <v>2</v>
      </c>
    </row>
    <row r="39" spans="1:8" ht="15" customHeight="1">
      <c r="A39" s="6" t="s">
        <v>1153</v>
      </c>
      <c r="B39" s="215">
        <f>IF(H35=0,0,ROUND(H40*H38*H39,2))</f>
        <v>0</v>
      </c>
      <c r="C39" s="212">
        <f>IF(B34="มุ้งนิรภัย",650,IF(OR(B34="มุ้งเฟรมเล็ก",B34="มุ้งเฟรมใหญ่"),H37,IF(H34="ซื้อสำเร็จ",IFERROR(VLOOKUP(B34,ราคามุ้ง!$A$2:$K$15,2,0),0),0)))</f>
        <v>0</v>
      </c>
      <c r="D39" s="113">
        <f>ROUND(B39*C39,0)</f>
        <v>0</v>
      </c>
      <c r="H39" s="215">
        <f>B3/100</f>
        <v>3</v>
      </c>
    </row>
    <row r="40" spans="1:8" ht="15" customHeight="1">
      <c r="A40" s="6" t="s">
        <v>1154</v>
      </c>
      <c r="D40" s="113">
        <f>IF(H35=0,0,ROUND(H40*(VLOOKUP(B34,ค่าแรง!$A$12:$N$103,2,0)+VLOOKUP(B34,ค่าแรง!$A$12:$N$103,3,0)*H38*H39),0))</f>
        <v>0</v>
      </c>
      <c r="H40">
        <f>IF(AND(B5="อิสระ",B4=2),1,F2)</f>
        <v>3</v>
      </c>
    </row>
    <row r="41" spans="1:8">
      <c r="A41" t="s">
        <v>1155</v>
      </c>
      <c r="C41" s="212"/>
      <c r="D41" s="212">
        <f>IF(H35=0,0,ROUND(H40*(VLOOKUP(B34,ค่าแรง!$A$12:$N$103,4,0)+VLOOKUP(B34,ค่าแรง!$A$12:$N$103,5,0)*H38*H39),0))</f>
        <v>0</v>
      </c>
      <c r="E41" s="253" t="s">
        <v>1156</v>
      </c>
      <c r="F41" s="254">
        <f>SUM(D36:D41)</f>
        <v>0</v>
      </c>
    </row>
    <row r="42" spans="1:8">
      <c r="A42" s="21" t="s">
        <v>1157</v>
      </c>
    </row>
    <row r="43" spans="1:8">
      <c r="A43" s="40" t="s">
        <v>1158</v>
      </c>
      <c r="D43" s="22">
        <f>MAX(0,VLOOKUP("บานเลื่อน SMS",ค่าแรง!$A$12:$N$117,2,0)+VLOOKUP("บานเลื่อน SMS",ค่าแรง!$A$12:$N$117,3,0)*B6)</f>
        <v>1567.125</v>
      </c>
    </row>
    <row r="44" spans="1:8">
      <c r="A44" s="40" t="s">
        <v>1159</v>
      </c>
      <c r="D44" s="22">
        <f>MAX(0,VLOOKUP("บานเลื่อน SMS",ค่าแรง!$A$12:$N$117,4,0)+VLOOKUP("บานเลื่อน SMS",ค่าแรง!$A$12:$N$117,5,0)*B6)</f>
        <v>1760.5</v>
      </c>
    </row>
    <row r="46" spans="1:8">
      <c r="A46" s="21" t="s">
        <v>1160</v>
      </c>
      <c r="D46" s="24">
        <f>ROUNDUP((ROUNDUP((ROUNDUP(D28*(1+B7/100)/100,0)*100+ROUNDUP((D43+D40)*(1+B63/100)/100,0)*100)*(1+$B$65/100)/100,0)*100)*1/100,0)*100</f>
        <v>55700</v>
      </c>
    </row>
    <row r="47" spans="1:8">
      <c r="A47" s="21" t="s">
        <v>1161</v>
      </c>
      <c r="D47" s="24">
        <f>D46+ROUNDUP((ROUNDUP((ROUNDUP((D44+D41)*(1+B64/100)/100,0)*100)*(1+$B$65/100)/100,0)*100)*1/100,0)*100</f>
        <v>60600</v>
      </c>
    </row>
    <row r="50" spans="1:7">
      <c r="A50" s="118" t="s">
        <v>1162</v>
      </c>
      <c r="B50" s="119"/>
      <c r="C50" s="119"/>
      <c r="D50" s="119"/>
    </row>
    <row r="51" spans="1:7">
      <c r="A51" s="16" t="s">
        <v>1163</v>
      </c>
      <c r="B51" s="609" t="s">
        <v>1164</v>
      </c>
      <c r="C51" s="119"/>
      <c r="D51" s="119"/>
      <c r="F51" s="16" t="s">
        <v>1165</v>
      </c>
      <c r="G51" s="16">
        <f>INDEX(ราคาออโต้!$C:$C,MATCH("Evecca (จีน)",ราคาออโต้!$B:$B,0))</f>
        <v>13480</v>
      </c>
    </row>
    <row r="52" spans="1:7">
      <c r="A52" s="16" t="s">
        <v>1166</v>
      </c>
      <c r="B52" s="609" t="s">
        <v>548</v>
      </c>
      <c r="C52" s="119"/>
      <c r="D52" s="119"/>
      <c r="F52" s="16" t="s">
        <v>1167</v>
      </c>
      <c r="G52" s="16">
        <f>INDEX(ราคาออโต้!$C:$C,MATCH("สายพาน Evecca",ราคาออโต้!$B:$B,0))</f>
        <v>75</v>
      </c>
    </row>
    <row r="53" spans="1:7">
      <c r="A53" s="16" t="s">
        <v>1168</v>
      </c>
      <c r="B53" s="609" t="s">
        <v>1164</v>
      </c>
      <c r="C53" s="119"/>
      <c r="D53" s="119"/>
      <c r="F53" s="16" t="s">
        <v>1169</v>
      </c>
      <c r="G53" s="16">
        <f>INDEX(ราคาออโต้!$D:$D,MATCH("Evecca (จีน)",ราคาออโต้!$B:$B,0))</f>
        <v>1700</v>
      </c>
    </row>
    <row r="54" spans="1:7">
      <c r="A54" s="16" t="s">
        <v>1170</v>
      </c>
      <c r="B54" s="609" t="s">
        <v>1164</v>
      </c>
      <c r="C54" s="119"/>
      <c r="D54" s="119"/>
      <c r="F54" s="16" t="s">
        <v>1171</v>
      </c>
      <c r="G54" s="16">
        <f>INDEX(ราคาออโต้!$C:$C,MATCH("ออป Smart lock",ราคาออโต้!$B:$B,0))</f>
        <v>6500</v>
      </c>
    </row>
    <row r="55" spans="1:7">
      <c r="A55" s="16" t="s">
        <v>1172</v>
      </c>
      <c r="B55" s="609" t="s">
        <v>1164</v>
      </c>
      <c r="C55" s="119"/>
      <c r="D55" s="119"/>
      <c r="F55" s="16" t="s">
        <v>1173</v>
      </c>
      <c r="G55" s="16">
        <f>INDEX(ราคาออโต้!$C:$C,MATCH("ช่างแซก",ราคาออโต้!$B:$B,0))</f>
        <v>8000</v>
      </c>
    </row>
    <row r="56" spans="1:7">
      <c r="A56" s="119"/>
      <c r="B56" s="119"/>
      <c r="C56" s="119"/>
      <c r="D56" s="119"/>
      <c r="F56" s="16" t="s">
        <v>1174</v>
      </c>
      <c r="G56" s="16">
        <f>INDEX(ราคาออโต้!$C:$C,MATCH("เซฟตี้ตาแมว (บังคับช่างแซก)",ราคาออโต้!$B:$B,0))</f>
        <v>1000</v>
      </c>
    </row>
    <row r="57" spans="1:7">
      <c r="A57" s="120" t="s">
        <v>1175</v>
      </c>
      <c r="B57" s="119"/>
      <c r="C57" s="119"/>
      <c r="D57" s="121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16" t="s">
        <v>1176</v>
      </c>
      <c r="G57" s="16">
        <f>INDEX(ราคาออโต้!$C:$C,MATCH("ราง ช่างแซก",ราคาออโต้!$B:$B,0))</f>
        <v>950</v>
      </c>
    </row>
    <row r="58" spans="1:7">
      <c r="F58" s="16" t="s">
        <v>1177</v>
      </c>
      <c r="G58" s="16">
        <f>INDEX(ราคาออโต้!$C:$C,MATCH("ออป Touch Switch (ช่างแซก)",ราคาออโต้!$B:$B,0))</f>
        <v>1000</v>
      </c>
    </row>
    <row r="59" spans="1:7">
      <c r="F59" s="16" t="s">
        <v>1178</v>
      </c>
      <c r="G59" s="16">
        <f>INDEX(ราคาออโต้!$C:$C,MATCH("ออป Infrared (ช่างแซก)",ราคาออโต้!$B:$B,0))</f>
        <v>9000</v>
      </c>
    </row>
    <row r="61" spans="1:7" ht="15">
      <c r="A61" s="25" t="s">
        <v>3148</v>
      </c>
    </row>
    <row r="62" spans="1:7" ht="15">
      <c r="A62" s="25" t="s">
        <v>1179</v>
      </c>
      <c r="B62" s="543">
        <f>ROUND(($B$69*$B$70-1)*100,0)</f>
        <v>109</v>
      </c>
      <c r="C62" s="25" t="s">
        <v>3149</v>
      </c>
    </row>
    <row r="63" spans="1:7" ht="15">
      <c r="A63" s="25" t="s">
        <v>1180</v>
      </c>
      <c r="B63" s="543">
        <f>ROUND(($C$69*$B$70-1)*100,0)</f>
        <v>109</v>
      </c>
      <c r="C63" s="25" t="s">
        <v>3149</v>
      </c>
    </row>
    <row r="64" spans="1:7" ht="15">
      <c r="A64" s="25" t="s">
        <v>1181</v>
      </c>
      <c r="B64" s="543">
        <f>ROUND(($D$69*$B$70-1)*100,0)</f>
        <v>106</v>
      </c>
      <c r="C64" s="25" t="s">
        <v>3149</v>
      </c>
    </row>
    <row r="65" spans="1:6" ht="15">
      <c r="A65" s="25" t="s">
        <v>3122</v>
      </c>
      <c r="B65" s="539">
        <v>30</v>
      </c>
      <c r="C65" s="25" t="s">
        <v>3150</v>
      </c>
    </row>
    <row r="67" spans="1:6">
      <c r="A67" s="533" t="s">
        <v>3151</v>
      </c>
      <c r="B67" s="535"/>
      <c r="C67" s="533"/>
    </row>
    <row r="68" spans="1:6">
      <c r="A68" t="s">
        <v>3144</v>
      </c>
      <c r="B68" s="541">
        <v>40</v>
      </c>
      <c r="C68" t="s">
        <v>3152</v>
      </c>
    </row>
    <row r="69" spans="1:6">
      <c r="A69" t="s">
        <v>3153</v>
      </c>
      <c r="B69" s="542">
        <v>1.7230000000000001</v>
      </c>
      <c r="C69" s="542">
        <v>1.7230000000000001</v>
      </c>
      <c r="D69" s="542">
        <v>1.7</v>
      </c>
      <c r="E69" s="542" t="s">
        <v>3154</v>
      </c>
      <c r="F69" s="542"/>
    </row>
    <row r="70" spans="1:6">
      <c r="A70" t="s">
        <v>3155</v>
      </c>
      <c r="B70" s="542">
        <f>IFERROR((((D28)+(D43+D40)+(D44+D41))/(100/(100+B65)-B68/100))/(((D28)*$B$69+(D43+D40)*$C$69+(D44+D41)*$D$69)*(1+B65/100)),1)</f>
        <v>1.2104138087977834</v>
      </c>
      <c r="C70" t="s">
        <v>3156</v>
      </c>
    </row>
    <row r="72" spans="1:6">
      <c r="A72" s="533" t="s">
        <v>3126</v>
      </c>
      <c r="B72" s="535"/>
      <c r="C72" s="533"/>
    </row>
    <row r="73" spans="1:6">
      <c r="A73" s="533" t="s">
        <v>3127</v>
      </c>
      <c r="B73" s="534">
        <f>IFERROR(ROUND(D47-D47/(1+B65/100),0),0)</f>
        <v>13985</v>
      </c>
      <c r="C73" s="533" t="s">
        <v>3128</v>
      </c>
    </row>
    <row r="74" spans="1:6">
      <c r="A74" s="533" t="s">
        <v>3129</v>
      </c>
      <c r="B74" s="534">
        <f>D28+D43+D40+D44+D41+B73</f>
        <v>36165.556250000001</v>
      </c>
      <c r="C74" s="533" t="s">
        <v>3130</v>
      </c>
    </row>
    <row r="75" spans="1:6">
      <c r="A75" s="536" t="s">
        <v>3131</v>
      </c>
      <c r="B75" s="537">
        <f>IFERROR((D47-B74)/D47,"")</f>
        <v>0.40320864273927393</v>
      </c>
      <c r="C75" s="536" t="s">
        <v>3157</v>
      </c>
    </row>
  </sheetData>
  <sheetProtection sheet="1" objects="1" scenarios="1"/>
  <mergeCells count="1">
    <mergeCell ref="A1:D1"/>
  </mergeCells>
  <dataValidations count="9">
    <dataValidation type="list" sqref="B5" xr:uid="{00000000-0002-0000-0E00-000000000000}">
      <formula1>"อิสระ,ลากจูง,เปิดคู่กลาง"</formula1>
      <formula2>0</formula2>
    </dataValidation>
    <dataValidation type="list" sqref="B9" xr:uid="{00000000-0002-0000-0E00-000001000000}">
      <formula1>GlassNames</formula1>
      <formula2>0</formula2>
    </dataValidation>
    <dataValidation type="list" sqref="F9" xr:uid="{00000000-0002-0000-0E00-000002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sqref="F7" xr:uid="{00000000-0002-0000-0E00-000003000000}">
      <formula1>"ภายนอก,ภายใน"</formula1>
      <formula2>0</formula2>
    </dataValidation>
    <dataValidation type="list" allowBlank="1" sqref="B51 B53:B55" xr:uid="{00000000-0002-0000-0E00-000004000000}">
      <formula1>"มี,ไม่มี"</formula1>
    </dataValidation>
    <dataValidation type="list" allowBlank="1" sqref="B52" xr:uid="{00000000-0002-0000-0E00-000005000000}">
      <formula1>"Evecca (จีน),ช่างแซก"</formula1>
    </dataValidation>
    <dataValidation type="list" allowBlank="1" sqref="B34" xr:uid="{00000000-0002-0000-0E00-000009000000}">
      <formula1>MungList</formula1>
    </dataValidation>
    <dataValidation type="list" allowBlank="1" sqref="B35" xr:uid="{00000000-0002-0000-0E00-00000A000000}">
      <formula1>ClothList</formula1>
    </dataValidation>
    <dataValidation type="list" allowBlank="1" sqref="C35" xr:uid="{00000000-0002-0000-0E00-00000B000000}">
      <formula1>"เทา,ดำ"</formula1>
    </dataValidation>
  </dataValidations>
  <hyperlinks>
    <hyperlink ref="G1" location="'สารบัญ'!A1" display="🏠 สารบัญ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K100"/>
  <sheetViews>
    <sheetView showGridLines="0" zoomScaleNormal="100" workbookViewId="0">
      <pane ySplit="10" topLeftCell="A11" activePane="bottomLeft" state="frozen"/>
      <selection pane="bottomLeft" sqref="A1:D1"/>
    </sheetView>
  </sheetViews>
  <sheetFormatPr defaultColWidth="8.6640625" defaultRowHeight="14.4"/>
  <cols>
    <col min="1" max="1" width="24" customWidth="1"/>
    <col min="2" max="2" width="12.77734375" customWidth="1"/>
    <col min="3" max="3" width="42.6640625" customWidth="1"/>
    <col min="4" max="5" width="24" customWidth="1"/>
    <col min="6" max="6" width="12.77734375" customWidth="1"/>
    <col min="7" max="7" width="8.5546875" customWidth="1"/>
    <col min="8" max="8" width="4.44140625" customWidth="1"/>
  </cols>
  <sheetData>
    <row r="1" spans="1:8" ht="24" customHeight="1">
      <c r="A1" s="660" t="s">
        <v>1182</v>
      </c>
      <c r="B1" s="650"/>
      <c r="C1" s="650"/>
      <c r="D1" s="650"/>
      <c r="E1" s="243"/>
      <c r="G1" s="293" t="s">
        <v>68</v>
      </c>
      <c r="H1" s="294"/>
    </row>
    <row r="2" spans="1:8" ht="15" customHeight="1">
      <c r="A2" s="27" t="s">
        <v>1105</v>
      </c>
      <c r="B2" s="538">
        <v>600</v>
      </c>
      <c r="E2" s="30" t="s">
        <v>1106</v>
      </c>
      <c r="F2" s="49">
        <f>IF(B5="อิสระ",B4,IF(B5="ลากจูง",B4-1,B4-2))</f>
        <v>3</v>
      </c>
    </row>
    <row r="3" spans="1:8" ht="15" customHeight="1">
      <c r="A3" s="27" t="s">
        <v>1107</v>
      </c>
      <c r="B3" s="538">
        <v>300</v>
      </c>
      <c r="E3" s="30" t="s">
        <v>1108</v>
      </c>
      <c r="F3" s="49">
        <f>IF(B5="ลากจูง",1,2)</f>
        <v>2</v>
      </c>
    </row>
    <row r="4" spans="1:8" ht="15" customHeight="1">
      <c r="A4" s="27" t="s">
        <v>1109</v>
      </c>
      <c r="B4" s="538">
        <v>3</v>
      </c>
      <c r="E4" s="30" t="s">
        <v>1110</v>
      </c>
      <c r="F4" s="49">
        <f>IF(B5="อิสระ",2,1)</f>
        <v>2</v>
      </c>
    </row>
    <row r="5" spans="1:8" ht="15" customHeight="1">
      <c r="A5" s="27" t="s">
        <v>1111</v>
      </c>
      <c r="B5" s="539" t="s">
        <v>1112</v>
      </c>
      <c r="C5" s="390" t="str">
        <f>IF(B5="","⚠ ยังไม่เลือกรูปแบบ — จำนวนเสา/ราง จะขาด","")</f>
        <v/>
      </c>
      <c r="E5" s="30" t="s">
        <v>1113</v>
      </c>
      <c r="F5" s="49">
        <f>IF(B5="เปิดคู่กลาง",4,2)</f>
        <v>2</v>
      </c>
    </row>
    <row r="6" spans="1:8" ht="15" customHeight="1">
      <c r="A6" s="30" t="s">
        <v>1114</v>
      </c>
      <c r="B6" s="31">
        <f>(B2/100)*(B3/100)</f>
        <v>18</v>
      </c>
      <c r="E6" s="30" t="s">
        <v>1115</v>
      </c>
      <c r="F6" s="49">
        <f>IF(B5="เปิดคู่กลาง",B4-2,B4-1)</f>
        <v>2</v>
      </c>
    </row>
    <row r="7" spans="1:8" ht="15" customHeight="1">
      <c r="A7" s="27" t="s">
        <v>1116</v>
      </c>
      <c r="B7" s="383">
        <f>$B$87</f>
        <v>60</v>
      </c>
      <c r="C7" s="588" t="s">
        <v>2702</v>
      </c>
      <c r="E7" s="26" t="s">
        <v>1117</v>
      </c>
      <c r="F7" s="584" t="s">
        <v>1118</v>
      </c>
    </row>
    <row r="8" spans="1:8" ht="15" customHeight="1">
      <c r="A8" s="27" t="s">
        <v>1119</v>
      </c>
      <c r="B8" s="538">
        <v>90</v>
      </c>
    </row>
    <row r="9" spans="1:8" ht="15" customHeight="1">
      <c r="A9" s="26" t="s">
        <v>1120</v>
      </c>
      <c r="B9" s="540" t="s">
        <v>733</v>
      </c>
      <c r="C9" s="32">
        <f>INDEX(ราคากระจก!$B$3:$B$206,MATCH(B9,ราคากระจก!$A$3:$A$206,0))</f>
        <v>264</v>
      </c>
      <c r="D9" s="26" t="s">
        <v>1121</v>
      </c>
      <c r="E9" s="26" t="s">
        <v>1122</v>
      </c>
      <c r="F9" s="584" t="s">
        <v>1123</v>
      </c>
      <c r="G9" s="26"/>
    </row>
    <row r="10" spans="1:8" ht="23.25" customHeight="1">
      <c r="A10" s="33" t="s">
        <v>470</v>
      </c>
      <c r="B10" s="539" t="s">
        <v>1124</v>
      </c>
      <c r="C10" s="539" t="s">
        <v>1125</v>
      </c>
      <c r="D10" s="33" t="s">
        <v>1126</v>
      </c>
      <c r="F10" t="s">
        <v>1123</v>
      </c>
    </row>
    <row r="11" spans="1:8" ht="15" customHeight="1">
      <c r="A11" s="28" t="s">
        <v>1183</v>
      </c>
      <c r="B11" s="34">
        <f>((2*(B3/100)*B4+2*(B2/100))/6.4)*buf_scrap</f>
        <v>6.09375</v>
      </c>
      <c r="C11" s="35">
        <f>IF(F9="สีอบขาว/ดำ",IFERROR(VLOOKUP("F7980",ราคาสี!$A:$D,4,0),1445),IF(OR(F9="เทาซาฮาร่า",F9="สีดำซาฮาร่า"),VLOOKUP("F7980",ราคาสี!$A:$F,5,0),IF(F9="แอทแทคเกรย์",VLOOKUP("F7980",ราคาสี!$A:$J,7,0),IF(F9="ลายไม้สักทอง",(VLOOKUP("F7980",ราคาสี!$A:$H,8,0)*mult_wood/mult_euro),IF(F9="ลายไม้มะฮอกกานี",(VLOOKUP("F7980",ราคาสี!$A:$J,9,0)*mult_wood/mult_euro),IF(F9="ลายไม้ไวท์โอ๊ค",(VLOOKUP("F7980",ราคาสี!$A:$J,10,0)*mult_wood/mult_euro),IFERROR(VLOOKUP("F7980",ราคาสี!$A:$D,4,0),1445)+IF(F9="สีอบพิเศษ",rate_special,rate_woodbake)*น้ำหนักโปรไฟล์!$C$262))))))</f>
        <v>1530</v>
      </c>
      <c r="D11" s="29">
        <f t="shared" ref="D11:D26" si="0">B11*C11*mult_euro</f>
        <v>9323.4375</v>
      </c>
    </row>
    <row r="12" spans="1:8" ht="15" customHeight="1">
      <c r="A12" s="28" t="s">
        <v>1068</v>
      </c>
      <c r="B12" s="34">
        <f>((2*(B3/100)*B4+2*(B2/100))/6.4)*buf_scrap</f>
        <v>6.09375</v>
      </c>
      <c r="C12" s="35">
        <f>IF(F9="สีอบขาว/ดำ",IFERROR(VLOOKUP("F7919",ราคาสี!$A:$D,4,0),200),IF(OR(F9="เทาซาฮาร่า",F9="สีดำซาฮาร่า"),VLOOKUP("F7919",ราคาสี!$A:$F,5,0),IF(F9="แอทแทคเกรย์",VLOOKUP("F7919",ราคาสี!$A:$J,7,0),IF(F9="ลายไม้สักทอง",(VLOOKUP("F7919",ราคาสี!$A:$H,8,0)*mult_wood/mult_euro),IF(F9="ลายไม้มะฮอกกานี",(VLOOKUP("F7919",ราคาสี!$A:$J,9,0)*mult_wood/mult_euro),IF(F9="ลายไม้ไวท์โอ๊ค",(VLOOKUP("F7919",ราคาสี!$A:$J,10,0)*mult_wood/mult_euro),IFERROR(VLOOKUP("F7919",ราคาสี!$A:$D,4,0),200)+IF(F9="สีอบพิเศษ",rate_special,rate_woodbake)*น้ำหนักโปรไฟล์!$C$263))))))</f>
        <v>220</v>
      </c>
      <c r="D12" s="29">
        <f t="shared" si="0"/>
        <v>1340.625</v>
      </c>
    </row>
    <row r="13" spans="1:8" ht="15" customHeight="1">
      <c r="A13" s="28" t="s">
        <v>3178</v>
      </c>
      <c r="B13" s="34">
        <f>IF($F$7="ภายใน",((1*(B2/100))/6.4)*buf_scrap,((2*(B2/100))/6.4)*buf_scrap)</f>
        <v>2.4375</v>
      </c>
      <c r="C13" s="35">
        <f>IF(F9="สีอบขาว/ดำ",IFERROR(VLOOKUP("F7869",ราคาสี!$A:$D,4,0),2615)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IFERROR(VLOOKUP("F7869",ราคาสี!$A:$D,4,0),2615)+IF(F9="สีอบพิเศษ",rate_special,rate_woodbake)*น้ำหนักโปรไฟล์!$C$264))))))</f>
        <v>2765</v>
      </c>
      <c r="D13" s="29">
        <f t="shared" si="0"/>
        <v>6739.6875</v>
      </c>
    </row>
    <row r="14" spans="1:8" ht="15" customHeight="1">
      <c r="A14" s="28" t="s">
        <v>3179</v>
      </c>
      <c r="B14" s="544">
        <f>IF($F$7="ภายใน",((1*(B2/100))/6.4)*buf_scrap,0)</f>
        <v>0</v>
      </c>
      <c r="C14" s="35">
        <f>IF(F9="สีอบขาว/ดำ",IFERROR(VLOOKUP("F7902",ราคาสี!$A:$D,4,0),1220),IF(OR(F9="เทาซาฮาร่า",F9="สีดำซาฮาร่า"),VLOOKUP("F7902",ราคาสี!$A:$F,5,0),IF(F9="แอทแทคเกรย์",VLOOKUP("F7902",ราคาสี!$A:$J,7,0),IF(F9="ลายไม้สักทอง",(VLOOKUP("F7902",ราคาสี!$A:$H,8,0)*mult_wood/mult_euro),IF(F9="ลายไม้มะฮอกกานี",(VLOOKUP("F7902",ราคาสี!$A:$J,9,0)*mult_wood/mult_euro),IF(F9="ลายไม้ไวท์โอ๊ค",(VLOOKUP("F7902",ราคาสี!$A:$J,10,0)*mult_wood/mult_euro),IFERROR(VLOOKUP("F7902",ราคาสี!$A:$D,4,0),1220)+IF(F9="สีอบพิเศษ",rate_special,rate_woodbake)*น้ำหนักโปรไฟล์!$C$335))))))</f>
        <v>1220</v>
      </c>
      <c r="D14" s="29">
        <f t="shared" si="0"/>
        <v>0</v>
      </c>
    </row>
    <row r="15" spans="1:8" ht="15" customHeight="1">
      <c r="A15" s="28" t="s">
        <v>1049</v>
      </c>
      <c r="B15" s="34">
        <f>(2*(B3/100)/6.4)*buf_scrap</f>
        <v>1.21875</v>
      </c>
      <c r="C15" s="35">
        <f>IF(F9="สีอบขาว/ดำ",IFERROR(VLOOKUP("F7870",ราคาสี!$A:$D,4,0),935),IF(OR(F9="เทาซาฮาร่า",F9="สีดำซาฮาร่า"),VLOOKUP("F7870",ราคาสี!$A:$F,5,0),IF(F9="แอทแทคเกรย์",VLOOKUP("F7870",ราคาสี!$A:$J,7,0),IF(F9="ลายไม้สักทอง",(VLOOKUP("F7870",ราคาสี!$A:$H,8,0)*mult_wood/mult_euro),IF(F9="ลายไม้มะฮอกกานี",(VLOOKUP("F7870",ราคาสี!$A:$J,9,0)*mult_wood/mult_euro),IF(F9="ลายไม้ไวท์โอ๊ค",(VLOOKUP("F7870",ราคาสี!$A:$J,10,0)*mult_wood/mult_euro),IFERROR(VLOOKUP("F7870",ราคาสี!$A:$D,4,0),935)+IF(F9="สีอบพิเศษ",rate_special,rate_woodbake)*น้ำหนักโปรไฟล์!$C$266))))))</f>
        <v>1110</v>
      </c>
      <c r="D15" s="29">
        <f t="shared" si="0"/>
        <v>1352.8125</v>
      </c>
    </row>
    <row r="16" spans="1:8" ht="15" customHeight="1">
      <c r="A16" s="28" t="s">
        <v>1185</v>
      </c>
      <c r="B16" s="34">
        <f>1</f>
        <v>1</v>
      </c>
      <c r="C16" s="35">
        <f>IF(F9="สีอบขาว/ดำ",IFERROR(VLOOKUP("F7986",ราคาสี!$A:$D,4,0),285),IF(OR(F9="เทาซาฮาร่า",F9="สีดำซาฮาร่า"),VLOOKUP("F7986",ราคาสี!$A:$F,5,0),IF(F9="แอทแทคเกรย์",VLOOKUP("F7986",ราคาสี!$A:$J,7,0),IF(F9="ลายไม้สักทอง",(VLOOKUP("F7986",ราคาสี!$A:$H,8,0)*mult_wood/mult_euro),IF(F9="ลายไม้มะฮอกกานี",(VLOOKUP("F7986",ราคาสี!$A:$J,9,0)*mult_wood/mult_euro),IF(F9="ลายไม้ไวท์โอ๊ค",(VLOOKUP("F7986",ราคาสี!$A:$J,10,0)*mult_wood/mult_euro),IFERROR(VLOOKUP("F7986",ราคาสี!$A:$D,4,0),285)+IF(F9="สีอบพิเศษ",rate_special,rate_woodbake)*น้ำหนักโปรไฟล์!$C$267))))))</f>
        <v>300</v>
      </c>
      <c r="D16" s="29">
        <f t="shared" si="0"/>
        <v>300</v>
      </c>
    </row>
    <row r="17" spans="1:4" ht="15" customHeight="1">
      <c r="A17" s="28" t="s">
        <v>3181</v>
      </c>
      <c r="B17" s="34">
        <f>IF((B3/100)&gt;2.8,MAX(IF(B5="เปิดคู่กลาง",2,B4-1)-1,0),IF(B5="เปิดคู่กลาง",2,B4-1))</f>
        <v>1</v>
      </c>
      <c r="C17" s="35">
        <f>IF(F9="สีอบขาว/ดำ",IFERROR(VLOOKUP("F7983",ราคาสี!$A:$D,4,0),465),IF(OR(F9="เทาซาฮาร่า",F9="สีดำซาฮาร่า"),VLOOKUP("F7983",ราคาสี!$A:$F,5,0),IF(F9="แอทแทคเกรย์",VLOOKUP("F7983",ราคาสี!$A:$J,7,0),IF(F9="ลายไม้สักทอง",(VLOOKUP("F7983",ราคาสี!$A:$H,8,0)*mult_wood/mult_euro),IF(F9="ลายไม้มะฮอกกานี",(VLOOKUP("F7983",ราคาสี!$A:$J,9,0)*mult_wood/mult_euro),IF(F9="ลายไม้ไวท์โอ๊ค",(VLOOKUP("F7983",ราคาสี!$A:$J,10,0)*mult_wood/mult_euro),IFERROR(VLOOKUP("F7983",ราคาสี!$A:$D,4,0),465)+IF(F9="สีอบพิเศษ",rate_special,rate_woodbake)*น้ำหนักโปรไฟล์!$C$268))))))</f>
        <v>520</v>
      </c>
      <c r="D17" s="29">
        <f t="shared" si="0"/>
        <v>520</v>
      </c>
    </row>
    <row r="18" spans="1:4" ht="15" customHeight="1">
      <c r="A18" s="28" t="s">
        <v>3182</v>
      </c>
      <c r="B18" s="34">
        <f>IF((B3/100)&gt;2.8,1,0)</f>
        <v>1</v>
      </c>
      <c r="C18" s="35">
        <f>IF(F9="สีอบขาว/ดำ",IFERROR(VLOOKUP("F7951",ราคาสี!$A:$D,4,0),2020),IF(OR(F9="เทาซาฮาร่า",F9="สีดำซาฮาร่า"),VLOOKUP("F7951",ราคาสี!$A:$F,5,0),IF(F9="แอทแทคเกรย์",VLOOKUP("F7951",ราคาสี!$A:$J,7,0),IF(F9="ลายไม้สักทอง",(VLOOKUP("F7951",ราคาสี!$A:$H,8,0)*mult_wood/mult_euro),IF(F9="ลายไม้มะฮอกกานี",(VLOOKUP("F7951",ราคาสี!$A:$J,9,0)*mult_wood/mult_euro),IF(F9="ลายไม้ไวท์โอ๊ค",(VLOOKUP("F7951",ราคาสี!$A:$J,10,0)*mult_wood/mult_euro),IFERROR(VLOOKUP("F7951",ราคาสี!$A:$D,4,0),2020)+IF(F9="สีอบพิเศษ",rate_special,rate_woodbake)*น้ำหนักโปรไฟล์!$C$269))))))</f>
        <v>2175</v>
      </c>
      <c r="D18" s="29">
        <f t="shared" si="0"/>
        <v>2175</v>
      </c>
    </row>
    <row r="19" spans="1:4" ht="15" customHeight="1">
      <c r="A19" s="28" t="s">
        <v>1186</v>
      </c>
      <c r="B19" s="34">
        <f>2*MAX(B4-1,0)</f>
        <v>4</v>
      </c>
      <c r="C19" s="35">
        <f>IF(F9="สีอบขาว/ดำ",IFERROR(VLOOKUP("F7988",ราคาสี!$A:$D,4,0),120),IF(OR(F9="เทาซาฮาร่า",F9="สีดำซาฮาร่า"),VLOOKUP("F7988",ราคาสี!$A:$F,5,0),IF(F9="แอทแทคเกรย์",VLOOKUP("F7988",ราคาสี!$A:$J,7,0),IF(F9="ลายไม้สักทอง",(VLOOKUP("F7988",ราคาสี!$A:$H,8,0)*mult_wood/mult_euro),IF(F9="ลายไม้มะฮอกกานี",(VLOOKUP("F7988",ราคาสี!$A:$J,9,0)*mult_wood/mult_euro),IF(F9="ลายไม้ไวท์โอ๊ค",(VLOOKUP("F7988",ราคาสี!$A:$J,10,0)*mult_wood/mult_euro),IFERROR(VLOOKUP("F7988",ราคาสี!$A:$D,4,0),120)+IF(F9="สีอบพิเศษ",rate_special,rate_woodbake)*น้ำหนักโปรไฟล์!$C$270))))))</f>
        <v>100</v>
      </c>
      <c r="D19" s="29">
        <f t="shared" si="0"/>
        <v>400</v>
      </c>
    </row>
    <row r="20" spans="1:4" ht="15" customHeight="1">
      <c r="A20" s="28" t="s">
        <v>1187</v>
      </c>
      <c r="B20" s="34">
        <f>($F$2*(B2/100)/6.4)*buf_scrap</f>
        <v>3.65625</v>
      </c>
      <c r="C20" s="35">
        <f>IF(F9="สีอบขาว/ดำ",IFERROR(VLOOKUP("F7993",ราคาสี!$A:$D,4,0),120),IF(OR(F9="เทาซาฮาร่า",F9="สีดำซาฮาร่า"),VLOOKUP("F7993",ราคาสี!$A:$F,5,0),IF(F9="แอทแทคเกรย์",VLOOKUP("F7993",ราคาสี!$A:$J,7,0),IF(F9="ลายไม้สักทอง",(VLOOKUP("F7993",ราคาสี!$A:$H,8,0)*mult_wood/mult_euro),IF(F9="ลายไม้มะฮอกกานี",(VLOOKUP("F7993",ราคาสี!$A:$J,9,0)*mult_wood/mult_euro),IF(F9="ลายไม้ไวท์โอ๊ค",(VLOOKUP("F7993",ราคาสี!$A:$J,10,0)*mult_wood/mult_euro),IFERROR(VLOOKUP("F7993",ราคาสี!$A:$D,4,0),120)+IF(F9="สีอบพิเศษ",rate_special,rate_woodbake)*น้ำหนักโปรไฟล์!$C$271))))))</f>
        <v>95</v>
      </c>
      <c r="D20" s="29">
        <f t="shared" si="0"/>
        <v>347.34375</v>
      </c>
    </row>
    <row r="21" spans="1:4" ht="15" customHeight="1">
      <c r="A21" s="28" t="s">
        <v>1188</v>
      </c>
      <c r="B21" s="34">
        <f>($F$2*(B2/100)/6.4)*buf_scrap</f>
        <v>3.65625</v>
      </c>
      <c r="C21" s="35">
        <f>IF(F9="สีอบขาว/ดำ",IFERROR(VLOOKUP("F7994",ราคาสี!$A:$D,4,0),150),IF(OR(F9="เทาซาฮาร่า",F9="สีดำซาฮาร่า"),VLOOKUP("F7994",ราคาสี!$A:$F,5,0),IF(F9="แอทแทคเกรย์",VLOOKUP("F7994",ราคาสี!$A:$J,7,0),IF(F9="ลายไม้สักทอง",(VLOOKUP("F7994",ราคาสี!$A:$H,8,0)*mult_wood/mult_euro),IF(F9="ลายไม้มะฮอกกานี",(VLOOKUP("F7994",ราคาสี!$A:$J,9,0)*mult_wood/mult_euro),IF(F9="ลายไม้ไวท์โอ๊ค",(VLOOKUP("F7994",ราคาสี!$A:$J,10,0)*mult_wood/mult_euro),IFERROR(VLOOKUP("F7994",ราคาสี!$A:$D,4,0),150)+IF(F9="สีอบพิเศษ",rate_special,rate_woodbake)*น้ำหนักโปรไฟล์!$C$272))))))</f>
        <v>150</v>
      </c>
      <c r="D21" s="29">
        <f t="shared" si="0"/>
        <v>548.4375</v>
      </c>
    </row>
    <row r="22" spans="1:4" ht="15" customHeight="1">
      <c r="A22" s="97" t="s">
        <v>3031</v>
      </c>
      <c r="B22" s="467">
        <f>((B2/100)/6.4)*buf_scrap</f>
        <v>1.21875</v>
      </c>
      <c r="C22" s="468">
        <f>IF(F9="สีอบขาว/ดำ",IFERROR(VLOOKUP("F7991",ราคาสี!$A:$D,4,0),150),IF(OR(F9="เทาซาฮาร่า",F9="สีดำซาฮาร่า"),VLOOKUP("F7991",ราคาสี!$A:$F,5,0),IF(F9="แอทแทคเกรย์",VLOOKUP("F7991",ราคาสี!$A:$J,7,0),IF(F9="ลายไม้สักทอง",(VLOOKUP("F7991",ราคาสี!$A:$H,8,0)*mult_wood/mult_euro),IF(F9="ลายไม้มะฮอกกานี",(VLOOKUP("F7991",ราคาสี!$A:$J,9,0)*mult_wood/mult_euro),IF(F9="ลายไม้ไวท์โอ๊ค",(VLOOKUP("F7991",ราคาสี!$A:$J,10,0)*mult_wood/mult_euro),IFERROR(VLOOKUP("F7991",ราคาสี!$A:$D,4,0),150)+IF(F9="สีอบพิเศษ",rate_special,rate_woodbake)*น้ำหนักโปรไฟล์!$C$273))))))</f>
        <v>300</v>
      </c>
      <c r="D22" s="237">
        <f>B22*C22*mult_euro</f>
        <v>365.625</v>
      </c>
    </row>
    <row r="23" spans="1:4" ht="15" customHeight="1">
      <c r="A23" s="28" t="s">
        <v>1189</v>
      </c>
      <c r="B23" s="34">
        <f>1</f>
        <v>1</v>
      </c>
      <c r="C23" s="35">
        <f>IF(F9="สีอบขาว/ดำ",IFERROR(VLOOKUP("F7992",ราคาสี!$A:$D,4,0),505),IF(OR(F9="เทาซาฮาร่า",F9="สีดำซาฮาร่า"),VLOOKUP("F7992",ราคาสี!$A:$F,5,0),IF(F9="แอทแทคเกรย์",VLOOKUP("F7992",ราคาสี!$A:$J,7,0),IF(F9="ลายไม้สักทอง",(VLOOKUP("F7992",ราคาสี!$A:$H,8,0)*mult_wood/mult_euro),IF(F9="ลายไม้มะฮอกกานี",(VLOOKUP("F7992",ราคาสี!$A:$J,9,0)*mult_wood/mult_euro),IF(F9="ลายไม้ไวท์โอ๊ค",(VLOOKUP("F7992",ราคาสี!$A:$J,10,0)*mult_wood/mult_euro),IFERROR(VLOOKUP("F7992",ราคาสี!$A:$D,4,0),505)+IF(F9="สีอบพิเศษ",rate_special,rate_woodbake)*น้ำหนักโปรไฟล์!$C$274))))))</f>
        <v>535</v>
      </c>
      <c r="D23" s="29">
        <f t="shared" si="0"/>
        <v>535</v>
      </c>
    </row>
    <row r="24" spans="1:4" ht="15" customHeight="1">
      <c r="A24" s="28" t="s">
        <v>1190</v>
      </c>
      <c r="B24" s="34">
        <f>IF(B5="เปิดคู่กลาง",1,0)</f>
        <v>0</v>
      </c>
      <c r="C24" s="35">
        <f>IF(F9="สีอบขาว/ดำ",IFERROR(VLOOKUP("F7855",ราคาสี!$A:$D,4,0),1230),IF(OR(F9="เทาซาฮาร่า",F9="สีดำซาฮาร่า"),VLOOKUP("F7855",ราคาสี!$A:$F,5,0),IF(F9="แอทแทคเกรย์",VLOOKUP("F7855",ราคาสี!$A:$J,7,0),IF(F9="ลายไม้สักทอง",(VLOOKUP("F7855",ราคาสี!$A:$H,8,0)*mult_wood/mult_euro),IF(F9="ลายไม้มะฮอกกานี",(VLOOKUP("F7855",ราคาสี!$A:$J,9,0)*mult_wood/mult_euro),IF(F9="ลายไม้ไวท์โอ๊ค",(VLOOKUP("F7855",ราคาสี!$A:$J,10,0)*mult_wood/mult_euro),IFERROR(VLOOKUP("F7855",ราคาสี!$A:$D,4,0),1230)+IF(F9="สีอบพิเศษ",rate_special,rate_woodbake)*น้ำหนักโปรไฟล์!$C$275))))))</f>
        <v>1300</v>
      </c>
      <c r="D24" s="29">
        <f t="shared" si="0"/>
        <v>0</v>
      </c>
    </row>
    <row r="25" spans="1:4" ht="15" customHeight="1">
      <c r="A25" s="28" t="s">
        <v>1073</v>
      </c>
      <c r="B25" s="34">
        <f>IF(B5="เปิดคู่กลาง",2,0)</f>
        <v>0</v>
      </c>
      <c r="C25" s="35">
        <f>IF(F9="สีอบขาว/ดำ",IFERROR(VLOOKUP("F7880",ราคาสี!$A:$D,4,0),345),IF(OR(F9="เทาซาฮาร่า",F9="สีดำซาฮาร่า"),VLOOKUP("F7880",ราคาสี!$A:$F,5,0),IF(F9="แอทแทคเกรย์",VLOOKUP("F7880",ราคาสี!$A:$J,7,0),IF(F9="ลายไม้สักทอง",(VLOOKUP("F7880",ราคาสี!$A:$H,8,0)*mult_wood/mult_euro),IF(F9="ลายไม้มะฮอกกานี",(VLOOKUP("F7880",ราคาสี!$A:$J,9,0)*mult_wood/mult_euro),IF(F9="ลายไม้ไวท์โอ๊ค",(VLOOKUP("F7880",ราคาสี!$A:$J,10,0)*mult_wood/mult_euro),IFERROR(VLOOKUP("F7880",ราคาสี!$A:$D,4,0),345)+IF(F9="สีอบพิเศษ",rate_special,rate_woodbake)*น้ำหนักโปรไฟล์!$C$276))))))</f>
        <v>370</v>
      </c>
      <c r="D25" s="29">
        <f t="shared" si="0"/>
        <v>0</v>
      </c>
    </row>
    <row r="26" spans="1:4" ht="15" customHeight="1">
      <c r="A26" s="28" t="s">
        <v>1074</v>
      </c>
      <c r="B26" s="34">
        <f>IF(B5="เปิดคู่กลาง",2,0)</f>
        <v>0</v>
      </c>
      <c r="C26" s="35">
        <f>IF(F9="สีอบขาว/ดำ",IFERROR(VLOOKUP("F7879",ราคาสี!$A:$D,4,0),355),IF(OR(F9="เทาซาฮาร่า",F9="สีดำซาฮาร่า"),VLOOKUP("F7879",ราคาสี!$A:$F,5,0),IF(F9="แอทแทคเกรย์",VLOOKUP("F7879",ราคาสี!$A:$J,7,0),IF(F9="ลายไม้สักทอง",(VLOOKUP("F7879",ราคาสี!$A:$H,8,0)*mult_wood/mult_euro),IF(F9="ลายไม้มะฮอกกานี",(VLOOKUP("F7879",ราคาสี!$A:$J,9,0)*mult_wood/mult_euro),IF(F9="ลายไม้ไวท์โอ๊ค",(VLOOKUP("F7879",ราคาสี!$A:$J,10,0)*mult_wood/mult_euro),IFERROR(VLOOKUP("F7879",ราคาสี!$A:$D,4,0),355)+IF(F9="สีอบพิเศษ",rate_special,rate_woodbake)*น้ำหนักโปรไฟล์!$C$277))))))</f>
        <v>375</v>
      </c>
      <c r="D26" s="29">
        <f t="shared" si="0"/>
        <v>0</v>
      </c>
    </row>
    <row r="27" spans="1:4" ht="15" customHeight="1">
      <c r="A27" s="97" t="s">
        <v>3028</v>
      </c>
      <c r="B27" s="467">
        <f>IF(B5="เปิดคู่กลาง",1,0)</f>
        <v>0</v>
      </c>
      <c r="C27" s="468">
        <f>IF(F9="สีอบขาว/ดำ",IFERROR(VLOOKUP("F7925",ราคาสี!$A:$D,4,0),355),IF(OR(F9="เทาซาฮาร่า",F9="สีดำซาฮาร่า"),VLOOKUP("F7925",ราคาสี!$A:$F,5,0),IF(F9="แอทแทคเกรย์",VLOOKUP("F7925",ราคาสี!$A:$J,7,0),IF(F9="ลายไม้สักทอง",(VLOOKUP("F7925",ราคาสี!$A:$H,8,0)*mult_wood/mult_euro),IF(F9="ลายไม้มะฮอกกานี",(VLOOKUP("F7925",ราคาสี!$A:$J,9,0)*mult_wood/mult_euro),IF(F9="ลายไม้ไวท์โอ๊ค",(VLOOKUP("F7925",ราคาสี!$A:$J,10,0)*mult_wood/mult_euro),IFERROR(VLOOKUP("F7925",ราคาสี!$A:$D,4,0),355)+IF(F9="สีอบพิเศษ",rate_special,rate_woodbake)*น้ำหนักโปรไฟล์!$C$279))))))</f>
        <v>440</v>
      </c>
      <c r="D27" s="237">
        <f>B27*C27*mult_euro</f>
        <v>0</v>
      </c>
    </row>
    <row r="28" spans="1:4" ht="15" customHeight="1">
      <c r="A28" s="28" t="s">
        <v>1128</v>
      </c>
      <c r="B28" s="34">
        <f>((B2/100)+(B4-1)*0.1)*(B3/100)</f>
        <v>18.600000000000001</v>
      </c>
      <c r="C28" s="35">
        <f>INDEX(ราคากระจก!$B$3:$B$206,MATCH(B9,ราคากระจก!$A$3:$A$206,0))</f>
        <v>264</v>
      </c>
      <c r="D28" s="29">
        <f t="shared" ref="D28:D37" si="1">B28*C28</f>
        <v>4910.4000000000005</v>
      </c>
    </row>
    <row r="29" spans="1:4" ht="15" customHeight="1">
      <c r="A29" s="28" t="s">
        <v>1129</v>
      </c>
      <c r="B29" s="34">
        <f>2*$F$2</f>
        <v>6</v>
      </c>
      <c r="C29" s="35">
        <v>80</v>
      </c>
      <c r="D29" s="29">
        <f t="shared" si="1"/>
        <v>480</v>
      </c>
    </row>
    <row r="30" spans="1:4" ht="15" customHeight="1">
      <c r="A30" s="28" t="s">
        <v>1130</v>
      </c>
      <c r="B30" s="34">
        <f>2*$F$3</f>
        <v>4</v>
      </c>
      <c r="C30" s="35">
        <v>99</v>
      </c>
      <c r="D30" s="29">
        <f t="shared" si="1"/>
        <v>396</v>
      </c>
    </row>
    <row r="31" spans="1:4" ht="15" customHeight="1">
      <c r="A31" s="28" t="s">
        <v>1131</v>
      </c>
      <c r="B31" s="34">
        <f>$F$4</f>
        <v>2</v>
      </c>
      <c r="C31" s="35">
        <f>ชีทอุปกรณ์!$D$193</f>
        <v>189</v>
      </c>
      <c r="D31" s="29">
        <f t="shared" si="1"/>
        <v>378</v>
      </c>
    </row>
    <row r="32" spans="1:4" ht="15" customHeight="1">
      <c r="A32" s="28" t="s">
        <v>1191</v>
      </c>
      <c r="B32" s="34">
        <f>8*B4</f>
        <v>24</v>
      </c>
      <c r="C32" s="35">
        <v>2</v>
      </c>
      <c r="D32" s="29">
        <f t="shared" si="1"/>
        <v>48</v>
      </c>
    </row>
    <row r="33" spans="1:5" ht="15" customHeight="1">
      <c r="A33" s="28" t="s">
        <v>1192</v>
      </c>
      <c r="B33" s="34">
        <f>4*B4</f>
        <v>12</v>
      </c>
      <c r="C33" s="35">
        <v>29</v>
      </c>
      <c r="D33" s="29">
        <f t="shared" si="1"/>
        <v>348</v>
      </c>
    </row>
    <row r="34" spans="1:5" ht="15" customHeight="1">
      <c r="A34" s="28" t="s">
        <v>1132</v>
      </c>
      <c r="B34" s="34">
        <f>6*(B3/100)+9*(B2/100)+2*($F$5+$F$6)*(B3/100)</f>
        <v>96</v>
      </c>
      <c r="C34" s="35">
        <v>1.5</v>
      </c>
      <c r="D34" s="29">
        <f t="shared" si="1"/>
        <v>144</v>
      </c>
    </row>
    <row r="35" spans="1:5" ht="15" customHeight="1">
      <c r="A35" s="28" t="s">
        <v>1133</v>
      </c>
      <c r="B35" s="34">
        <f>8+4*B4</f>
        <v>20</v>
      </c>
      <c r="C35" s="35">
        <v>1</v>
      </c>
      <c r="D35" s="29">
        <f t="shared" si="1"/>
        <v>20</v>
      </c>
    </row>
    <row r="36" spans="1:5" ht="15" customHeight="1">
      <c r="A36" s="28" t="s">
        <v>1134</v>
      </c>
      <c r="B36" s="34">
        <f>ROUNDUP(2*((B2/100)+(B3/100))*2/12.5,0)</f>
        <v>3</v>
      </c>
      <c r="C36" s="35">
        <f>B8</f>
        <v>90</v>
      </c>
      <c r="D36" s="29">
        <f t="shared" si="1"/>
        <v>270</v>
      </c>
    </row>
    <row r="37" spans="1:5" ht="15" customHeight="1">
      <c r="A37" s="36" t="s">
        <v>1135</v>
      </c>
      <c r="B37" s="36">
        <f>IF(OR(F9="สีอบพิเศษ",F9="สีลายไม้อบพิเศษ"),1,0)</f>
        <v>0</v>
      </c>
      <c r="C37" s="32">
        <f>อัปเดตราคาอลู!$B$17</f>
        <v>2000</v>
      </c>
      <c r="D37" s="32">
        <f t="shared" si="1"/>
        <v>0</v>
      </c>
      <c r="E37" s="36" t="s">
        <v>1136</v>
      </c>
    </row>
    <row r="38" spans="1:5" ht="15" customHeight="1">
      <c r="A38" s="607" t="s">
        <v>1137</v>
      </c>
      <c r="D38" s="37">
        <f>SUM(D11:D37)+D59+D66+D67+D68+D69</f>
        <v>30942.368750000001</v>
      </c>
    </row>
    <row r="39" spans="1:5" ht="15" customHeight="1">
      <c r="A39" s="607" t="s">
        <v>1045</v>
      </c>
      <c r="D39" s="37">
        <f>IFERROR(D38/B6,0)</f>
        <v>1719.0204861111113</v>
      </c>
    </row>
    <row r="40" spans="1:5" ht="15" customHeight="1">
      <c r="A40" s="38" t="s">
        <v>1140</v>
      </c>
      <c r="D40" s="39">
        <f>ROUNDUP(D38*(1+B7/100)/100,0)*100</f>
        <v>49600</v>
      </c>
    </row>
    <row r="42" spans="1:5" ht="15" customHeight="1">
      <c r="A42" s="45" t="s">
        <v>1143</v>
      </c>
      <c r="D42" s="24">
        <f>D40</f>
        <v>49600</v>
      </c>
    </row>
    <row r="44" spans="1:5">
      <c r="A44" s="21" t="s">
        <v>1157</v>
      </c>
    </row>
    <row r="45" spans="1:5">
      <c r="A45" s="40" t="s">
        <v>1158</v>
      </c>
      <c r="D45" s="22">
        <f>MAX(0,VLOOKUP("บานเลื่อน ยูโร",ค่าแรง!$A$12:$N$117,2,0)+VLOOKUP("บานเลื่อน ยูโร",ค่าแรง!$A$12:$N$117,3,0)*B6)</f>
        <v>1685.25</v>
      </c>
    </row>
    <row r="46" spans="1:5">
      <c r="A46" s="40" t="s">
        <v>1159</v>
      </c>
      <c r="D46" s="22">
        <f>MAX(0,VLOOKUP("บานเลื่อน ยูโร",ค่าแรง!$A$12:$N$117,4,0)+VLOOKUP("บานเลื่อน ยูโร",ค่าแรง!$A$12:$N$117,5,0)*B6)</f>
        <v>1743</v>
      </c>
    </row>
    <row r="48" spans="1:5">
      <c r="A48" s="21" t="s">
        <v>1160</v>
      </c>
      <c r="D48" s="24">
        <f>ROUNDUP((ROUNDUP((ROUNDUP(D38*(1+B7/100)/100,0)*100+ROUNDUP((D45+D70)*(1+B88/100)/100,0)*100)*(1+$B$90/100)/100,0)*100)*1/100,0)*100</f>
        <v>68400</v>
      </c>
    </row>
    <row r="49" spans="1:8">
      <c r="A49" s="21" t="s">
        <v>1161</v>
      </c>
      <c r="D49" s="24">
        <f>D48+ROUNDUP((ROUNDUP((ROUNDUP((D46+D71)*(1+B89/100)/100,0)*100)*(1+$B$90/100)/100,0)*100)*1/100,0)*100</f>
        <v>73500</v>
      </c>
    </row>
    <row r="52" spans="1:8">
      <c r="A52" s="118" t="s">
        <v>1193</v>
      </c>
      <c r="B52" s="119"/>
      <c r="C52" s="119"/>
      <c r="D52" s="119"/>
    </row>
    <row r="53" spans="1:8">
      <c r="A53" s="16" t="s">
        <v>1163</v>
      </c>
      <c r="B53" s="609" t="s">
        <v>1164</v>
      </c>
      <c r="C53" s="119"/>
      <c r="D53" s="119"/>
      <c r="F53" s="16" t="s">
        <v>1165</v>
      </c>
      <c r="G53" s="16">
        <f>INDEX(ราคาออโต้!$C:$C,MATCH("Evecca (จีน)",ราคาออโต้!$B:$B,0))</f>
        <v>13480</v>
      </c>
    </row>
    <row r="54" spans="1:8">
      <c r="A54" s="16" t="s">
        <v>1166</v>
      </c>
      <c r="B54" s="609" t="s">
        <v>548</v>
      </c>
      <c r="C54" s="119"/>
      <c r="D54" s="119"/>
      <c r="F54" s="16" t="s">
        <v>1167</v>
      </c>
      <c r="G54" s="16">
        <f>INDEX(ราคาออโต้!$C:$C,MATCH("สายพาน Evecca",ราคาออโต้!$B:$B,0))</f>
        <v>75</v>
      </c>
    </row>
    <row r="55" spans="1:8">
      <c r="A55" s="16" t="s">
        <v>1168</v>
      </c>
      <c r="B55" s="609" t="s">
        <v>1164</v>
      </c>
      <c r="C55" s="119"/>
      <c r="D55" s="119"/>
      <c r="F55" s="16" t="s">
        <v>1169</v>
      </c>
      <c r="G55" s="16">
        <f>INDEX(ราคาออโต้!$D:$D,MATCH("Evecca (จีน)",ราคาออโต้!$B:$B,0))</f>
        <v>1700</v>
      </c>
    </row>
    <row r="56" spans="1:8">
      <c r="A56" s="16" t="s">
        <v>1170</v>
      </c>
      <c r="B56" s="609" t="s">
        <v>1164</v>
      </c>
      <c r="C56" s="119"/>
      <c r="D56" s="119"/>
      <c r="F56" s="16" t="s">
        <v>1171</v>
      </c>
      <c r="G56" s="16">
        <f>INDEX(ราคาออโต้!$C:$C,MATCH("ออป Smart lock",ราคาออโต้!$B:$B,0))</f>
        <v>6500</v>
      </c>
    </row>
    <row r="57" spans="1:8">
      <c r="A57" s="16" t="s">
        <v>1172</v>
      </c>
      <c r="B57" s="609" t="s">
        <v>1164</v>
      </c>
      <c r="C57" s="119"/>
      <c r="D57" s="119"/>
      <c r="F57" s="16" t="s">
        <v>1173</v>
      </c>
      <c r="G57" s="16">
        <f>INDEX(ราคาออโต้!$C:$C,MATCH("ช่างแซก",ราคาออโต้!$B:$B,0))</f>
        <v>8000</v>
      </c>
    </row>
    <row r="58" spans="1:8">
      <c r="A58" s="119"/>
      <c r="B58" s="119"/>
      <c r="C58" s="119"/>
      <c r="D58" s="119"/>
      <c r="F58" s="16" t="s">
        <v>1174</v>
      </c>
      <c r="G58" s="16">
        <f>INDEX(ราคาออโต้!$C:$C,MATCH("เซฟตี้ตาแมว (บังคับช่างแซก)",ราคาออโต้!$B:$B,0))</f>
        <v>1000</v>
      </c>
    </row>
    <row r="59" spans="1:8">
      <c r="A59" s="120" t="s">
        <v>1175</v>
      </c>
      <c r="B59" s="119"/>
      <c r="C59" s="119"/>
      <c r="D59" s="121">
        <f>IF(B53="ไม่มี",0,IF(B54="Evecca (จีน)",G53+ROUND(G54*B2*2/100,0)+G55+IF(B55="มี",G56,0),(G57+G58+ROUND(G59*B2/100,0)+IF(B56="มี",G60,0)+IF(B57="มี",G61,0))*IF(B5="เปิดคู่กลาง",1,MIN(B4,3))))</f>
        <v>0</v>
      </c>
      <c r="F59" s="16" t="s">
        <v>1176</v>
      </c>
      <c r="G59" s="16">
        <f>INDEX(ราคาออโต้!$C:$C,MATCH("ราง ช่างแซก",ราคาออโต้!$B:$B,0))</f>
        <v>950</v>
      </c>
    </row>
    <row r="60" spans="1:8">
      <c r="F60" s="16" t="s">
        <v>1177</v>
      </c>
      <c r="G60" s="16">
        <f>INDEX(ราคาออโต้!$C:$C,MATCH("ออป Touch Switch (ช่างแซก)",ราคาออโต้!$B:$B,0))</f>
        <v>1000</v>
      </c>
    </row>
    <row r="61" spans="1:8">
      <c r="F61" s="16" t="s">
        <v>1178</v>
      </c>
      <c r="G61" s="16">
        <f>INDEX(ราคาออโต้!$C:$C,MATCH("ออป Infrared (ช่างแซก)",ราคาออโต้!$B:$B,0))</f>
        <v>9000</v>
      </c>
    </row>
    <row r="63" spans="1:8">
      <c r="A63" s="172" t="s">
        <v>1145</v>
      </c>
    </row>
    <row r="64" spans="1:8">
      <c r="A64" s="21" t="s">
        <v>1147</v>
      </c>
      <c r="B64" s="610" t="s">
        <v>674</v>
      </c>
      <c r="C64" s="217" t="str">
        <f>IF(B64="ไม่มีมุ้ง","—",IF(H65=1,"✓ ใช้ได้","⚠ ใช้กับบานนี้ไม่ได้(ทุน=0)"))</f>
        <v>—</v>
      </c>
      <c r="D64" s="217" t="str">
        <f>IF(B64="ไม่มีมุ้ง","",H70&amp;" บาน")</f>
        <v/>
      </c>
      <c r="H64" s="218" t="str">
        <f>IFERROR(VLOOKUP(B64,ราคามุ้ง!$A$2:$K$15,3,0),"")</f>
        <v/>
      </c>
    </row>
    <row r="65" spans="1:11">
      <c r="A65" s="26" t="s">
        <v>1148</v>
      </c>
      <c r="B65" s="610" t="s">
        <v>682</v>
      </c>
      <c r="C65" s="610" t="s">
        <v>1149</v>
      </c>
      <c r="H65" s="218">
        <f>IF(B64="ไม่มีมุ้ง",0,IF(OR(IFERROR(VLOOKUP(B64,ราคามุ้ง!$A$2:$K$15,4,0),"ALL")="ALL",ISNUMBER(SEARCH("ยูโร",IFERROR(VLOOKUP(B64,ราคามุ้ง!$A$2:$K$15,4,0),"")))),1,0))</f>
        <v>0</v>
      </c>
    </row>
    <row r="66" spans="1:11">
      <c r="A66" s="26" t="s">
        <v>1150</v>
      </c>
      <c r="B66" s="219">
        <f>IF(AND(H65=1,H66=1),ROUND(H70*2*H69/6,2),0)</f>
        <v>0</v>
      </c>
      <c r="C66" s="220">
        <f>IF(B64="มุ้งเฟรมเล็ก",ราคามุ้ง!$B$19,IF(B64="มุ้งเฟรมใหญ่",ROUND(C11*mult_euro,0),IF(B64="มุ้งนิรภัย",ราคามุ้ง!$B$21,0)))</f>
        <v>0</v>
      </c>
      <c r="D66" s="221">
        <f>ROUND(B66*C66,0)</f>
        <v>0</v>
      </c>
      <c r="H66" s="218">
        <f>IF(OR(B64="มุ้งเฟรมเล็ก",B64="มุ้งเฟรมใหญ่",B64="มุ้งนิรภัย"),1,0)</f>
        <v>0</v>
      </c>
    </row>
    <row r="67" spans="1:11">
      <c r="A67" s="26" t="s">
        <v>1151</v>
      </c>
      <c r="B67" s="222">
        <f>IF(AND(H65=1,H66=1),ROUND(H70*2*H68/6,2),0)</f>
        <v>0</v>
      </c>
      <c r="C67" s="220">
        <f>IF(B64="มุ้งเฟรมเล็ก",ราคามุ้ง!$B$19,IF(B64="มุ้งเฟรมใหญ่",ROUND(C11*mult_euro,0),IF(B64="มุ้งนิรภัย",ราคามุ้ง!$B$21,0)))</f>
        <v>0</v>
      </c>
      <c r="D67" s="220">
        <f>ROUND(B67*C67,0)</f>
        <v>0</v>
      </c>
      <c r="H67" s="218">
        <f>IFERROR(VLOOKUP(B65,ราคามุ้ง!$I$2:$J$5,2,0),0)</f>
        <v>23</v>
      </c>
    </row>
    <row r="68" spans="1:11">
      <c r="A68" s="21" t="s">
        <v>1152</v>
      </c>
      <c r="B68" s="223">
        <f>IF(AND(H65=1,H66=1),ROUND(H70*2*(H68+H69),2),0)</f>
        <v>0</v>
      </c>
      <c r="C68" s="220">
        <f>ราคามุ้ง!$D$19</f>
        <v>5</v>
      </c>
      <c r="D68" s="221">
        <f>ROUND(B68*C68,0)</f>
        <v>0</v>
      </c>
      <c r="H68" s="224">
        <f>B2/(B4*100)</f>
        <v>2</v>
      </c>
    </row>
    <row r="69" spans="1:11">
      <c r="A69" s="21" t="s">
        <v>1153</v>
      </c>
      <c r="B69" s="223">
        <f>IF(H65=0,0,ROUND(H70*H68*H69,2))</f>
        <v>0</v>
      </c>
      <c r="C69" s="220">
        <f>IF(B64="มุ้งนิรภัย",650,IF(OR(B64="มุ้งเฟรมเล็ก",B64="มุ้งเฟรมใหญ่"),H67,IF(H64="ซื้อสำเร็จ",IFERROR(VLOOKUP(B64,ราคามุ้ง!$A$2:$K$15,2,0),0),0)))</f>
        <v>0</v>
      </c>
      <c r="D69" s="221">
        <f>ROUND(B69*C69,0)</f>
        <v>0</v>
      </c>
      <c r="H69" s="223">
        <f>B3/100</f>
        <v>3</v>
      </c>
    </row>
    <row r="70" spans="1:11">
      <c r="A70" s="21" t="s">
        <v>1154</v>
      </c>
      <c r="D70" s="221">
        <f>IF(H65=0,0,ROUND(H70*(VLOOKUP(B64,ค่าแรง!$A$12:$N$103,2,0)+VLOOKUP(B64,ค่าแรง!$A$12:$N$103,3,0)*H68*H69),0))</f>
        <v>0</v>
      </c>
      <c r="H70" s="217">
        <f>IF(AND(B5="อิสระ",B4=2),1,F2)</f>
        <v>3</v>
      </c>
    </row>
    <row r="71" spans="1:11">
      <c r="A71" s="217" t="s">
        <v>1155</v>
      </c>
      <c r="D71" s="220">
        <f>IF(H65=0,0,ROUND(H70*(VLOOKUP(B64,ค่าแรง!$A$12:$N$103,4,0)+VLOOKUP(B64,ค่าแรง!$A$12:$N$103,5,0)*H68*H69),0))</f>
        <v>0</v>
      </c>
    </row>
    <row r="72" spans="1:11">
      <c r="A72" s="253" t="s">
        <v>1194</v>
      </c>
      <c r="D72" s="254">
        <f>SUM(D66:D71)</f>
        <v>0</v>
      </c>
    </row>
    <row r="73" spans="1:1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</row>
    <row r="74" spans="1:11">
      <c r="A74" s="289"/>
      <c r="B74" s="117"/>
      <c r="C74" s="117"/>
      <c r="D74" s="117"/>
      <c r="E74" s="117"/>
      <c r="F74" s="117"/>
      <c r="G74" s="117"/>
      <c r="H74" s="117"/>
      <c r="I74" s="117"/>
      <c r="J74" s="117"/>
      <c r="K74" s="117"/>
    </row>
    <row r="75" spans="1:11">
      <c r="A75" s="290"/>
      <c r="B75" s="291"/>
      <c r="C75" s="117"/>
      <c r="D75" s="117"/>
      <c r="E75" s="117"/>
      <c r="F75" s="117"/>
      <c r="G75" s="117"/>
      <c r="H75" s="117"/>
      <c r="I75" s="117"/>
      <c r="J75" s="117"/>
      <c r="K75" s="117"/>
    </row>
    <row r="76" spans="1:11">
      <c r="A76" s="290"/>
      <c r="B76" s="291"/>
      <c r="C76" s="117"/>
      <c r="D76" s="117"/>
      <c r="E76" s="117"/>
      <c r="F76" s="117"/>
      <c r="G76" s="117"/>
      <c r="H76" s="117"/>
      <c r="I76" s="117"/>
      <c r="J76" s="117"/>
      <c r="K76" s="117"/>
    </row>
    <row r="77" spans="1:11">
      <c r="A77" s="290"/>
      <c r="B77" s="291"/>
      <c r="C77" s="117"/>
      <c r="D77" s="117"/>
      <c r="E77" s="117"/>
      <c r="F77" s="117"/>
      <c r="G77" s="117"/>
      <c r="H77" s="117"/>
      <c r="I77" s="117"/>
      <c r="J77" s="117"/>
      <c r="K77" s="117"/>
    </row>
    <row r="78" spans="1:11">
      <c r="A78" s="290"/>
      <c r="B78" s="292"/>
      <c r="C78" s="117"/>
      <c r="D78" s="117"/>
      <c r="E78" s="117"/>
      <c r="F78" s="117"/>
      <c r="G78" s="117"/>
      <c r="H78" s="117"/>
      <c r="I78" s="117"/>
      <c r="J78" s="117"/>
      <c r="K78" s="117"/>
    </row>
    <row r="79" spans="1:1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</row>
    <row r="80" spans="1:11">
      <c r="A80" s="283" t="s">
        <v>1138</v>
      </c>
    </row>
    <row r="81" spans="1:6">
      <c r="A81" s="284" t="s">
        <v>1139</v>
      </c>
      <c r="B81" s="285">
        <f>D11+D13+D14+D15+D16+D17+D18+D19+D20+D21+D23+D24+D25+D26+D36</f>
        <v>22511.71875</v>
      </c>
    </row>
    <row r="82" spans="1:6">
      <c r="A82" s="286" t="s">
        <v>1141</v>
      </c>
      <c r="B82" s="287">
        <f>D12+D28</f>
        <v>6251.0250000000005</v>
      </c>
    </row>
    <row r="83" spans="1:6">
      <c r="A83" s="286" t="s">
        <v>1142</v>
      </c>
      <c r="B83" s="287">
        <f>D29+D30+D31+D32+D33+D34+D35+D37</f>
        <v>1814</v>
      </c>
    </row>
    <row r="84" spans="1:6">
      <c r="A84" s="286" t="s">
        <v>1144</v>
      </c>
      <c r="B84" s="288">
        <f>SUM(B81:B83)</f>
        <v>30576.743750000001</v>
      </c>
    </row>
    <row r="86" spans="1:6">
      <c r="A86" s="286" t="s">
        <v>3148</v>
      </c>
    </row>
    <row r="87" spans="1:6">
      <c r="A87" s="286" t="s">
        <v>1179</v>
      </c>
      <c r="B87" s="543">
        <f>ROUND(($B$94*$B$95-1)*100,0)</f>
        <v>60</v>
      </c>
      <c r="C87" s="286" t="s">
        <v>3149</v>
      </c>
    </row>
    <row r="88" spans="1:6">
      <c r="A88" s="286" t="s">
        <v>1180</v>
      </c>
      <c r="B88" s="543">
        <f>ROUND(($C$94*$B$95-1)*100,0)</f>
        <v>78</v>
      </c>
      <c r="C88" s="286" t="s">
        <v>3149</v>
      </c>
    </row>
    <row r="89" spans="1:6">
      <c r="A89" s="286" t="s">
        <v>1181</v>
      </c>
      <c r="B89" s="543">
        <f>ROUND(($D$94*$B$95-1)*100,0)</f>
        <v>122</v>
      </c>
      <c r="C89" s="286" t="s">
        <v>3149</v>
      </c>
    </row>
    <row r="90" spans="1:6">
      <c r="A90" s="286" t="s">
        <v>3122</v>
      </c>
      <c r="B90" s="539">
        <v>30</v>
      </c>
      <c r="C90" s="286" t="s">
        <v>3150</v>
      </c>
    </row>
    <row r="92" spans="1:6">
      <c r="A92" s="533" t="s">
        <v>3151</v>
      </c>
      <c r="B92" s="535"/>
      <c r="C92" s="533"/>
    </row>
    <row r="93" spans="1:6">
      <c r="A93" t="s">
        <v>3144</v>
      </c>
      <c r="B93" s="541">
        <v>30</v>
      </c>
      <c r="C93" t="s">
        <v>3152</v>
      </c>
    </row>
    <row r="94" spans="1:6">
      <c r="A94" t="s">
        <v>3153</v>
      </c>
      <c r="B94" s="542">
        <v>1.5509999999999999</v>
      </c>
      <c r="C94" s="542">
        <v>1.7230000000000001</v>
      </c>
      <c r="D94" s="542">
        <v>2.1539999999999999</v>
      </c>
      <c r="E94" s="542" t="s">
        <v>3154</v>
      </c>
      <c r="F94" s="542"/>
    </row>
    <row r="95" spans="1:6">
      <c r="A95" t="s">
        <v>3155</v>
      </c>
      <c r="B95" s="542">
        <f>IFERROR((((D38)+(D45+D70)+(D46+D71))/(100/(100+B90)-B93/100))/(((D38)*$B$94+(D45+D70)*$C$94+(D46+D71)*$D$94)*(1+B90/100)),1)</f>
        <v>1.0310258662977967</v>
      </c>
      <c r="C95" t="s">
        <v>3156</v>
      </c>
    </row>
    <row r="97" spans="1:3">
      <c r="A97" s="533" t="s">
        <v>3126</v>
      </c>
      <c r="B97" s="535"/>
      <c r="C97" s="533"/>
    </row>
    <row r="98" spans="1:3">
      <c r="A98" s="533" t="s">
        <v>3127</v>
      </c>
      <c r="B98" s="534">
        <f>IFERROR(ROUND(D49-D49/(1+B90/100),0),0)</f>
        <v>16962</v>
      </c>
      <c r="C98" s="533" t="s">
        <v>3128</v>
      </c>
    </row>
    <row r="99" spans="1:3">
      <c r="A99" s="533" t="s">
        <v>3129</v>
      </c>
      <c r="B99" s="534">
        <f>D38+D45+D70+D46+D71+B98</f>
        <v>51332.618750000001</v>
      </c>
      <c r="C99" s="533" t="s">
        <v>3130</v>
      </c>
    </row>
    <row r="100" spans="1:3">
      <c r="A100" s="536" t="s">
        <v>3131</v>
      </c>
      <c r="B100" s="537">
        <f>IFERROR((D49-B99)/D49,"")</f>
        <v>0.3015970238095238</v>
      </c>
      <c r="C100" s="536" t="s">
        <v>3157</v>
      </c>
    </row>
  </sheetData>
  <sheetProtection sheet="1" objects="1" scenarios="1"/>
  <mergeCells count="1">
    <mergeCell ref="A1:D1"/>
  </mergeCells>
  <dataValidations count="9">
    <dataValidation type="list" sqref="B5" xr:uid="{00000000-0002-0000-0F00-000000000000}">
      <formula1>"อิสระ,ลากจูง,เปิดคู่กลาง"</formula1>
      <formula2>0</formula2>
    </dataValidation>
    <dataValidation type="list" sqref="B9" xr:uid="{00000000-0002-0000-0F00-000001000000}">
      <formula1>GlassNames</formula1>
      <formula2>0</formula2>
    </dataValidation>
    <dataValidation type="list" sqref="F9" xr:uid="{00000000-0002-0000-0F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sqref="F7" xr:uid="{00000000-0002-0000-0F00-000003000000}">
      <formula1>"ภายนอก,ภายใน"</formula1>
      <formula2>0</formula2>
    </dataValidation>
    <dataValidation type="list" allowBlank="1" sqref="B53 B55:B57" xr:uid="{00000000-0002-0000-0F00-000004000000}">
      <formula1>"มี,ไม่มี"</formula1>
    </dataValidation>
    <dataValidation type="list" allowBlank="1" sqref="B54" xr:uid="{00000000-0002-0000-0F00-000005000000}">
      <formula1>"Evecca (จีน),ช่างแซก"</formula1>
    </dataValidation>
    <dataValidation type="list" allowBlank="1" sqref="B64" xr:uid="{00000000-0002-0000-0F00-000009000000}">
      <formula1>MungList</formula1>
    </dataValidation>
    <dataValidation type="list" allowBlank="1" sqref="B65" xr:uid="{00000000-0002-0000-0F00-00000A000000}">
      <formula1>ClothList</formula1>
    </dataValidation>
    <dataValidation type="list" allowBlank="1" sqref="C65" xr:uid="{00000000-0002-0000-0F00-00000B000000}">
      <formula1>"เทา,ดำ"</formula1>
    </dataValidation>
  </dataValidations>
  <hyperlinks>
    <hyperlink ref="G1" location="'สารบัญ'!A1" display="🏠 สารบัญ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AC97"/>
  <sheetViews>
    <sheetView zoomScaleNormal="100" workbookViewId="0">
      <pane ySplit="11" topLeftCell="A12" activePane="bottomLeft" state="frozen"/>
      <selection pane="bottomLeft" sqref="A1:F1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5" width="24" customWidth="1"/>
    <col min="6" max="6" width="10.6640625" customWidth="1"/>
    <col min="7" max="7" width="11.6640625" hidden="1" customWidth="1"/>
    <col min="8" max="24" width="4.44140625" customWidth="1"/>
    <col min="27" max="27" width="24" hidden="1" customWidth="1"/>
    <col min="29" max="29" width="4.44140625" customWidth="1"/>
  </cols>
  <sheetData>
    <row r="1" spans="1:27" ht="24" customHeight="1">
      <c r="A1" s="660" t="s">
        <v>1195</v>
      </c>
      <c r="B1" s="650"/>
      <c r="C1" s="650"/>
      <c r="D1" s="650"/>
      <c r="E1" s="650"/>
      <c r="F1" s="650"/>
      <c r="G1" s="377"/>
      <c r="H1" s="378" t="s">
        <v>68</v>
      </c>
      <c r="K1" s="243"/>
      <c r="AA1" t="s">
        <v>737</v>
      </c>
    </row>
    <row r="2" spans="1:27" ht="15" customHeight="1">
      <c r="A2" s="26" t="s">
        <v>1196</v>
      </c>
      <c r="B2" s="540" t="s">
        <v>1112</v>
      </c>
      <c r="C2" s="390" t="str">
        <f>IF(B2="","⚠ ยังไม่เลือกรูปแบบ — จำนวนราง/อุปกรณ์จะขาด","")</f>
        <v/>
      </c>
      <c r="E2" s="26" t="str">
        <f>B2&amp;"-"&amp;B3</f>
        <v>อิสระ-2</v>
      </c>
      <c r="AA2" t="s">
        <v>752</v>
      </c>
    </row>
    <row r="3" spans="1:27" ht="15" customHeight="1">
      <c r="A3" s="26" t="s">
        <v>1109</v>
      </c>
      <c r="B3" s="540">
        <v>2</v>
      </c>
      <c r="C3" s="258" t="str">
        <f>IF(ISNA(MATCH(E2,G41:G48,0)),"⚠ "&amp;B2&amp;" "&amp;B3&amp;" บาน ไม่มีในระบบ — อิสระ 2-5 · ลากจูง 3-5 · เปิดคู่กลาง 4,6","")</f>
        <v/>
      </c>
      <c r="AA3" t="s">
        <v>755</v>
      </c>
    </row>
    <row r="4" spans="1:27" ht="15" customHeight="1">
      <c r="A4" s="26" t="s">
        <v>1105</v>
      </c>
      <c r="B4" s="540">
        <v>200</v>
      </c>
      <c r="AA4" t="s">
        <v>756</v>
      </c>
    </row>
    <row r="5" spans="1:27" ht="15" customHeight="1">
      <c r="A5" s="26" t="s">
        <v>1107</v>
      </c>
      <c r="B5" s="540">
        <v>200</v>
      </c>
      <c r="AA5" t="s">
        <v>757</v>
      </c>
    </row>
    <row r="6" spans="1:27" ht="15" customHeight="1">
      <c r="A6" s="26" t="s">
        <v>1114</v>
      </c>
      <c r="B6" s="26">
        <f>(B4/100)*(B5/100)</f>
        <v>4</v>
      </c>
      <c r="AA6" t="s">
        <v>758</v>
      </c>
    </row>
    <row r="7" spans="1:27" ht="15" customHeight="1">
      <c r="A7" s="26" t="s">
        <v>1197</v>
      </c>
      <c r="B7" s="540" t="s">
        <v>1198</v>
      </c>
      <c r="C7" s="390" t="str">
        <f>IF(B7="","⚠ ยังไม่เลือกมือจับ — ราคาจะขาด","")</f>
        <v/>
      </c>
      <c r="AA7" t="s">
        <v>759</v>
      </c>
    </row>
    <row r="8" spans="1:27" ht="15" customHeight="1">
      <c r="A8" s="26" t="s">
        <v>1116</v>
      </c>
      <c r="B8" s="384">
        <f>$B$84</f>
        <v>62</v>
      </c>
      <c r="C8" s="588" t="s">
        <v>2702</v>
      </c>
      <c r="AA8" t="s">
        <v>761</v>
      </c>
    </row>
    <row r="9" spans="1:27" ht="15" customHeight="1">
      <c r="A9" s="26" t="s">
        <v>1119</v>
      </c>
      <c r="B9" s="540">
        <v>90</v>
      </c>
      <c r="AA9" t="s">
        <v>762</v>
      </c>
    </row>
    <row r="10" spans="1:27" ht="15" customHeight="1">
      <c r="A10" s="26" t="s">
        <v>1120</v>
      </c>
      <c r="B10" s="540" t="s">
        <v>737</v>
      </c>
      <c r="C10" s="32">
        <f>INDEX(ราคากระจก!$B$3:$B$206,MATCH(B10,ราคากระจก!$A$3:$A$206,0))</f>
        <v>403</v>
      </c>
      <c r="D10" s="26" t="s">
        <v>1121</v>
      </c>
      <c r="E10" s="26" t="s">
        <v>1122</v>
      </c>
      <c r="F10" s="584" t="s">
        <v>1123</v>
      </c>
      <c r="G10" s="26"/>
      <c r="AA10" t="s">
        <v>764</v>
      </c>
    </row>
    <row r="11" spans="1:27" ht="15" customHeight="1">
      <c r="A11" s="51" t="s">
        <v>470</v>
      </c>
      <c r="B11" s="540" t="s">
        <v>1124</v>
      </c>
      <c r="C11" s="540" t="s">
        <v>1125</v>
      </c>
      <c r="D11" s="51" t="s">
        <v>1126</v>
      </c>
      <c r="AA11" t="s">
        <v>765</v>
      </c>
    </row>
    <row r="12" spans="1:27" ht="15" customHeight="1">
      <c r="A12" s="36" t="s">
        <v>1199</v>
      </c>
      <c r="B12" s="32">
        <f>(IFERROR(SlimLux_ตัด!E22*SlimLux_ตัด!F22,0))/600*buf_scrap</f>
        <v>0.84846666666666681</v>
      </c>
      <c r="C12" s="32">
        <f>VLOOKUP("WM-K04",ราคาสี!$A:$D,4,0)+IF(OR(F10="สีอบขาว/ดำ",F10="เทาซาฮาร่า"),rate_grey,IF(F10="สีอบพิเศษ",rate_special,rate_woodbake))*น้ำหนักโปรไฟล์!$C$279</f>
        <v>1233.8</v>
      </c>
      <c r="D12" s="32">
        <f t="shared" ref="D12:D17" si="0">B12*C12*mult_slim</f>
        <v>1046.8381733333335</v>
      </c>
      <c r="AA12" t="s">
        <v>766</v>
      </c>
    </row>
    <row r="13" spans="1:27" ht="15" customHeight="1">
      <c r="A13" s="36" t="s">
        <v>1200</v>
      </c>
      <c r="B13" s="32">
        <f>(IFERROR(SlimLux_ตัด!E23*SlimLux_ตัด!F23,0))/600*buf_scrap</f>
        <v>1.6068</v>
      </c>
      <c r="C13" s="32">
        <f>VLOOKUP("WM-K01",ราคาสี!$A:$D,4,0)+IF(OR(F10="สีอบขาว/ดำ",F10="เทาซาฮาร่า"),rate_grey,IF(F10="สีอบพิเศษ",rate_special,rate_woodbake))*น้ำหนักโปรไฟล์!$C$280</f>
        <v>775</v>
      </c>
      <c r="D13" s="32">
        <f t="shared" si="0"/>
        <v>1245.27</v>
      </c>
      <c r="AA13" t="s">
        <v>1067</v>
      </c>
    </row>
    <row r="14" spans="1:27" ht="15" customHeight="1">
      <c r="A14" s="36" t="s">
        <v>1201</v>
      </c>
      <c r="B14" s="32">
        <f>(IFERROR(SlimLux_ตัด!E24*SlimLux_ตัด!F24,0)+IFERROR(SlimLux_ตัด!E25*SlimLux_ตัด!F25,0))/600*buf_scrap</f>
        <v>0.83373333333333333</v>
      </c>
      <c r="C14" s="32">
        <f>VLOOKUP("WM-K02",ราคาสี!$A:$D,4,0)+IF(OR(F10="สีอบขาว/ดำ",F10="เทาซาฮาร่า"),rate_grey,IF(F10="สีอบพิเศษ",rate_special,rate_woodbake))*น้ำหนักโปรไฟล์!$C$281</f>
        <v>429</v>
      </c>
      <c r="D14" s="32">
        <f t="shared" si="0"/>
        <v>357.67160000000001</v>
      </c>
      <c r="AA14" t="s">
        <v>767</v>
      </c>
    </row>
    <row r="15" spans="1:27" ht="15" customHeight="1">
      <c r="A15" s="36" t="s">
        <v>1202</v>
      </c>
      <c r="B15" s="36">
        <f>(IFERROR(SlimLux_ตัด!E26*SlimLux_ตัด!F26,0))/600*buf_scrap</f>
        <v>1.2506000000000002</v>
      </c>
      <c r="C15" s="32">
        <f>VLOOKUP("WM-K03",ราคาสี!$A:$D,4,0)+IF(OR(F10="สีอบขาว/ดำ",F10="เทาซาฮาร่า"),rate_grey,IF(F10="สีอบพิเศษ",rate_special,rate_woodbake))*น้ำหนักโปรไฟล์!$C$282</f>
        <v>454</v>
      </c>
      <c r="D15" s="32">
        <f t="shared" si="0"/>
        <v>567.77240000000006</v>
      </c>
      <c r="AA15" t="s">
        <v>769</v>
      </c>
    </row>
    <row r="16" spans="1:27" ht="15" customHeight="1">
      <c r="A16" s="36" t="s">
        <v>1203</v>
      </c>
      <c r="B16" s="36">
        <f>(IFERROR(SlimLux_ตัด!E19*SlimLux_ตัด!F19,0))/600*buf_scrap</f>
        <v>0.84500000000000008</v>
      </c>
      <c r="C16" s="32">
        <f>VLOOKUP("WM-K15",ราคาสี!$A:$D,4,0)+IF(OR(F10="สีอบขาว/ดำ",F10="เทาซาฮาร่า"),rate_grey,IF(F10="สีอบพิเศษ",rate_special,rate_woodbake))*น้ำหนักโปรไฟล์!$C$334</f>
        <v>1414.8</v>
      </c>
      <c r="D16" s="32">
        <f t="shared" si="0"/>
        <v>1195.5060000000001</v>
      </c>
      <c r="AA16" t="s">
        <v>753</v>
      </c>
    </row>
    <row r="17" spans="1:27" ht="15" customHeight="1">
      <c r="A17" s="36" t="s">
        <v>1204</v>
      </c>
      <c r="B17" s="36">
        <f>(IFERROR(SlimLux_ตัด!E29*SlimLux_ตัด!F29,0)+IFERROR(SlimLux_ตัด!E30*SlimLux_ตัด!F30,0))/600*buf_scrap</f>
        <v>1.2675000000000001</v>
      </c>
      <c r="C17" s="32">
        <f>VLOOKUP("WM-K20",ราคาสี!$A:$D,4,0)+IF(OR(F10="สีอบขาว/ดำ",F10="เทาซาฮาร่า"),rate_grey,IF(F10="สีอบพิเศษ",rate_special,rate_woodbake))*น้ำหนักโปรไฟล์!$C$283</f>
        <v>132.19999999999999</v>
      </c>
      <c r="D17" s="32">
        <f t="shared" si="0"/>
        <v>167.5635</v>
      </c>
      <c r="AA17" t="s">
        <v>742</v>
      </c>
    </row>
    <row r="18" spans="1:27" ht="15" customHeight="1">
      <c r="A18" s="36" t="s">
        <v>1205</v>
      </c>
      <c r="B18" s="36">
        <f>(IFERROR(SlimLux_ตัด!E21*SlimLux_ตัด!F21,0))/600*buf_scrap</f>
        <v>0.84023333333333339</v>
      </c>
      <c r="C18" s="32">
        <f>IF(OR(F10="สีอบขาว/ดำ",F10="เทาซาฮาร่า"),ราคาสี!$E$191,ราคาสี!$D$191)</f>
        <v>200</v>
      </c>
      <c r="D18" s="32">
        <f>B18*C18*mult_mtong</f>
        <v>168.04666666666668</v>
      </c>
      <c r="AA18" t="s">
        <v>743</v>
      </c>
    </row>
    <row r="19" spans="1:27" ht="15" customHeight="1">
      <c r="A19" s="36" t="s">
        <v>1206</v>
      </c>
      <c r="B19" s="36">
        <f>(IFERROR(SlimLux_ตัด!E28*SlimLux_ตัด!F28,0))/600*buf_scrap</f>
        <v>0.8666666666666667</v>
      </c>
      <c r="C19" s="32">
        <f>ราคาสี!$D$192+IF(OR(F10="สีอบขาว/ดำ",F10="เทาซาฮาร่า"),rate_grey,IF(F10="สีอบพิเศษ",rate_special,rate_woodbake))*น้ำหนักโปรไฟล์!$C$284</f>
        <v>483</v>
      </c>
      <c r="D19" s="32">
        <f>B19*C19*mult_mtong</f>
        <v>418.6</v>
      </c>
      <c r="AA19" t="s">
        <v>1089</v>
      </c>
    </row>
    <row r="20" spans="1:27" ht="15" customHeight="1">
      <c r="A20" s="36" t="s">
        <v>1207</v>
      </c>
      <c r="B20" s="36">
        <f>(IFERROR(SlimLux_ตัด!E18*SlimLux_ตัด!F18,0)+IFERROR(SlimLux_ตัด!E20*SlimLux_ตัด!F20,0))/600*buf_scrap</f>
        <v>2.145</v>
      </c>
      <c r="C20" s="32">
        <f>ราคาสี!$D$136+IF(OR(F10="สีอบขาว/ดำ",F10="เทาซาฮาร่า"),rate_grey,IF(F10="สีอบพิเศษ",rate_special,rate_woodbake))*น้ำหนักโปรไฟล์!$C$285</f>
        <v>1742</v>
      </c>
      <c r="D20" s="32">
        <f>B20*C20*mult_mtong</f>
        <v>3736.59</v>
      </c>
      <c r="AA20" t="s">
        <v>1090</v>
      </c>
    </row>
    <row r="21" spans="1:27" ht="15" customHeight="1">
      <c r="A21" s="36"/>
      <c r="B21" s="36"/>
      <c r="C21" s="32"/>
      <c r="D21" s="32"/>
      <c r="AA21" t="s">
        <v>1091</v>
      </c>
    </row>
    <row r="22" spans="1:27" ht="15" customHeight="1">
      <c r="A22" s="36"/>
      <c r="B22" s="36"/>
      <c r="C22" s="32"/>
      <c r="D22" s="32"/>
    </row>
    <row r="23" spans="1:27" ht="15" customHeight="1">
      <c r="A23" s="36" t="s">
        <v>1208</v>
      </c>
      <c r="B23" s="36">
        <f>IFERROR(INDEX($T$40:$T$48,MATCH($E$2,$G$40:$G$48,0)),0)</f>
        <v>1</v>
      </c>
      <c r="C23" s="32">
        <f>ชีทอุปกรณ์!$D$164</f>
        <v>100</v>
      </c>
      <c r="D23" s="32">
        <f t="shared" ref="D23:D31" si="1">B23*C23</f>
        <v>100</v>
      </c>
    </row>
    <row r="24" spans="1:27" ht="15" customHeight="1">
      <c r="A24" s="36" t="s">
        <v>1209</v>
      </c>
      <c r="B24" s="36">
        <f>IFERROR(INDEX($U$40:$U$48,MATCH($E$2,$G$40:$G$48,0)),0)</f>
        <v>8</v>
      </c>
      <c r="C24" s="32">
        <f>ชีทอุปกรณ์!$D$165</f>
        <v>42</v>
      </c>
      <c r="D24" s="32">
        <f t="shared" si="1"/>
        <v>336</v>
      </c>
    </row>
    <row r="25" spans="1:27" ht="15" customHeight="1">
      <c r="A25" s="36" t="s">
        <v>1210</v>
      </c>
      <c r="B25" s="36">
        <f>IFERROR(INDEX($V$40:$V$48,MATCH($E$2,$G$40:$G$48,0)),0)</f>
        <v>4</v>
      </c>
      <c r="C25" s="32">
        <f>ชีทอุปกรณ์!$D$166</f>
        <v>100</v>
      </c>
      <c r="D25" s="32">
        <f t="shared" si="1"/>
        <v>400</v>
      </c>
    </row>
    <row r="26" spans="1:27" ht="15" customHeight="1">
      <c r="A26" s="36" t="s">
        <v>1211</v>
      </c>
      <c r="B26" s="36">
        <f>IFERROR(INDEX($W$40:$W$48,MATCH($E$2,$G$40:$G$48,0)),0)</f>
        <v>2</v>
      </c>
      <c r="C26" s="32">
        <f>ชีทอุปกรณ์!$D$167</f>
        <v>650</v>
      </c>
      <c r="D26" s="32">
        <f t="shared" si="1"/>
        <v>1300</v>
      </c>
    </row>
    <row r="27" spans="1:27" ht="15" customHeight="1">
      <c r="A27" s="36" t="s">
        <v>1212</v>
      </c>
      <c r="B27" s="36">
        <f>IFERROR(INDEX($X$40:$X$48,MATCH($E$2,$G$40:$G$48,0)),0)</f>
        <v>0</v>
      </c>
      <c r="C27" s="32">
        <f>ชีทอุปกรณ์!$D$168</f>
        <v>700</v>
      </c>
      <c r="D27" s="32">
        <f t="shared" si="1"/>
        <v>0</v>
      </c>
    </row>
    <row r="28" spans="1:27" ht="15" customHeight="1">
      <c r="A28" s="36" t="s">
        <v>1213</v>
      </c>
      <c r="B28" s="36">
        <f>IFERROR(INDEX($S$40:$S$48,MATCH($E$2,$G$40:$G$48,0)),0)</f>
        <v>2</v>
      </c>
      <c r="C28" s="32">
        <f>IF(B7="มือจับล็อค",ชีทอุปกรณ์!$D$169,IF(B7="X-J",ชีทอุปกรณ์!$D$170,0))</f>
        <v>200</v>
      </c>
      <c r="D28" s="32">
        <f t="shared" si="1"/>
        <v>400</v>
      </c>
      <c r="E28" s="36" t="s">
        <v>1214</v>
      </c>
    </row>
    <row r="29" spans="1:27" ht="15" customHeight="1">
      <c r="A29" s="36" t="s">
        <v>1215</v>
      </c>
      <c r="B29" s="36">
        <f>ROUNDUP(2*(B4+B5)/100*2/12.5,0)</f>
        <v>2</v>
      </c>
      <c r="C29" s="32">
        <f>B9</f>
        <v>90</v>
      </c>
      <c r="D29" s="32">
        <f t="shared" si="1"/>
        <v>180</v>
      </c>
    </row>
    <row r="30" spans="1:27" ht="15" customHeight="1">
      <c r="A30" s="36" t="s">
        <v>1128</v>
      </c>
      <c r="B30" s="36">
        <f>B6</f>
        <v>4</v>
      </c>
      <c r="C30" s="32">
        <f>INDEX(ราคากระจก!$B$3:$B$206,MATCH(B10,ราคากระจก!$A$3:$A$206,0))</f>
        <v>403</v>
      </c>
      <c r="D30" s="32">
        <f t="shared" si="1"/>
        <v>1612</v>
      </c>
    </row>
    <row r="31" spans="1:27" ht="15" customHeight="1">
      <c r="A31" s="36" t="s">
        <v>1135</v>
      </c>
      <c r="B31" s="36">
        <f>1</f>
        <v>1</v>
      </c>
      <c r="C31" s="32">
        <f>อัปเดตราคาอลู!$B$17</f>
        <v>2000</v>
      </c>
      <c r="D31" s="32">
        <f t="shared" si="1"/>
        <v>2000</v>
      </c>
      <c r="E31" s="36" t="s">
        <v>1136</v>
      </c>
    </row>
    <row r="32" spans="1:27" ht="15" customHeight="1">
      <c r="A32" s="45" t="s">
        <v>1137</v>
      </c>
      <c r="D32" s="46">
        <f>SUM(D12:D31)+D58+D63+D64+D65+D66</f>
        <v>15231.858340000002</v>
      </c>
      <c r="E32" s="379" t="str">
        <f>IF(COUNTIFS(B12:B31,"&gt;0",C12:C31,0)+COUNTIFS(B12:B31,"&gt;0",C12:C31,"")&gt;0,"⚠ ราคาบางรายการ = 0 (เช็ค dropdown/รหัส)","✅ ราคาครบ")</f>
        <v>✅ ราคาครบ</v>
      </c>
    </row>
    <row r="33" spans="1:24" ht="15" customHeight="1">
      <c r="A33" s="45" t="s">
        <v>1045</v>
      </c>
      <c r="D33" s="46">
        <f>IFERROR(D32/B6,0)</f>
        <v>3807.9645850000006</v>
      </c>
    </row>
    <row r="34" spans="1:24" ht="15" customHeight="1">
      <c r="A34" s="45" t="s">
        <v>1216</v>
      </c>
      <c r="D34" s="24">
        <f>ROUNDUP(D32*(1+B8/100)/100,0)*100</f>
        <v>24700</v>
      </c>
    </row>
    <row r="35" spans="1:24" ht="15" customHeight="1">
      <c r="A35" s="45" t="s">
        <v>1143</v>
      </c>
      <c r="D35" s="24">
        <f>D34</f>
        <v>24700</v>
      </c>
    </row>
    <row r="37" spans="1:24" ht="15" customHeight="1">
      <c r="A37" s="36" t="s">
        <v>1217</v>
      </c>
    </row>
    <row r="39" spans="1:24">
      <c r="A39" s="21" t="s">
        <v>1157</v>
      </c>
    </row>
    <row r="40" spans="1:24">
      <c r="A40" s="40" t="s">
        <v>1158</v>
      </c>
      <c r="D40" s="22">
        <f>MAX(0,VLOOKUP("SlimLux",ค่าแรง!$A$12:$N$117,2,0)+VLOOKUP("SlimLux",ค่าแรง!$A$12:$N$117,3,0)*B6)</f>
        <v>1155</v>
      </c>
    </row>
    <row r="41" spans="1:24" ht="15" customHeight="1">
      <c r="A41" s="40" t="s">
        <v>1159</v>
      </c>
      <c r="D41" s="22">
        <f>MAX(0,VLOOKUP("SlimLux",ค่าแรง!$A$12:$N$117,4,0)+VLOOKUP("SlimLux",ค่าแรง!$A$12:$N$117,5,0)*B6)</f>
        <v>2100</v>
      </c>
      <c r="G41" s="58" t="s">
        <v>1218</v>
      </c>
      <c r="H41" s="59">
        <v>1</v>
      </c>
      <c r="I41" s="59">
        <v>2</v>
      </c>
      <c r="J41" s="59">
        <v>1</v>
      </c>
      <c r="K41" s="60">
        <v>1</v>
      </c>
      <c r="L41" s="60">
        <v>1</v>
      </c>
      <c r="M41" s="101">
        <v>1</v>
      </c>
      <c r="N41" s="101">
        <v>1</v>
      </c>
      <c r="O41" s="101">
        <v>1</v>
      </c>
      <c r="P41" s="101">
        <v>2</v>
      </c>
      <c r="Q41" s="101">
        <v>2</v>
      </c>
      <c r="R41" s="101">
        <v>1</v>
      </c>
      <c r="S41" s="101">
        <v>2</v>
      </c>
      <c r="T41" s="101">
        <v>1</v>
      </c>
      <c r="U41" s="101">
        <v>8</v>
      </c>
      <c r="V41" s="101">
        <v>4</v>
      </c>
      <c r="W41" s="101">
        <v>2</v>
      </c>
      <c r="X41" s="101">
        <v>0</v>
      </c>
    </row>
    <row r="42" spans="1:24">
      <c r="G42" s="58" t="s">
        <v>1219</v>
      </c>
      <c r="H42" s="59">
        <v>1</v>
      </c>
      <c r="I42" s="59">
        <v>3</v>
      </c>
      <c r="J42" s="59">
        <v>1</v>
      </c>
      <c r="K42" s="60">
        <v>2</v>
      </c>
      <c r="L42" s="60">
        <v>2</v>
      </c>
      <c r="M42" s="101">
        <v>2</v>
      </c>
      <c r="N42" s="101">
        <v>1</v>
      </c>
      <c r="O42" s="101">
        <v>1</v>
      </c>
      <c r="P42" s="101">
        <v>2</v>
      </c>
      <c r="Q42" s="101">
        <v>2</v>
      </c>
      <c r="R42" s="101">
        <v>1</v>
      </c>
      <c r="S42" s="101">
        <v>1</v>
      </c>
      <c r="T42" s="101">
        <v>1</v>
      </c>
      <c r="U42" s="101">
        <v>12</v>
      </c>
      <c r="V42" s="101">
        <v>6</v>
      </c>
      <c r="W42" s="101">
        <v>2</v>
      </c>
      <c r="X42" s="101">
        <v>1</v>
      </c>
    </row>
    <row r="43" spans="1:24" ht="15" customHeight="1">
      <c r="A43" s="21" t="s">
        <v>1160</v>
      </c>
      <c r="D43" s="24">
        <f>ROUNDUP((ROUNDUP((ROUNDUP(D32*(1+B8/100)/100,0)*100+ROUNDUP((D40+D67)*(1+B85/100)/100,0)*100)*(1+$B$87/100)/100,0)*100)*1/100,0)*100</f>
        <v>34500</v>
      </c>
      <c r="G43" s="58" t="s">
        <v>1220</v>
      </c>
      <c r="H43" s="59">
        <v>2</v>
      </c>
      <c r="I43" s="59">
        <v>4</v>
      </c>
      <c r="J43" s="59">
        <v>1</v>
      </c>
      <c r="K43" s="60">
        <v>3</v>
      </c>
      <c r="L43" s="60">
        <v>3</v>
      </c>
      <c r="M43" s="101">
        <v>2</v>
      </c>
      <c r="N43" s="101">
        <v>2</v>
      </c>
      <c r="O43" s="101">
        <v>2</v>
      </c>
      <c r="P43" s="101">
        <v>2</v>
      </c>
      <c r="Q43" s="101">
        <v>2</v>
      </c>
      <c r="R43" s="101">
        <v>1</v>
      </c>
      <c r="S43" s="101">
        <v>1</v>
      </c>
      <c r="T43" s="101">
        <v>1</v>
      </c>
      <c r="U43" s="101">
        <v>16</v>
      </c>
      <c r="V43" s="101">
        <v>8</v>
      </c>
      <c r="W43" s="101">
        <v>2</v>
      </c>
      <c r="X43" s="101">
        <v>1</v>
      </c>
    </row>
    <row r="44" spans="1:24" ht="15" customHeight="1">
      <c r="A44" s="21" t="s">
        <v>1161</v>
      </c>
      <c r="D44" s="24">
        <f>D43+ROUNDUP((ROUNDUP((ROUNDUP((D41+D68)*(1+B86/100)/100,0)*100)*(1+$B$87/100)/100,0)*100)*1/100,0)*100</f>
        <v>39600</v>
      </c>
      <c r="G44" s="58" t="s">
        <v>1221</v>
      </c>
      <c r="H44" s="59">
        <v>2</v>
      </c>
      <c r="I44" s="59">
        <v>5</v>
      </c>
      <c r="J44" s="59">
        <v>1</v>
      </c>
      <c r="K44" s="60">
        <v>4</v>
      </c>
      <c r="L44" s="60">
        <v>4</v>
      </c>
      <c r="M44" s="101">
        <v>2</v>
      </c>
      <c r="N44" s="101">
        <v>3</v>
      </c>
      <c r="O44" s="101">
        <v>2</v>
      </c>
      <c r="P44" s="101">
        <v>3</v>
      </c>
      <c r="Q44" s="101">
        <v>2</v>
      </c>
      <c r="R44" s="101">
        <v>2</v>
      </c>
      <c r="S44" s="101">
        <v>1</v>
      </c>
      <c r="T44" s="101">
        <v>1</v>
      </c>
      <c r="U44" s="101">
        <v>20</v>
      </c>
      <c r="V44" s="101">
        <v>10</v>
      </c>
      <c r="W44" s="101">
        <v>2</v>
      </c>
      <c r="X44" s="101">
        <v>1</v>
      </c>
    </row>
    <row r="45" spans="1:24">
      <c r="G45" s="58" t="s">
        <v>1222</v>
      </c>
      <c r="H45" s="59">
        <v>1</v>
      </c>
      <c r="I45" s="59">
        <v>3</v>
      </c>
      <c r="J45" s="59">
        <v>1</v>
      </c>
      <c r="K45" s="60">
        <v>1</v>
      </c>
      <c r="L45" s="60">
        <v>2</v>
      </c>
      <c r="M45" s="101">
        <v>1</v>
      </c>
      <c r="N45" s="101">
        <v>1</v>
      </c>
      <c r="O45" s="101">
        <v>1</v>
      </c>
      <c r="P45" s="101">
        <v>2</v>
      </c>
      <c r="Q45" s="101">
        <v>1</v>
      </c>
      <c r="R45" s="101">
        <v>1</v>
      </c>
      <c r="S45" s="101">
        <v>1</v>
      </c>
      <c r="T45" s="101">
        <v>1</v>
      </c>
      <c r="U45" s="101">
        <v>8</v>
      </c>
      <c r="V45" s="101">
        <v>4</v>
      </c>
      <c r="W45" s="101">
        <v>1</v>
      </c>
      <c r="X45" s="101">
        <v>1</v>
      </c>
    </row>
    <row r="46" spans="1:24" ht="15" customHeight="1">
      <c r="G46" s="58" t="s">
        <v>1223</v>
      </c>
      <c r="H46" s="59">
        <v>2</v>
      </c>
      <c r="I46" s="59">
        <v>4</v>
      </c>
      <c r="J46" s="59">
        <v>1</v>
      </c>
      <c r="K46" s="60">
        <v>2</v>
      </c>
      <c r="L46" s="60">
        <v>3</v>
      </c>
      <c r="M46" s="101">
        <v>2</v>
      </c>
      <c r="N46" s="101">
        <v>2</v>
      </c>
      <c r="O46" s="101">
        <v>2</v>
      </c>
      <c r="P46" s="101">
        <v>2</v>
      </c>
      <c r="Q46" s="101">
        <v>1</v>
      </c>
      <c r="R46" s="101">
        <v>1</v>
      </c>
      <c r="S46" s="101">
        <v>1</v>
      </c>
      <c r="T46" s="101">
        <v>1</v>
      </c>
      <c r="U46" s="101">
        <v>12</v>
      </c>
      <c r="V46" s="101">
        <v>6</v>
      </c>
      <c r="W46" s="101">
        <v>1</v>
      </c>
      <c r="X46" s="101">
        <v>1</v>
      </c>
    </row>
    <row r="47" spans="1:24" ht="15" customHeight="1">
      <c r="G47" s="58" t="s">
        <v>1224</v>
      </c>
      <c r="H47" s="59">
        <v>2</v>
      </c>
      <c r="I47" s="59">
        <v>5</v>
      </c>
      <c r="J47" s="59">
        <v>1</v>
      </c>
      <c r="K47" s="60">
        <v>3</v>
      </c>
      <c r="L47" s="60">
        <v>4</v>
      </c>
      <c r="M47" s="101">
        <v>2</v>
      </c>
      <c r="N47" s="101">
        <v>2</v>
      </c>
      <c r="O47" s="101">
        <v>2</v>
      </c>
      <c r="P47" s="101">
        <v>2</v>
      </c>
      <c r="Q47" s="101">
        <v>1</v>
      </c>
      <c r="R47" s="101">
        <v>2</v>
      </c>
      <c r="S47" s="101">
        <v>1</v>
      </c>
      <c r="T47" s="101">
        <v>1</v>
      </c>
      <c r="U47" s="101">
        <v>16</v>
      </c>
      <c r="V47" s="101">
        <v>8</v>
      </c>
      <c r="W47" s="101">
        <v>1</v>
      </c>
      <c r="X47" s="101">
        <v>1</v>
      </c>
    </row>
    <row r="48" spans="1:24" ht="15" customHeight="1">
      <c r="G48" s="58" t="s">
        <v>1225</v>
      </c>
      <c r="H48" s="59">
        <v>2</v>
      </c>
      <c r="I48" s="59">
        <v>4</v>
      </c>
      <c r="J48" s="59">
        <v>2</v>
      </c>
      <c r="K48" s="60">
        <v>2</v>
      </c>
      <c r="L48" s="60">
        <v>2</v>
      </c>
      <c r="M48" s="101">
        <v>1</v>
      </c>
      <c r="N48" s="101">
        <v>2</v>
      </c>
      <c r="O48" s="101">
        <v>2</v>
      </c>
      <c r="P48" s="101">
        <v>2</v>
      </c>
      <c r="Q48" s="101">
        <v>2</v>
      </c>
      <c r="R48" s="101">
        <v>1</v>
      </c>
      <c r="S48" s="101">
        <v>2</v>
      </c>
      <c r="T48" s="101">
        <v>1</v>
      </c>
      <c r="U48" s="101">
        <v>8</v>
      </c>
      <c r="V48" s="101">
        <v>4</v>
      </c>
      <c r="W48" s="101">
        <v>2</v>
      </c>
      <c r="X48" s="101">
        <v>0</v>
      </c>
    </row>
    <row r="49" spans="1:29" ht="15" customHeight="1">
      <c r="G49" s="58" t="s">
        <v>1226</v>
      </c>
      <c r="H49" s="59">
        <v>2</v>
      </c>
      <c r="I49" s="59">
        <v>6</v>
      </c>
      <c r="J49" s="59">
        <v>2</v>
      </c>
      <c r="K49" s="60">
        <v>4</v>
      </c>
      <c r="L49" s="60">
        <v>4</v>
      </c>
      <c r="M49" s="101">
        <v>2</v>
      </c>
      <c r="N49" s="101">
        <v>3</v>
      </c>
      <c r="O49" s="101">
        <v>2</v>
      </c>
      <c r="P49" s="101">
        <v>2</v>
      </c>
      <c r="Q49" s="101">
        <v>2</v>
      </c>
      <c r="R49" s="101">
        <v>1</v>
      </c>
      <c r="S49" s="101">
        <v>2</v>
      </c>
      <c r="T49" s="101">
        <v>1</v>
      </c>
      <c r="U49" s="101">
        <v>16</v>
      </c>
      <c r="V49" s="101">
        <v>8</v>
      </c>
      <c r="W49" s="101">
        <v>2</v>
      </c>
      <c r="X49" s="101">
        <v>1</v>
      </c>
    </row>
    <row r="51" spans="1:29">
      <c r="A51" s="118" t="s">
        <v>1193</v>
      </c>
      <c r="B51" s="119"/>
      <c r="C51" s="119"/>
      <c r="D51" s="119"/>
    </row>
    <row r="52" spans="1:29">
      <c r="A52" s="16" t="s">
        <v>1163</v>
      </c>
      <c r="B52" s="609" t="s">
        <v>1164</v>
      </c>
      <c r="C52" s="119"/>
      <c r="D52" s="119"/>
    </row>
    <row r="53" spans="1:29">
      <c r="A53" s="16" t="s">
        <v>1166</v>
      </c>
      <c r="B53" s="609" t="s">
        <v>1227</v>
      </c>
      <c r="C53" s="119"/>
      <c r="D53" s="119"/>
    </row>
    <row r="54" spans="1:29">
      <c r="A54" s="16" t="s">
        <v>1228</v>
      </c>
      <c r="B54" s="609" t="s">
        <v>1229</v>
      </c>
      <c r="C54" s="119"/>
      <c r="D54" s="119"/>
    </row>
    <row r="55" spans="1:29">
      <c r="A55" s="16" t="s">
        <v>1170</v>
      </c>
      <c r="B55" s="609" t="s">
        <v>1164</v>
      </c>
      <c r="C55" s="119"/>
      <c r="D55" s="119"/>
    </row>
    <row r="56" spans="1:29">
      <c r="A56" s="16" t="s">
        <v>1172</v>
      </c>
      <c r="B56" s="609" t="s">
        <v>1164</v>
      </c>
      <c r="C56" s="119"/>
      <c r="D56" s="119"/>
    </row>
    <row r="57" spans="1:29">
      <c r="A57" s="119"/>
      <c r="B57" s="119"/>
      <c r="C57" s="119"/>
      <c r="D57" s="119"/>
    </row>
    <row r="58" spans="1:29">
      <c r="A58" s="120" t="s">
        <v>1175</v>
      </c>
      <c r="B58" s="119"/>
      <c r="C58" s="119"/>
      <c r="D58" s="121">
        <f>IF(B52="ไม่มี",0,IF(B53="ชุด SlimLux",INDEX(ราคาออโต้!$C:$C,MATCH("ชุด SlimLux (บานแรก)",ราคาออโต้!$B:$B,0))+INDEX(ราคาออโต้!$C:$C,MATCH("บานเพิ่ม",ราคาออโต้!$B:$B,0))*(B3-1)+ROUND(INDEX(ราคาออโต้!$C:$C,MATCH("ราง SlimLux",ราคาออโต้!$B:$B,0))*B4/100*B3,0)+IF(B54="สแกนหน้า",INDEX(ราคาออโต้!$C:$C,MATCH("ออป สแกนหน้า (บังคับเลือก1)",ราคาออโต้!$B:$B,0)),INDEX(ราคาออโต้!$C:$C,MATCH("ออป Touch Switch (บังคับเลือก1)",ราคาออโต้!$B:$B,0)))+INDEX(ราคาออโต้!$D:$D,MATCH("ชุด SlimLux (บานแรก)",ราคาออโต้!$B:$B,0)),INDEX(ราคาออโต้!$C:$C,MATCH("ช่างแซก",ราคาออโต้!$B:$B,0))+INDEX(ราคาออโต้!$C:$C,MATCH("เซฟตี้ตาแมว (บังคับช่างแซก)",ราคาออโต้!$B:$B,0))+ROUND(INDEX(ราคาออโต้!$C:$C,MATCH("ราง ช่างแซก",ราคาออโต้!$B:$B,0))*B4/100,0)+IF(B55="มี",INDEX(ราคาออโต้!$C:$C,MATCH("ออป Touch Switch (ช่างแซก)",ราคาออโต้!$B:$B,0)),0)+IF(B56="มี",INDEX(ราคาออโต้!$C:$C,MATCH("ออป Infrared (ช่างแซก)",ราคาออโต้!$B:$B,0)),0)))</f>
        <v>0</v>
      </c>
    </row>
    <row r="60" spans="1:29">
      <c r="A60" s="172" t="s">
        <v>1145</v>
      </c>
    </row>
    <row r="61" spans="1:29">
      <c r="A61" s="21" t="s">
        <v>1147</v>
      </c>
      <c r="B61" s="610" t="s">
        <v>674</v>
      </c>
      <c r="C61" s="217" t="str">
        <f>IF(B61="ไม่มีมุ้ง","—",IF(AC62=1,"✓ ใช้ได้","⚠ ใช้กับบานนี้ไม่ได้(ทุน=0)"))</f>
        <v>—</v>
      </c>
      <c r="D61" s="217" t="str">
        <f>IF(B61="ไม่มีมุ้ง","",AC67&amp;" บาน")</f>
        <v/>
      </c>
      <c r="AC61" s="218" t="str">
        <f>IFERROR(VLOOKUP(B61,ราคามุ้ง!$A$2:$K$15,3,0),"")</f>
        <v/>
      </c>
    </row>
    <row r="62" spans="1:29">
      <c r="A62" s="26" t="s">
        <v>1148</v>
      </c>
      <c r="B62" s="610" t="s">
        <v>682</v>
      </c>
      <c r="C62" s="610" t="s">
        <v>1149</v>
      </c>
      <c r="AC62" s="218">
        <f>IF(B61="ไม่มีมุ้ง",0,IF(OR(IFERROR(VLOOKUP(B61,ราคามุ้ง!$A$2:$K$15,4,0),"ALL")="ALL",ISNUMBER(SEARCH("SlimLux",IFERROR(VLOOKUP(B61,ราคามุ้ง!$A$2:$K$15,4,0),"")))),1,0))</f>
        <v>0</v>
      </c>
    </row>
    <row r="63" spans="1:29">
      <c r="A63" s="26" t="s">
        <v>1150</v>
      </c>
      <c r="B63" s="219">
        <f>IF(AND(AC62=1,AC63=1),ROUND(AC67*2*AC66/6,2),0)</f>
        <v>0</v>
      </c>
      <c r="C63" s="220">
        <f>IF(B61="มุ้งเฟรมเล็ก",ราคามุ้ง!$B$19,IF(B61="มุ้งเฟรมใหญ่",0,IF(B61="มุ้งนิรภัย",ราคามุ้ง!$B$21,0)))</f>
        <v>0</v>
      </c>
      <c r="D63" s="221">
        <f>ROUND(B63*C63,0)</f>
        <v>0</v>
      </c>
      <c r="AC63" s="218">
        <f>IF(OR(B61="มุ้งเฟรมเล็ก",B61="มุ้งเฟรมใหญ่",B61="มุ้งนิรภัย"),1,0)</f>
        <v>0</v>
      </c>
    </row>
    <row r="64" spans="1:29">
      <c r="A64" s="26" t="s">
        <v>1151</v>
      </c>
      <c r="B64" s="222">
        <f>IF(AND(AC62=1,AC63=1),ROUND(AC67*2*AC65/6,2),0)</f>
        <v>0</v>
      </c>
      <c r="C64" s="220">
        <f>IF(B61="มุ้งเฟรมเล็ก",ราคามุ้ง!$B$19,IF(B61="มุ้งเฟรมใหญ่",0,IF(B61="มุ้งนิรภัย",ราคามุ้ง!$B$21,0)))</f>
        <v>0</v>
      </c>
      <c r="D64" s="220">
        <f>ROUND(B64*C64,0)</f>
        <v>0</v>
      </c>
      <c r="AC64" s="218">
        <f>IFERROR(VLOOKUP(B62,ราคามุ้ง!$I$2:$J$5,2,0),0)</f>
        <v>23</v>
      </c>
    </row>
    <row r="65" spans="1:29">
      <c r="A65" s="21" t="s">
        <v>1152</v>
      </c>
      <c r="B65" s="223">
        <f>IF(AND(AC62=1,AC63=1),ROUND(AC67*2*(AC65+AC66),2),0)</f>
        <v>0</v>
      </c>
      <c r="C65" s="220">
        <f>ราคามุ้ง!$D$19</f>
        <v>5</v>
      </c>
      <c r="D65" s="221">
        <f>ROUND(B65*C65,0)</f>
        <v>0</v>
      </c>
      <c r="AC65" s="224">
        <f>IF(AC67&gt;0,B4/(AC67*100),0)</f>
        <v>2</v>
      </c>
    </row>
    <row r="66" spans="1:29">
      <c r="A66" s="21" t="s">
        <v>1153</v>
      </c>
      <c r="B66" s="223">
        <f>IF(AC62=0,0,ROUND(AC67*AC65*AC66,2))</f>
        <v>0</v>
      </c>
      <c r="C66" s="220">
        <f>IF(B61="มุ้งนิรภัย",650,IF(OR(B61="มุ้งเฟรมเล็ก",B61="มุ้งเฟรมใหญ่"),AC64,IF(AC61="ซื้อสำเร็จ",IFERROR(VLOOKUP(B61,ราคามุ้ง!$A$2:$K$15,2,0),0),0)))</f>
        <v>0</v>
      </c>
      <c r="D66" s="221">
        <f>ROUND(B66*C66,0)</f>
        <v>0</v>
      </c>
      <c r="AC66" s="223">
        <f>B5/100</f>
        <v>2</v>
      </c>
    </row>
    <row r="67" spans="1:29">
      <c r="A67" s="21" t="s">
        <v>1154</v>
      </c>
      <c r="D67" s="221">
        <f>IF(AC62=0,0,ROUND(AC67*(VLOOKUP(B61,ค่าแรง!$A$12:$N$103,2,0)+VLOOKUP(B61,ค่าแรง!$A$12:$N$103,3,0)*AC65*AC66),0))</f>
        <v>0</v>
      </c>
      <c r="AC67" s="217">
        <f>IF(AND(B2="อิสระ",B3=2),1,IF(B2="อิสระ",B3,IF(B2="ลากจูง",B3-1,B3-2)))</f>
        <v>1</v>
      </c>
    </row>
    <row r="68" spans="1:29">
      <c r="A68" s="217" t="s">
        <v>1155</v>
      </c>
      <c r="D68" s="220">
        <f>IF(AC62=0,0,ROUND(AC67*(VLOOKUP(B61,ค่าแรง!$A$12:$N$103,4,0)+VLOOKUP(B61,ค่าแรง!$A$12:$N$103,5,0)*AC65*AC66),0))</f>
        <v>0</v>
      </c>
    </row>
    <row r="69" spans="1:29">
      <c r="A69" s="253" t="s">
        <v>1194</v>
      </c>
      <c r="D69" s="254">
        <f>SUM(D63:D68)</f>
        <v>0</v>
      </c>
    </row>
    <row r="70" spans="1:29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</row>
    <row r="71" spans="1:29">
      <c r="A71" s="289"/>
      <c r="B71" s="117"/>
      <c r="C71" s="117"/>
      <c r="D71" s="117"/>
      <c r="E71" s="117"/>
      <c r="F71" s="117"/>
      <c r="G71" s="117"/>
      <c r="H71" s="117"/>
      <c r="I71" s="117"/>
      <c r="J71" s="117"/>
      <c r="K71" s="117"/>
    </row>
    <row r="72" spans="1:29">
      <c r="A72" s="290"/>
      <c r="B72" s="291"/>
      <c r="C72" s="117"/>
      <c r="D72" s="117"/>
      <c r="E72" s="117"/>
      <c r="F72" s="117"/>
      <c r="G72" s="117"/>
      <c r="H72" s="117"/>
      <c r="I72" s="117"/>
      <c r="J72" s="117"/>
      <c r="K72" s="117"/>
    </row>
    <row r="73" spans="1:29">
      <c r="A73" s="290"/>
      <c r="B73" s="291"/>
      <c r="C73" s="117"/>
      <c r="D73" s="117"/>
      <c r="E73" s="117"/>
      <c r="F73" s="117"/>
      <c r="G73" s="117"/>
      <c r="H73" s="117"/>
      <c r="I73" s="117"/>
      <c r="J73" s="117"/>
      <c r="K73" s="117"/>
    </row>
    <row r="74" spans="1:29">
      <c r="A74" s="290"/>
      <c r="B74" s="291"/>
      <c r="C74" s="117"/>
      <c r="D74" s="117"/>
      <c r="E74" s="117"/>
      <c r="F74" s="117"/>
      <c r="G74" s="117"/>
      <c r="H74" s="117"/>
      <c r="I74" s="117"/>
      <c r="J74" s="117"/>
      <c r="K74" s="117"/>
    </row>
    <row r="75" spans="1:29">
      <c r="A75" s="290"/>
      <c r="B75" s="292"/>
      <c r="C75" s="117"/>
      <c r="D75" s="117"/>
      <c r="E75" s="117"/>
      <c r="F75" s="117"/>
      <c r="G75" s="117"/>
      <c r="H75" s="117"/>
      <c r="I75" s="117"/>
      <c r="J75" s="117"/>
      <c r="K75" s="117"/>
    </row>
    <row r="76" spans="1:29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</row>
    <row r="77" spans="1:29">
      <c r="A77" s="283" t="s">
        <v>1138</v>
      </c>
    </row>
    <row r="78" spans="1:29">
      <c r="A78" s="284" t="s">
        <v>1139</v>
      </c>
      <c r="B78" s="285">
        <f>D12+D13+D14+D15+D16+D17+D18+D19+D20</f>
        <v>8903.8583400000025</v>
      </c>
    </row>
    <row r="79" spans="1:29">
      <c r="A79" s="286" t="s">
        <v>1141</v>
      </c>
      <c r="B79" s="287">
        <f>D30</f>
        <v>1612</v>
      </c>
    </row>
    <row r="80" spans="1:29">
      <c r="A80" s="286" t="s">
        <v>1142</v>
      </c>
      <c r="B80" s="287">
        <f>D21+D22+D23+D24+D25+D26+D27+D28+D29+D31</f>
        <v>4716</v>
      </c>
    </row>
    <row r="81" spans="1:6">
      <c r="A81" s="286" t="s">
        <v>1144</v>
      </c>
      <c r="B81" s="288">
        <f>SUM(B78:B80)</f>
        <v>15231.858340000002</v>
      </c>
    </row>
    <row r="83" spans="1:6">
      <c r="A83" s="286" t="s">
        <v>3148</v>
      </c>
    </row>
    <row r="84" spans="1:6">
      <c r="A84" s="286" t="s">
        <v>1179</v>
      </c>
      <c r="B84" s="545">
        <f>ROUND(($B$91*$B$92-1)*100,0)</f>
        <v>62</v>
      </c>
      <c r="C84" s="286" t="s">
        <v>3149</v>
      </c>
    </row>
    <row r="85" spans="1:6">
      <c r="A85" s="286" t="s">
        <v>1180</v>
      </c>
      <c r="B85" s="545">
        <f>ROUND(($C$91*$B$92-1)*100,0)</f>
        <v>48</v>
      </c>
      <c r="C85" s="286" t="s">
        <v>3149</v>
      </c>
    </row>
    <row r="86" spans="1:6">
      <c r="A86" s="286" t="s">
        <v>1181</v>
      </c>
      <c r="B86" s="545">
        <f>ROUND(($D$91*$B$92-1)*100,0)</f>
        <v>85</v>
      </c>
      <c r="C86" s="286" t="s">
        <v>3149</v>
      </c>
    </row>
    <row r="87" spans="1:6">
      <c r="A87" s="286" t="s">
        <v>3122</v>
      </c>
      <c r="B87" s="540">
        <v>30</v>
      </c>
      <c r="C87" s="286" t="s">
        <v>3150</v>
      </c>
    </row>
    <row r="89" spans="1:6">
      <c r="A89" s="533" t="s">
        <v>3151</v>
      </c>
      <c r="B89" s="535"/>
      <c r="C89" s="533"/>
    </row>
    <row r="90" spans="1:6">
      <c r="A90" t="s">
        <v>3144</v>
      </c>
      <c r="B90" s="541">
        <v>30</v>
      </c>
      <c r="C90" t="s">
        <v>3152</v>
      </c>
    </row>
    <row r="91" spans="1:6">
      <c r="A91" t="s">
        <v>3153</v>
      </c>
      <c r="B91" s="542">
        <v>1.895</v>
      </c>
      <c r="C91" s="542">
        <v>1.7230000000000001</v>
      </c>
      <c r="D91" s="542">
        <v>2.1539999999999999</v>
      </c>
      <c r="E91" s="542" t="s">
        <v>3154</v>
      </c>
      <c r="F91" s="542"/>
    </row>
    <row r="92" spans="1:6">
      <c r="A92" t="s">
        <v>3155</v>
      </c>
      <c r="B92" s="542">
        <f>IFERROR((((D32)+(D40+D67)+(D41+D68))/(100/(100+B87)-B90/100))/(((D32)*$B$91+(D40+D67)*$C$91+(D41+D68)*$D$91)*(1+B87/100)),1)</f>
        <v>0.85664721473358152</v>
      </c>
      <c r="C92" t="s">
        <v>3156</v>
      </c>
    </row>
    <row r="94" spans="1:6">
      <c r="A94" s="533" t="s">
        <v>3126</v>
      </c>
      <c r="B94" s="535"/>
      <c r="C94" s="533"/>
    </row>
    <row r="95" spans="1:6">
      <c r="A95" s="533" t="s">
        <v>3127</v>
      </c>
      <c r="B95" s="534">
        <f>IFERROR(ROUND(D44-D44/(1+B87/100),0),0)</f>
        <v>9138</v>
      </c>
      <c r="C95" s="533" t="s">
        <v>3128</v>
      </c>
    </row>
    <row r="96" spans="1:6">
      <c r="A96" s="533" t="s">
        <v>3129</v>
      </c>
      <c r="B96" s="534">
        <f>D32+D40+D67+D41+D68+B95</f>
        <v>27624.858340000002</v>
      </c>
      <c r="C96" s="533" t="s">
        <v>3130</v>
      </c>
    </row>
    <row r="97" spans="1:3">
      <c r="A97" s="536" t="s">
        <v>3131</v>
      </c>
      <c r="B97" s="537">
        <f>IFERROR((D44-B96)/D44,"")</f>
        <v>0.3024025671717171</v>
      </c>
      <c r="C97" s="536" t="s">
        <v>3157</v>
      </c>
    </row>
  </sheetData>
  <sheetProtection sheet="1" objects="1" scenarios="1"/>
  <mergeCells count="1">
    <mergeCell ref="A1:F1"/>
  </mergeCells>
  <dataValidations count="11">
    <dataValidation type="list" sqref="B2" xr:uid="{00000000-0002-0000-1000-000000000000}">
      <formula1>"อิสระ,ลากจูง,เปิดคู่กลาง"</formula1>
      <formula2>0</formula2>
    </dataValidation>
    <dataValidation type="list" sqref="B3" xr:uid="{00000000-0002-0000-1000-000001000000}">
      <formula1>"2,3,4,5,6"</formula1>
      <formula2>0</formula2>
    </dataValidation>
    <dataValidation type="list" sqref="B7" xr:uid="{00000000-0002-0000-1000-000002000000}">
      <formula1>"มือจับล็อค,X-J,ลูกค้าเตรียมเอง"</formula1>
      <formula2>0</formula2>
    </dataValidation>
    <dataValidation type="list" allowBlank="1" sqref="B52 B55:B56" xr:uid="{00000000-0002-0000-1000-000003000000}">
      <formula1>"มี,ไม่มี"</formula1>
    </dataValidation>
    <dataValidation type="list" allowBlank="1" sqref="B53" xr:uid="{00000000-0002-0000-1000-000004000000}">
      <formula1>"ชุด SlimLux,ช่างแซก"</formula1>
    </dataValidation>
    <dataValidation type="list" allowBlank="1" sqref="B54" xr:uid="{00000000-0002-0000-1000-000005000000}">
      <formula1>"สแกนหน้า,Touch"</formula1>
    </dataValidation>
    <dataValidation type="list" allowBlank="1" sqref="F10" xr:uid="{00000000-0002-0000-1000-000008000000}">
      <formula1>"สีอบขาว/ดำ,เทาซาฮาร่า,สีอบพิเศษ,สีลายไม้อบพิเศษ"</formula1>
    </dataValidation>
    <dataValidation type="list" allowBlank="1" sqref="B10" xr:uid="{00000000-0002-0000-1000-000009000000}">
      <formula1>SlimLuxGlass</formula1>
    </dataValidation>
    <dataValidation type="list" allowBlank="1" sqref="B61" xr:uid="{00000000-0002-0000-1000-00000A000000}">
      <formula1>MungList</formula1>
    </dataValidation>
    <dataValidation type="list" allowBlank="1" sqref="B62" xr:uid="{00000000-0002-0000-1000-00000B000000}">
      <formula1>ClothList</formula1>
    </dataValidation>
    <dataValidation type="list" allowBlank="1" sqref="C62" xr:uid="{00000000-0002-0000-1000-00000C000000}">
      <formula1>"เทา,ดำ"</formula1>
    </dataValidation>
  </dataValidations>
  <hyperlinks>
    <hyperlink ref="H1" location="'สารบัญ'!A1" display="🏠 สารบัญ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K61"/>
  <sheetViews>
    <sheetView workbookViewId="0">
      <selection sqref="A1:D1"/>
    </sheetView>
  </sheetViews>
  <sheetFormatPr defaultRowHeight="14.4"/>
  <cols>
    <col min="1" max="1" width="24" customWidth="1"/>
    <col min="2" max="2" width="12.6640625" customWidth="1"/>
    <col min="3" max="3" width="42.6640625" customWidth="1"/>
    <col min="4" max="4" width="18" customWidth="1"/>
    <col min="5" max="5" width="19.109375" customWidth="1"/>
    <col min="6" max="6" width="5.44140625" customWidth="1"/>
    <col min="7" max="7" width="8.5546875" customWidth="1"/>
  </cols>
  <sheetData>
    <row r="1" spans="1:8">
      <c r="A1" s="661" t="s">
        <v>1230</v>
      </c>
      <c r="B1" s="650"/>
      <c r="C1" s="650"/>
      <c r="D1" s="650"/>
      <c r="E1" s="243"/>
      <c r="G1" s="293" t="s">
        <v>68</v>
      </c>
      <c r="H1" s="294"/>
    </row>
    <row r="2" spans="1:8">
      <c r="A2" s="21" t="s">
        <v>1231</v>
      </c>
      <c r="B2" s="546">
        <v>360</v>
      </c>
      <c r="E2" s="136" t="s">
        <v>1232</v>
      </c>
      <c r="F2">
        <f>B2/B4</f>
        <v>180</v>
      </c>
    </row>
    <row r="3" spans="1:8">
      <c r="A3" s="21" t="s">
        <v>1233</v>
      </c>
      <c r="B3" s="546">
        <v>240</v>
      </c>
      <c r="E3" s="136" t="s">
        <v>1234</v>
      </c>
      <c r="F3">
        <f>(B2/100)*(B3/100)</f>
        <v>8.64</v>
      </c>
    </row>
    <row r="4" spans="1:8">
      <c r="A4" s="21" t="s">
        <v>1109</v>
      </c>
      <c r="B4" s="546">
        <v>2</v>
      </c>
      <c r="E4" s="136" t="s">
        <v>1235</v>
      </c>
      <c r="F4">
        <f>ROUNDUP((B2/B4)*2/600,0)</f>
        <v>1</v>
      </c>
    </row>
    <row r="5" spans="1:8">
      <c r="A5" s="21" t="s">
        <v>1236</v>
      </c>
      <c r="B5" s="546" t="s">
        <v>1123</v>
      </c>
      <c r="E5" s="136" t="s">
        <v>1237</v>
      </c>
      <c r="F5">
        <f>INDEX(ราคากระจก!$B$3:$B$206,MATCH(B6,ราคากระจก!$A$3:$A$206,0))</f>
        <v>264</v>
      </c>
    </row>
    <row r="6" spans="1:8">
      <c r="A6" s="21" t="s">
        <v>1120</v>
      </c>
      <c r="B6" s="546" t="s">
        <v>733</v>
      </c>
      <c r="E6" s="136" t="s">
        <v>1238</v>
      </c>
      <c r="F6">
        <f>IF(OR(B5="สีอบพิเศษ",B5="สีลายไม้อบพิเศษ"),1,0)</f>
        <v>0</v>
      </c>
    </row>
    <row r="7" spans="1:8">
      <c r="A7" s="21" t="s">
        <v>1116</v>
      </c>
      <c r="B7" s="385">
        <f>$B$48</f>
        <v>59</v>
      </c>
      <c r="C7" s="588" t="s">
        <v>2702</v>
      </c>
      <c r="E7" s="136" t="s">
        <v>1239</v>
      </c>
      <c r="F7">
        <f>IF(B5="สีอบขาว/ดำ",IFERROR(VLOOKUP("B20051",ราคาสี!$A:$D,4,0),885),IF(OR(B5="เทาซาฮาร่า",B5="สีดำซาฮาร่า"),VLOOKUP("B20051",ราคาสี!$A:$F,5,0),IF(B5="ลายไม้ stock",VLOOKUP("B20051",ราคาสี!$A:$H,8,0),IFERROR(VLOOKUP("B20051",ราคาสี!$A:$D,4,0),885)+IF(B5="สีอบพิเศษ",rate_special,rate_woodbake)*น้ำหนักโปรไฟล์!$C$256)))</f>
        <v>885</v>
      </c>
    </row>
    <row r="8" spans="1:8">
      <c r="A8" s="21" t="s">
        <v>1119</v>
      </c>
      <c r="B8" s="546">
        <v>90</v>
      </c>
      <c r="E8" s="136" t="s">
        <v>1240</v>
      </c>
      <c r="F8">
        <f>IF(B5="สีอบขาว/ดำ",mult_mtong,IF(OR(B5="เทาซาฮาร่า",B5="สีดำซาฮาร่า"),mult_mtong+rate_grey/192,IF(B5="ลายไม้ stock",mult_mtong+rate_woodstock/192,IF(B5="สีอบพิเศษ",mult_mtong+rate_special/192,mult_mtong+rate_woodbake/192))))</f>
        <v>1</v>
      </c>
    </row>
    <row r="10" spans="1:8">
      <c r="A10" s="234" t="s">
        <v>1241</v>
      </c>
      <c r="B10" s="547" t="s">
        <v>1124</v>
      </c>
      <c r="C10" s="547" t="s">
        <v>1125</v>
      </c>
      <c r="D10" s="234" t="s">
        <v>1242</v>
      </c>
    </row>
    <row r="11" spans="1:8">
      <c r="A11" s="16" t="s">
        <v>3165</v>
      </c>
      <c r="B11" s="235">
        <f>F4*B4</f>
        <v>2</v>
      </c>
      <c r="C11" s="236">
        <f>ชีทอุปกรณ์!$D$194</f>
        <v>2010</v>
      </c>
      <c r="D11" s="237">
        <f t="shared" ref="D11:D22" si="0">B11*C11</f>
        <v>4020</v>
      </c>
    </row>
    <row r="12" spans="1:8">
      <c r="A12" s="16" t="s">
        <v>1243</v>
      </c>
      <c r="B12" s="235">
        <f>B4</f>
        <v>2</v>
      </c>
      <c r="C12" s="236">
        <f>ชีทอุปกรณ์!$D$195</f>
        <v>1170</v>
      </c>
      <c r="D12" s="237">
        <f t="shared" si="0"/>
        <v>2340</v>
      </c>
    </row>
    <row r="13" spans="1:8">
      <c r="A13" s="16" t="s">
        <v>1244</v>
      </c>
      <c r="B13" s="235">
        <f>(B3/600)*buf_scrap</f>
        <v>0.52</v>
      </c>
      <c r="C13" s="236">
        <f>ROUND(ราคาสี!$D$198*$F$8/5,0)*5</f>
        <v>905</v>
      </c>
      <c r="D13" s="237">
        <f t="shared" si="0"/>
        <v>470.6</v>
      </c>
    </row>
    <row r="14" spans="1:8">
      <c r="A14" s="16" t="s">
        <v>1245</v>
      </c>
      <c r="B14" s="235">
        <f>(B2*2/600)*buf_scrap</f>
        <v>1.56</v>
      </c>
      <c r="C14" s="236">
        <f>ROUND(ราคาสี!$D$200*$F$8/5,0)*5</f>
        <v>1220</v>
      </c>
      <c r="D14" s="237">
        <f t="shared" si="0"/>
        <v>1903.2</v>
      </c>
    </row>
    <row r="15" spans="1:8">
      <c r="A15" s="16" t="s">
        <v>1246</v>
      </c>
      <c r="B15" s="235">
        <f>(2*(B2+B4*B3)/640)*buf_scrap</f>
        <v>3.4125000000000001</v>
      </c>
      <c r="C15" s="236">
        <f>ROUND(F7*mult_sms/5,0)*5</f>
        <v>885</v>
      </c>
      <c r="D15" s="237">
        <f t="shared" si="0"/>
        <v>3020.0625</v>
      </c>
    </row>
    <row r="16" spans="1:8">
      <c r="A16" s="16" t="s">
        <v>1128</v>
      </c>
      <c r="B16" s="235">
        <f>F3</f>
        <v>8.64</v>
      </c>
      <c r="C16" s="236">
        <f>F5</f>
        <v>264</v>
      </c>
      <c r="D16" s="237">
        <f t="shared" si="0"/>
        <v>2280.96</v>
      </c>
    </row>
    <row r="17" spans="1:4">
      <c r="A17" s="16" t="s">
        <v>1247</v>
      </c>
      <c r="B17" s="235">
        <f>(B3/600)*buf_scrap</f>
        <v>0.52</v>
      </c>
      <c r="C17" s="236">
        <f>ROUND(300*$F$8/5,0)*5</f>
        <v>300</v>
      </c>
      <c r="D17" s="237">
        <f t="shared" si="0"/>
        <v>156</v>
      </c>
    </row>
    <row r="18" spans="1:4">
      <c r="A18" s="16" t="s">
        <v>1248</v>
      </c>
      <c r="B18" s="235">
        <f>2*(B2*2/600)*buf_scrap</f>
        <v>3.12</v>
      </c>
      <c r="C18" s="236">
        <f>ROUND(ราคาสี!$D$204*$F$8/5,0)*5</f>
        <v>280</v>
      </c>
      <c r="D18" s="237">
        <f t="shared" si="0"/>
        <v>873.6</v>
      </c>
    </row>
    <row r="19" spans="1:4">
      <c r="A19" s="16" t="s">
        <v>1130</v>
      </c>
      <c r="B19" s="235">
        <f>2*B4</f>
        <v>4</v>
      </c>
      <c r="C19" s="236">
        <v>99</v>
      </c>
      <c r="D19" s="237">
        <f t="shared" si="0"/>
        <v>396</v>
      </c>
    </row>
    <row r="20" spans="1:4">
      <c r="A20" s="16" t="s">
        <v>1249</v>
      </c>
      <c r="B20" s="235">
        <f>B4</f>
        <v>2</v>
      </c>
      <c r="C20" s="236">
        <f>ชีทอุปกรณ์!$D$193</f>
        <v>189</v>
      </c>
      <c r="D20" s="237">
        <f t="shared" si="0"/>
        <v>378</v>
      </c>
    </row>
    <row r="21" spans="1:4">
      <c r="A21" s="16" t="s">
        <v>1134</v>
      </c>
      <c r="B21" s="235">
        <f>ROUNDUP(2*(B2+B3)/100*2/12.5,0)</f>
        <v>2</v>
      </c>
      <c r="C21" s="236">
        <f>B8</f>
        <v>90</v>
      </c>
      <c r="D21" s="237">
        <f t="shared" si="0"/>
        <v>180</v>
      </c>
    </row>
    <row r="22" spans="1:4">
      <c r="A22" s="16" t="s">
        <v>1250</v>
      </c>
      <c r="B22" s="235">
        <f>F6</f>
        <v>0</v>
      </c>
      <c r="C22" s="236">
        <f>อัปเดตราคาอลู!$B$17</f>
        <v>2000</v>
      </c>
      <c r="D22" s="237">
        <f t="shared" si="0"/>
        <v>0</v>
      </c>
    </row>
    <row r="23" spans="1:4">
      <c r="A23" s="611" t="s">
        <v>1137</v>
      </c>
      <c r="D23" s="238">
        <f>SUM(D11:D22)</f>
        <v>16018.422500000002</v>
      </c>
    </row>
    <row r="24" spans="1:4">
      <c r="A24" s="21" t="s">
        <v>1045</v>
      </c>
      <c r="D24" s="239">
        <f>IFERROR(ROUND(D23/F3,0),0)</f>
        <v>1854</v>
      </c>
    </row>
    <row r="25" spans="1:4">
      <c r="A25" s="21" t="s">
        <v>1140</v>
      </c>
      <c r="D25" s="240">
        <f>ROUNDUP(D23*(1+B7/100)/100,0)*100</f>
        <v>25500</v>
      </c>
    </row>
    <row r="26" spans="1:4">
      <c r="A26" s="21" t="s">
        <v>1143</v>
      </c>
      <c r="D26" s="240">
        <f>D25</f>
        <v>25500</v>
      </c>
    </row>
    <row r="28" spans="1:4">
      <c r="A28" s="161" t="s">
        <v>3166</v>
      </c>
    </row>
    <row r="30" spans="1:4">
      <c r="A30" s="241" t="s">
        <v>1251</v>
      </c>
    </row>
    <row r="31" spans="1:4">
      <c r="A31" s="21" t="s">
        <v>711</v>
      </c>
      <c r="D31" s="242">
        <f>MAX(0,VLOOKUP("บานเลื่อนรางบน",ค่าแรง!$A$12:$N$117,2,0)+VLOOKUP("บานเลื่อนรางบน",ค่าแรง!$A$12:$N$117,3,0)*F3)</f>
        <v>1202.25</v>
      </c>
    </row>
    <row r="32" spans="1:4">
      <c r="A32" s="21" t="s">
        <v>647</v>
      </c>
      <c r="D32" s="242">
        <f>MAX(0,VLOOKUP("บานเลื่อนรางบน",ค่าแรง!$A$12:$N$117,4,0)+VLOOKUP("บานเลื่อนรางบน",ค่าแรง!$A$12:$N$117,5,0)*F3)</f>
        <v>2404.5</v>
      </c>
    </row>
    <row r="33" spans="1:11">
      <c r="A33" s="21" t="s">
        <v>1160</v>
      </c>
      <c r="D33" s="242">
        <f>ROUNDUP((ROUNDUP((ROUNDUP(D23*(1+B7/100)/100,0)*100+ROUNDUP(D31*(1+B49/100)/100,0)*100)*(1+$B$51/100)/100,0)*100)*1/100,0)*100</f>
        <v>35800</v>
      </c>
    </row>
    <row r="34" spans="1:11">
      <c r="A34" s="117" t="s">
        <v>1161</v>
      </c>
      <c r="B34" s="117"/>
      <c r="C34" s="117"/>
      <c r="D34" s="117">
        <f>D33+ROUNDUP((ROUNDUP((ROUNDUP(D32*(1+B50/100)/100,0)*100)*(1+$B$51/100)/100,0)*100)*1/100,0)*100</f>
        <v>42100</v>
      </c>
      <c r="E34" s="117"/>
      <c r="F34" s="117"/>
      <c r="G34" s="117"/>
      <c r="H34" s="117"/>
      <c r="I34" s="117"/>
      <c r="J34" s="117"/>
      <c r="K34" s="117"/>
    </row>
    <row r="35" spans="1:11">
      <c r="A35" s="289"/>
      <c r="B35" s="117"/>
      <c r="C35" s="117"/>
      <c r="D35" s="117"/>
      <c r="E35" s="117"/>
      <c r="F35" s="117"/>
      <c r="G35" s="117"/>
      <c r="H35" s="117"/>
      <c r="I35" s="117"/>
      <c r="J35" s="117"/>
      <c r="K35" s="117"/>
    </row>
    <row r="36" spans="1:11">
      <c r="A36" s="290"/>
      <c r="B36" s="291"/>
      <c r="C36" s="117"/>
      <c r="D36" s="117"/>
      <c r="E36" s="117"/>
      <c r="F36" s="117"/>
      <c r="G36" s="117"/>
      <c r="H36" s="117"/>
      <c r="I36" s="117"/>
      <c r="J36" s="117"/>
      <c r="K36" s="117"/>
    </row>
    <row r="37" spans="1:11">
      <c r="A37" s="290"/>
      <c r="B37" s="291"/>
      <c r="C37" s="117"/>
      <c r="D37" s="117"/>
      <c r="E37" s="117"/>
      <c r="F37" s="117"/>
      <c r="G37" s="117"/>
      <c r="H37" s="117"/>
      <c r="I37" s="117"/>
      <c r="J37" s="117"/>
      <c r="K37" s="117"/>
    </row>
    <row r="38" spans="1:11">
      <c r="A38" s="290"/>
      <c r="B38" s="291"/>
      <c r="C38" s="117"/>
      <c r="D38" s="117"/>
      <c r="E38" s="117"/>
      <c r="F38" s="117"/>
      <c r="G38" s="117"/>
      <c r="H38" s="117"/>
      <c r="I38" s="117"/>
      <c r="J38" s="117"/>
      <c r="K38" s="117"/>
    </row>
    <row r="39" spans="1:11">
      <c r="A39" s="290"/>
      <c r="B39" s="292"/>
      <c r="C39" s="117"/>
      <c r="D39" s="117"/>
      <c r="E39" s="117"/>
      <c r="F39" s="117"/>
      <c r="G39" s="117"/>
      <c r="H39" s="117"/>
      <c r="I39" s="117"/>
      <c r="J39" s="117"/>
      <c r="K39" s="117"/>
    </row>
    <row r="40" spans="1:1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</row>
    <row r="41" spans="1:11">
      <c r="A41" s="283" t="s">
        <v>1138</v>
      </c>
    </row>
    <row r="42" spans="1:11">
      <c r="A42" s="284" t="s">
        <v>1139</v>
      </c>
      <c r="B42" s="285">
        <f>D11+D12+D13+D14+D15+D18+D21</f>
        <v>12807.462500000001</v>
      </c>
    </row>
    <row r="43" spans="1:11">
      <c r="A43" s="286" t="s">
        <v>1141</v>
      </c>
      <c r="B43" s="287">
        <f>D16</f>
        <v>2280.96</v>
      </c>
    </row>
    <row r="44" spans="1:11">
      <c r="A44" s="286" t="s">
        <v>1142</v>
      </c>
      <c r="B44" s="287">
        <f>D17+D19+D20+D22</f>
        <v>930</v>
      </c>
    </row>
    <row r="45" spans="1:11">
      <c r="A45" s="286" t="s">
        <v>1144</v>
      </c>
      <c r="B45" s="288">
        <f>SUM(B42:B44)</f>
        <v>16018.422500000001</v>
      </c>
    </row>
    <row r="47" spans="1:11">
      <c r="A47" s="286" t="s">
        <v>3148</v>
      </c>
    </row>
    <row r="48" spans="1:11">
      <c r="A48" s="286" t="s">
        <v>1179</v>
      </c>
      <c r="B48" s="548">
        <f>ROUND(($B$55*$B$56-1)*100,0)</f>
        <v>59</v>
      </c>
      <c r="C48" s="286" t="s">
        <v>3149</v>
      </c>
    </row>
    <row r="49" spans="1:6">
      <c r="A49" s="286" t="s">
        <v>1180</v>
      </c>
      <c r="B49" s="548">
        <f>ROUND(($C$55*$B$56-1)*100,0)</f>
        <v>59</v>
      </c>
      <c r="C49" s="286" t="s">
        <v>3149</v>
      </c>
    </row>
    <row r="50" spans="1:6">
      <c r="A50" s="286" t="s">
        <v>1181</v>
      </c>
      <c r="B50" s="548">
        <f>ROUND(($D$55*$B$56-1)*100,0)</f>
        <v>99</v>
      </c>
      <c r="C50" s="286" t="s">
        <v>3149</v>
      </c>
    </row>
    <row r="51" spans="1:6">
      <c r="A51" s="286" t="s">
        <v>3122</v>
      </c>
      <c r="B51" s="546">
        <v>30</v>
      </c>
      <c r="C51" s="286" t="s">
        <v>3150</v>
      </c>
    </row>
    <row r="53" spans="1:6">
      <c r="A53" s="533" t="s">
        <v>3151</v>
      </c>
      <c r="B53" s="535"/>
      <c r="C53" s="533"/>
    </row>
    <row r="54" spans="1:6">
      <c r="A54" t="s">
        <v>3144</v>
      </c>
      <c r="B54" s="541">
        <v>30</v>
      </c>
      <c r="C54" t="s">
        <v>3152</v>
      </c>
    </row>
    <row r="55" spans="1:6">
      <c r="A55" t="s">
        <v>3153</v>
      </c>
      <c r="B55" s="542">
        <v>1.7230000000000001</v>
      </c>
      <c r="C55" s="542">
        <v>1.7230000000000001</v>
      </c>
      <c r="D55" s="542">
        <v>2.1539999999999999</v>
      </c>
      <c r="E55" s="542" t="s">
        <v>3154</v>
      </c>
      <c r="F55" s="542"/>
    </row>
    <row r="56" spans="1:6">
      <c r="A56" t="s">
        <v>3155</v>
      </c>
      <c r="B56" s="542">
        <f>IFERROR((((D23)+(D31)+(D32))/(100/(100+B51)-B54/100))/(((D23)*$B$55+(D31)*$C$55+(D32)*$D$55)*(1+B51/100)),1)</f>
        <v>0.9231547070303423</v>
      </c>
      <c r="C56" t="s">
        <v>3156</v>
      </c>
    </row>
    <row r="58" spans="1:6">
      <c r="A58" s="533" t="s">
        <v>3126</v>
      </c>
      <c r="B58" s="535"/>
      <c r="C58" s="533"/>
    </row>
    <row r="59" spans="1:6">
      <c r="A59" s="533" t="s">
        <v>3127</v>
      </c>
      <c r="B59" s="534">
        <f>IFERROR(ROUND(D34-D34/(1+B51/100),0),0)</f>
        <v>9715</v>
      </c>
      <c r="C59" s="533" t="s">
        <v>3128</v>
      </c>
    </row>
    <row r="60" spans="1:6">
      <c r="A60" s="533" t="s">
        <v>3129</v>
      </c>
      <c r="B60" s="534">
        <f>D23+D31+D32+B59</f>
        <v>29340.172500000001</v>
      </c>
      <c r="C60" s="533" t="s">
        <v>3130</v>
      </c>
    </row>
    <row r="61" spans="1:6">
      <c r="A61" s="536" t="s">
        <v>3131</v>
      </c>
      <c r="B61" s="537">
        <f>IFERROR((D34-B60)/D34,"")</f>
        <v>0.30308378859857482</v>
      </c>
      <c r="C61" s="536" t="s">
        <v>3157</v>
      </c>
    </row>
  </sheetData>
  <sheetProtection sheet="1" objects="1" scenarios="1"/>
  <mergeCells count="1">
    <mergeCell ref="A1:D1"/>
  </mergeCells>
  <dataValidations count="2">
    <dataValidation type="list" sqref="B5" xr:uid="{00000000-0002-0000-1100-000000000000}">
      <formula1>"สีอบขาว/ดำ,เทาซาฮาร่า,สีดำซาฮาร่า,ลายไม้ stock,สีอบพิเศษ,สีลายไม้อบพิเศษ"</formula1>
    </dataValidation>
    <dataValidation type="list" sqref="B6" xr:uid="{00000000-0002-0000-1100-000001000000}">
      <formula1>GlassNames</formula1>
    </dataValidation>
  </dataValidations>
  <hyperlinks>
    <hyperlink ref="G1" location="'สารบัญ'!A1" display="🏠 สารบัญ" xr:uid="{00000000-0004-0000-11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K82"/>
  <sheetViews>
    <sheetView showGridLines="0" zoomScaleNormal="100" workbookViewId="0">
      <pane ySplit="11" topLeftCell="A12" activePane="bottomLeft" state="frozen"/>
      <selection pane="bottomLeft" activeCell="A20" sqref="A20:D20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660" t="s">
        <v>1252</v>
      </c>
      <c r="B1" s="650"/>
      <c r="C1" s="650"/>
      <c r="D1" s="650"/>
      <c r="E1" s="243"/>
      <c r="G1" s="293" t="s">
        <v>68</v>
      </c>
      <c r="H1" s="294"/>
    </row>
    <row r="3" spans="1:8" ht="15" customHeight="1">
      <c r="A3" s="27" t="s">
        <v>1105</v>
      </c>
      <c r="B3" s="538">
        <v>150</v>
      </c>
    </row>
    <row r="4" spans="1:8" ht="15" customHeight="1">
      <c r="A4" s="27" t="s">
        <v>1107</v>
      </c>
      <c r="B4" s="538">
        <v>200</v>
      </c>
    </row>
    <row r="5" spans="1:8" ht="15" customHeight="1">
      <c r="A5" s="27" t="s">
        <v>1109</v>
      </c>
      <c r="B5" s="538">
        <v>1</v>
      </c>
    </row>
    <row r="6" spans="1:8" ht="15" customHeight="1">
      <c r="A6" s="27" t="s">
        <v>1253</v>
      </c>
      <c r="B6" s="539" t="s">
        <v>1254</v>
      </c>
      <c r="C6" s="390" t="str">
        <f>IF(B6="","⚠ ยังไม่เลือกธรณี — ราคาจะขาด","")</f>
        <v/>
      </c>
      <c r="E6" t="s">
        <v>2781</v>
      </c>
      <c r="F6" s="588" t="s">
        <v>1164</v>
      </c>
    </row>
    <row r="7" spans="1:8" ht="15" customHeight="1">
      <c r="A7" s="30" t="s">
        <v>1114</v>
      </c>
      <c r="B7" s="31">
        <f>(B3/100)*(B4/100)</f>
        <v>3</v>
      </c>
    </row>
    <row r="8" spans="1:8" ht="15" customHeight="1">
      <c r="A8" s="27" t="s">
        <v>1116</v>
      </c>
      <c r="B8" s="383">
        <f>$B$69</f>
        <v>59</v>
      </c>
      <c r="C8" s="588" t="s">
        <v>2702</v>
      </c>
    </row>
    <row r="9" spans="1:8" ht="15" customHeight="1">
      <c r="A9" s="27" t="s">
        <v>1119</v>
      </c>
      <c r="B9" s="538">
        <v>90</v>
      </c>
    </row>
    <row r="10" spans="1:8" ht="15" customHeight="1">
      <c r="A10" s="26" t="s">
        <v>1120</v>
      </c>
      <c r="B10" s="540" t="s">
        <v>733</v>
      </c>
      <c r="C10" s="32">
        <f>INDEX(ราคากระจก!$B$3:$B$206,MATCH(B10,ราคากระจก!$A$3:$A$206,0))</f>
        <v>264</v>
      </c>
      <c r="D10" s="26" t="s">
        <v>1121</v>
      </c>
      <c r="E10" s="26" t="s">
        <v>1122</v>
      </c>
      <c r="F10" s="584" t="s">
        <v>1123</v>
      </c>
      <c r="G10" s="26"/>
    </row>
    <row r="11" spans="1:8" ht="15" customHeight="1">
      <c r="A11" s="33" t="s">
        <v>470</v>
      </c>
      <c r="B11" s="539" t="s">
        <v>1124</v>
      </c>
      <c r="C11" s="539" t="s">
        <v>1125</v>
      </c>
      <c r="D11" s="33" t="s">
        <v>1126</v>
      </c>
    </row>
    <row r="12" spans="1:8" ht="15" customHeight="1">
      <c r="A12" s="28" t="s">
        <v>1255</v>
      </c>
      <c r="B12" s="34">
        <f>((B3+2*B4)/640)*buf_scrap</f>
        <v>1.1171875</v>
      </c>
      <c r="C12" s="3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น้ำหนักโปรไฟล์!$C$286))))))</f>
        <v>1205</v>
      </c>
      <c r="D12" s="29">
        <f t="shared" ref="D12:D18" si="0">B12*C12*mult_euro</f>
        <v>1346.2109375</v>
      </c>
    </row>
    <row r="13" spans="1:8" ht="15" customHeight="1">
      <c r="A13" s="28" t="s">
        <v>1256</v>
      </c>
      <c r="B13" s="34">
        <f>IF(B6="มี",(B3/640)*buf_scrap,0)</f>
        <v>0.3046875</v>
      </c>
      <c r="C13" s="3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น้ำหนักโปรไฟล์!$C$287))))))</f>
        <v>1520</v>
      </c>
      <c r="D13" s="29">
        <f t="shared" si="0"/>
        <v>463.125</v>
      </c>
    </row>
    <row r="14" spans="1:8" ht="15" customHeight="1">
      <c r="A14" s="28" t="s">
        <v>1257</v>
      </c>
      <c r="B14" s="34">
        <f>IF(B6="มี",(B3/640)*buf_scrap,0)</f>
        <v>0.3046875</v>
      </c>
      <c r="C14" s="3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น้ำหนักโปรไฟล์!$C$288))))))</f>
        <v>610</v>
      </c>
      <c r="D14" s="29">
        <f t="shared" si="0"/>
        <v>185.859375</v>
      </c>
    </row>
    <row r="15" spans="1:8" ht="15" customHeight="1">
      <c r="A15" s="28" t="s">
        <v>1258</v>
      </c>
      <c r="B15" s="34">
        <f>IF(B6="ไม่มี",(B3/640)*buf_scrap,0)</f>
        <v>0</v>
      </c>
      <c r="C15" s="35">
        <f>IF(F10="สีอบขาว/ดำ",IFERROR(VLOOKUP("F7863",ราคาสี!$A:$D,4,0),435),IF(OR(F10="เทาซาฮาร่า",F10="สีดำซาฮาร่า"),IFERROR(VLOOKUP("F7863",ราคาสี!$A:$D,4,0),435)+rate_grey*น้ำหนักโปรไฟล์!$C$289,IF(F10="แอทแทคเกรย์",IFERROR(VLOOKUP("F7863",ราคาสี!$A:$D,4,0),435)+rate_grey*น้ำหนักโปรไฟล์!$C$289,IF(F10="ลายไม้สักทอง",645,IF(F10="ลายไม้มะฮอกกานี",645,IF(F10="ลายไม้ไวท์โอ๊ค",645,IFERROR(VLOOKUP("F7863",ราคาสี!$A:$D,4,0),435)+IF(F10="สีอบพิเศษ",rate_special,rate_woodbake)*น้ำหนักโปรไฟล์!$C$289))))))</f>
        <v>435</v>
      </c>
      <c r="D15" s="29">
        <f t="shared" si="0"/>
        <v>0</v>
      </c>
    </row>
    <row r="16" spans="1:8" ht="15" customHeight="1">
      <c r="A16" s="28" t="s">
        <v>1259</v>
      </c>
      <c r="B16" s="34">
        <f>((2*B5*B4+2*B3)/640)*buf_scrap</f>
        <v>1.421875</v>
      </c>
      <c r="C16" s="35">
        <f>IF(F10="สีอบขาว/ดำ",IFERROR(VLOOKUP("F7864",ราคาสี!$A:$D,4,0),1995),IF(OR(F10="เทาซาฮาร่า",F10="สีดำซาฮาร่า"),IFERROR(VLOOKUP("F7864",ราคาสี!$A:$D,4,0),1995)+rate_grey*น้ำหนักโปรไฟล์!$C$290,IF(F10="แอทแทคเกรย์",IFERROR(VLOOKUP("F7864",ราคาสี!$A:$D,4,0),1995)+rate_grey*น้ำหนักโปรไฟล์!$C$290,IF(F10="ลายไม้สักทอง",3170,IF(F10="ลายไม้มะฮอกกานี",3170,IF(F10="ลายไม้ไวท์โอ๊ค",3170,IFERROR(VLOOKUP("F7864",ราคาสี!$A:$D,4,0),1995)+IF(F10="สีอบพิเศษ",rate_special,rate_woodbake)*น้ำหนักโปรไฟล์!$C$290))))))</f>
        <v>2165</v>
      </c>
      <c r="D16" s="29">
        <f t="shared" si="0"/>
        <v>3078.359375</v>
      </c>
    </row>
    <row r="17" spans="1:5" ht="15" customHeight="1">
      <c r="A17" s="28" t="s">
        <v>1260</v>
      </c>
      <c r="B17" s="34">
        <f>((2*B5*B4+2*B3)/640)*buf_scrap</f>
        <v>1.421875</v>
      </c>
      <c r="C17" s="35">
        <f>IF(F10="สีอบขาว/ดำ",IFERROR(VLOOKUP("F7935",ราคาสี!$A:$D,4,0),360),IF(OR(F10="เทาซาฮาร่า",F10="สีดำซาฮาร่า"),IFERROR(VLOOKUP("F7935",ราคาสี!$A:$D,4,0),360)+rate_grey*น้ำหนักโปรไฟล์!$C$291,IF(F10="แอทแทคเกรย์",IFERROR(VLOOKUP("F7935",ราคาสี!$A:$D,4,0),360)+rate_grey*น้ำหนักโปรไฟล์!$C$291,IF(F10="ลายไม้สักทอง",570,IF(F10="ลายไม้มะฮอกกานี",570,IF(F10="ลายไม้ไวท์โอ๊ค",570,IFERROR(VLOOKUP("F7935",ราคาสี!$A:$D,4,0),360)+IF(F10="สีอบพิเศษ",rate_special,rate_woodbake)*น้ำหนักโปรไฟล์!$C$291))))))</f>
        <v>380</v>
      </c>
      <c r="D17" s="29">
        <f t="shared" si="0"/>
        <v>540.3125</v>
      </c>
    </row>
    <row r="18" spans="1:5" ht="15" customHeight="1">
      <c r="A18" s="28" t="s">
        <v>1261</v>
      </c>
      <c r="B18" s="34">
        <f>IF(B5&gt;1,1,0)</f>
        <v>0</v>
      </c>
      <c r="C18" s="35">
        <f>IF(F10="สีอบขาว/ดำ",IFERROR(VLOOKUP("F7945C",ราคาสี!$A:$D,4,0),775),IF(OR(F10="เทาซาฮาร่า",F10="สีดำซาฮาร่า"),IFERROR(VLOOKUP("F7945C",ราคาสี!$A:$D,4,0),775)+rate_grey*น้ำหนักโปรไฟล์!$C$292,IF(F10="แอทแทคเกรย์",IFERROR(VLOOKUP("F7945C",ราคาสี!$A:$D,4,0),775)+rate_grey*น้ำหนักโปรไฟล์!$C$292,IF(F10="ลายไม้สักทอง",1080,IF(F10="ลายไม้มะฮอกกานี",1080,IF(F10="ลายไม้ไวท์โอ๊ค",1080,IFERROR(VLOOKUP("F7945C",ราคาสี!$A:$D,4,0),775)+IF(F10="สีอบพิเศษ",rate_special,rate_woodbake)*น้ำหนักโปรไฟล์!$C$292))))))</f>
        <v>820</v>
      </c>
      <c r="D18" s="29">
        <f t="shared" si="0"/>
        <v>0</v>
      </c>
    </row>
    <row r="19" spans="1:5" ht="15" customHeight="1">
      <c r="A19" s="28" t="s">
        <v>2780</v>
      </c>
      <c r="B19" s="34">
        <f>IF($F$6="ไม่มี",0,((B3+2*B4)/600)*buf_scrap)</f>
        <v>0</v>
      </c>
      <c r="C19" s="35">
        <f>IF(F10="สีอบขาว/ดำ",ROUND(ราคาสี!$D$200*mult_mtong,0),IF(OR(F10="เทาซาฮาร่า",F10="สีดำซาฮาร่า"),ROUND(ราคาสี!$D$200*mult_mtong,0)+rate_grey*น้ำหนักโปรไฟล์!$C$293,IF(F10="แอทแทคเกรย์",ROUND(ราคาสี!$D$200*mult_mtong,0)+rate_grey*น้ำหนักโปรไฟล์!$C$293,IF(F10="ลายไม้สักทอง",ROUND(ราคาสี!$D$200*mult_mtong,0)+อัปเดตราคาอลู!$B$16*น้ำหนักโปรไฟล์!$C$293,IF(F10="ลายไม้มะฮอกกานี",ROUND(ราคาสี!$D$200*mult_mtong,0)+อัปเดตราคาอลู!$B$16*น้ำหนักโปรไฟล์!$C$293,IF(F10="ลายไม้ไวท์โอ๊ค",ROUND(ราคาสี!$D$200*mult_mtong,0)+อัปเดตราคาอลู!$B$16*น้ำหนักโปรไฟล์!$C$293,ROUND(ราคาสี!$D$200*mult_mtong,0)+IF(F10="สีอบพิเศษ",rate_special,rate_woodbake)*น้ำหนักโปรไฟล์!$C$293))))))</f>
        <v>1220</v>
      </c>
      <c r="D19" s="29">
        <f>B19*C19</f>
        <v>0</v>
      </c>
    </row>
    <row r="20" spans="1:5" ht="15" customHeight="1">
      <c r="A20" s="28" t="s">
        <v>2782</v>
      </c>
      <c r="B20" s="34">
        <f>IF(ISNUMBER(SEARCH("+",$F$6)),((B3+2*B4)/600)*buf_scrap,0)</f>
        <v>0</v>
      </c>
      <c r="C20" s="35">
        <f>IF(F10="สีอบขาว/ดำ",ราคาสี!$D$191,ราคาสี!$E$191)</f>
        <v>170</v>
      </c>
      <c r="D20" s="29">
        <f>B20*C20</f>
        <v>0</v>
      </c>
    </row>
    <row r="21" spans="1:5" ht="15" customHeight="1">
      <c r="A21" s="28" t="s">
        <v>1262</v>
      </c>
      <c r="B21" s="34">
        <f>IF(OR(B4&gt;300,B3/B5&gt;120),5,4)*B5</f>
        <v>5</v>
      </c>
      <c r="C21" s="35">
        <f>ชีทอุปกรณ์!$D$196</f>
        <v>117</v>
      </c>
      <c r="D21" s="29">
        <f t="shared" ref="D21:D28" si="1">B21*C21</f>
        <v>585</v>
      </c>
    </row>
    <row r="22" spans="1:5" ht="15" customHeight="1">
      <c r="A22" s="28" t="s">
        <v>1263</v>
      </c>
      <c r="B22" s="34">
        <f>1</f>
        <v>1</v>
      </c>
      <c r="C22" s="35">
        <f>ชีทอุปกรณ์!$D$197</f>
        <v>1045</v>
      </c>
      <c r="D22" s="29">
        <f t="shared" si="1"/>
        <v>1045</v>
      </c>
    </row>
    <row r="23" spans="1:5" ht="15" customHeight="1">
      <c r="A23" s="28" t="s">
        <v>1264</v>
      </c>
      <c r="B23" s="34">
        <f>MAX(B5-1,0)</f>
        <v>0</v>
      </c>
      <c r="C23" s="35">
        <f>ชีทอุปกรณ์!$D$198</f>
        <v>450</v>
      </c>
      <c r="D23" s="29">
        <f t="shared" si="1"/>
        <v>0</v>
      </c>
    </row>
    <row r="24" spans="1:5" ht="15" customHeight="1">
      <c r="A24" s="28" t="s">
        <v>1265</v>
      </c>
      <c r="B24" s="34">
        <f>IF(B6="มี",8,6)</f>
        <v>8</v>
      </c>
      <c r="C24" s="35">
        <v>1</v>
      </c>
      <c r="D24" s="29">
        <f t="shared" si="1"/>
        <v>8</v>
      </c>
    </row>
    <row r="25" spans="1:5" ht="15" customHeight="1">
      <c r="A25" s="28" t="s">
        <v>1266</v>
      </c>
      <c r="B25" s="34">
        <f>ROUND(2*(B3+B4)/100*B5,0)</f>
        <v>7</v>
      </c>
      <c r="C25" s="35">
        <v>11</v>
      </c>
      <c r="D25" s="29">
        <f t="shared" si="1"/>
        <v>77</v>
      </c>
    </row>
    <row r="26" spans="1:5" ht="15" customHeight="1">
      <c r="A26" s="28" t="s">
        <v>1128</v>
      </c>
      <c r="B26" s="34">
        <f>B7</f>
        <v>3</v>
      </c>
      <c r="C26" s="35">
        <f>INDEX(ราคากระจก!$B$3:$B$206,MATCH(B10,ราคากระจก!$A$3:$A$206,0))</f>
        <v>264</v>
      </c>
      <c r="D26" s="29">
        <f t="shared" si="1"/>
        <v>792</v>
      </c>
    </row>
    <row r="27" spans="1:5" ht="15" customHeight="1">
      <c r="A27" s="28" t="s">
        <v>1134</v>
      </c>
      <c r="B27" s="34">
        <f>ROUNDUP(2*(B3+B4)/100*2/12.5,0)</f>
        <v>2</v>
      </c>
      <c r="C27" s="35">
        <f>B9</f>
        <v>90</v>
      </c>
      <c r="D27" s="29">
        <f t="shared" si="1"/>
        <v>180</v>
      </c>
    </row>
    <row r="28" spans="1:5" ht="15" customHeight="1">
      <c r="A28" s="36" t="s">
        <v>1135</v>
      </c>
      <c r="B28" s="36">
        <f>IF(OR(F10="สีอบพิเศษ",F10="สีลายไม้อบพิเศษ"),1,0)</f>
        <v>0</v>
      </c>
      <c r="C28" s="32">
        <f>อัปเดตราคาอลู!$B$17</f>
        <v>2000</v>
      </c>
      <c r="D28" s="32">
        <f t="shared" si="1"/>
        <v>0</v>
      </c>
      <c r="E28" s="36" t="s">
        <v>1136</v>
      </c>
    </row>
    <row r="29" spans="1:5" ht="15" customHeight="1">
      <c r="A29" s="607" t="s">
        <v>1137</v>
      </c>
      <c r="D29" s="37">
        <f>SUM(D12:D28)+D48+D49+D50+D51</f>
        <v>8300.8671875</v>
      </c>
    </row>
    <row r="30" spans="1:5" ht="15" customHeight="1">
      <c r="A30" s="607" t="s">
        <v>1045</v>
      </c>
      <c r="D30" s="37">
        <f>IFERROR(D29/B7,0)</f>
        <v>2766.9557291666665</v>
      </c>
    </row>
    <row r="31" spans="1:5" ht="15" customHeight="1">
      <c r="A31" s="38" t="s">
        <v>1140</v>
      </c>
      <c r="D31" s="39">
        <f>ROUNDUP(D29*(1+B8/100)/100,0)*100</f>
        <v>13200</v>
      </c>
    </row>
    <row r="32" spans="1:5" ht="15" customHeight="1">
      <c r="A32" s="38" t="s">
        <v>1143</v>
      </c>
      <c r="D32" s="39">
        <f>D31</f>
        <v>13200</v>
      </c>
    </row>
    <row r="34" spans="1:8" ht="15" customHeight="1">
      <c r="A34" s="662"/>
      <c r="B34" s="650"/>
      <c r="C34" s="650"/>
      <c r="D34" s="662"/>
    </row>
    <row r="35" spans="1:8" ht="15" customHeight="1">
      <c r="A35" s="650"/>
      <c r="B35" s="650"/>
      <c r="C35" s="650"/>
      <c r="D35" s="662"/>
    </row>
    <row r="36" spans="1:8" ht="15" customHeight="1">
      <c r="A36" s="3"/>
      <c r="B36" s="4"/>
      <c r="C36" s="4"/>
      <c r="D36" s="5"/>
    </row>
    <row r="37" spans="1:8">
      <c r="A37" s="21" t="s">
        <v>1157</v>
      </c>
    </row>
    <row r="38" spans="1:8">
      <c r="A38" s="40" t="s">
        <v>1158</v>
      </c>
      <c r="D38" s="22">
        <f>MAX(0,VLOOKUP("บานเปิด (ยูโร)",ค่าแรง!$A$12:$N$117,2,0)+VLOOKUP("บานเปิด (ยูโร)",ค่าแรง!$A$12:$N$117,3,0)*B7)</f>
        <v>885.9375</v>
      </c>
    </row>
    <row r="39" spans="1:8">
      <c r="A39" s="40" t="s">
        <v>1159</v>
      </c>
      <c r="D39" s="22">
        <f>MAX(0,VLOOKUP("บานเปิด (ยูโร)",ค่าแรง!$A$12:$N$117,4,0)+VLOOKUP("บานเปิด (ยูโร)",ค่าแรง!$A$12:$N$117,5,0)*B7)</f>
        <v>1356.25</v>
      </c>
    </row>
    <row r="41" spans="1:8">
      <c r="A41" s="21" t="s">
        <v>1160</v>
      </c>
      <c r="D41" s="24">
        <f>ROUNDUP((ROUNDUP((ROUNDUP(D29*(1+B8/100)/100,0)*100+ROUNDUP((D38+D52)*(1+B70/100)/100,0)*100)*(1+$B$72/100)/100,0)*100)*1/100,0)*100</f>
        <v>19200</v>
      </c>
    </row>
    <row r="42" spans="1:8">
      <c r="A42" s="21" t="s">
        <v>1161</v>
      </c>
      <c r="D42" s="24">
        <f>D41+ROUNDUP((ROUNDUP((ROUNDUP((D39+D53)*(1+B71/100)/100,0)*100)*(1+$B$72/100)/100,0)*100)*1/100,0)*100</f>
        <v>22800</v>
      </c>
    </row>
    <row r="45" spans="1:8">
      <c r="A45" s="172" t="s">
        <v>1145</v>
      </c>
    </row>
    <row r="46" spans="1:8">
      <c r="A46" s="21" t="s">
        <v>1147</v>
      </c>
      <c r="B46" s="610" t="s">
        <v>674</v>
      </c>
      <c r="C46" t="str">
        <f>IF(B46="ไม่มีมุ้ง","—",IF(H47=1,"✓ ใช้ได้","⚠ ใช้กับบานนี้ไม่ได้(ทุน=0)"))</f>
        <v>—</v>
      </c>
      <c r="D46" t="str">
        <f>IF(B46="ไม่มีมุ้ง","",H52&amp;" บาน")</f>
        <v/>
      </c>
      <c r="H46" s="161" t="str">
        <f>IFERROR(VLOOKUP(B46,ราคามุ้ง!$A$2:$K$15,3,0),"")</f>
        <v/>
      </c>
    </row>
    <row r="47" spans="1:8">
      <c r="A47" s="26" t="s">
        <v>1148</v>
      </c>
      <c r="B47" s="610" t="s">
        <v>682</v>
      </c>
      <c r="C47" s="610" t="s">
        <v>1149</v>
      </c>
      <c r="H47" s="161">
        <f>IF(B46="ไม่มีมุ้ง",0,IF(OR(IFERROR(VLOOKUP(B46,ราคามุ้ง!$A$2:$K$15,4,0),"ALL")="ALL",ISNUMBER(SEARCH("เปิด",IFERROR(VLOOKUP(B46,ราคามุ้ง!$A$2:$K$15,4,0),"")))),1,0))</f>
        <v>0</v>
      </c>
    </row>
    <row r="48" spans="1:8">
      <c r="A48" s="26" t="s">
        <v>1150</v>
      </c>
      <c r="B48" s="223">
        <f>IF(AND(H47=1,H48=1),ROUND(H52*2*H51/6,2),0)</f>
        <v>0</v>
      </c>
      <c r="C48" s="220">
        <f>IF(B46="มุ้งเฟรมเล็ก",ราคามุ้ง!$B$19,IF(B46="มุ้งเฟรมใหญ่",ROUND(C16*mult_euro,0),IF(B46="มุ้งนิรภัย",ราคามุ้ง!$B$21,0)))</f>
        <v>0</v>
      </c>
      <c r="D48" s="94">
        <f>ROUND(B48*C48,0)</f>
        <v>0</v>
      </c>
      <c r="H48" s="161">
        <f>IF(OR(B46="มุ้งเฟรมเล็ก",B46="มุ้งเฟรมใหญ่",B46="มุ้งนิรภัย"),1,0)</f>
        <v>0</v>
      </c>
    </row>
    <row r="49" spans="1:11">
      <c r="A49" s="26" t="s">
        <v>1151</v>
      </c>
      <c r="B49" s="223">
        <f>IF(AND(H47=1,H48=1),ROUND(H52*2*H50/6,2),0)</f>
        <v>0</v>
      </c>
      <c r="C49" s="220">
        <f>IF(B46="มุ้งเฟรมเล็ก",ราคามุ้ง!$B$19,IF(B46="มุ้งเฟรมใหญ่",ROUND(C16*mult_euro,0),IF(B46="มุ้งนิรภัย",ราคามุ้ง!$B$21,0)))</f>
        <v>0</v>
      </c>
      <c r="D49" s="94">
        <f>ROUND(B49*C49,0)</f>
        <v>0</v>
      </c>
      <c r="H49" s="161">
        <f>IFERROR(VLOOKUP(B47,ราคามุ้ง!$I$2:$J$5,2,0),0)</f>
        <v>23</v>
      </c>
    </row>
    <row r="50" spans="1:11">
      <c r="A50" s="26" t="s">
        <v>1152</v>
      </c>
      <c r="B50" s="223">
        <f>IF(AND(H47=1,H48=1),ROUND(H52*2*(H50+H51),2),0)</f>
        <v>0</v>
      </c>
      <c r="C50" s="220">
        <f>ราคามุ้ง!$D$19</f>
        <v>5</v>
      </c>
      <c r="D50" s="94">
        <f>ROUND(B50*C50,0)</f>
        <v>0</v>
      </c>
      <c r="H50" s="161">
        <f>B3/(B5*100)</f>
        <v>1.5</v>
      </c>
    </row>
    <row r="51" spans="1:11">
      <c r="A51" s="26" t="s">
        <v>1153</v>
      </c>
      <c r="B51" s="223">
        <f>IF(H47=0,0,ROUND(H52*H50*H51,2))</f>
        <v>0</v>
      </c>
      <c r="C51" s="220">
        <f>IF(B46="มุ้งนิรภัย",650,IF(OR(B46="มุ้งเฟรมเล็ก",B46="มุ้งเฟรมใหญ่"),H49,IF(H46="ซื้อสำเร็จ",IFERROR(VLOOKUP(B46,ราคามุ้ง!$A$2:$K$15,2,0),0),0)))</f>
        <v>0</v>
      </c>
      <c r="D51" s="94">
        <f>ROUND(B51*C51,0)</f>
        <v>0</v>
      </c>
      <c r="H51" s="161">
        <f>B4/100</f>
        <v>2</v>
      </c>
    </row>
    <row r="52" spans="1:11">
      <c r="A52" s="26" t="s">
        <v>1154</v>
      </c>
      <c r="D52" s="94">
        <f>IF(H47=0,0,ROUND(H52*(VLOOKUP(B46,ค่าแรง!$A$12:$N$103,2,0)+VLOOKUP(B46,ค่าแรง!$A$12:$N$103,3,0)*H50*H51),0))</f>
        <v>0</v>
      </c>
      <c r="H52" s="161">
        <f>B5</f>
        <v>1</v>
      </c>
    </row>
    <row r="53" spans="1:11">
      <c r="A53" s="26" t="s">
        <v>1155</v>
      </c>
      <c r="D53" s="94">
        <f>IF(H47=0,0,ROUND(H52*(VLOOKUP(B46,ค่าแรง!$A$12:$N$103,4,0)+VLOOKUP(B46,ค่าแรง!$A$12:$N$103,5,0)*H50*H51),0))</f>
        <v>0</v>
      </c>
    </row>
    <row r="54" spans="1:11">
      <c r="A54" s="253" t="s">
        <v>1194</v>
      </c>
      <c r="D54" s="254">
        <f>SUM(D48:D53)</f>
        <v>0</v>
      </c>
    </row>
    <row r="55" spans="1:1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89"/>
      <c r="B56" s="117"/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1">
      <c r="A57" s="290"/>
      <c r="B57" s="291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1">
      <c r="A58" s="290"/>
      <c r="B58" s="291"/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11">
      <c r="A59" s="290"/>
      <c r="B59" s="291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90"/>
      <c r="B60" s="292"/>
      <c r="C60" s="117"/>
      <c r="D60" s="117"/>
      <c r="E60" s="117"/>
      <c r="F60" s="117"/>
      <c r="G60" s="117"/>
      <c r="H60" s="117"/>
      <c r="I60" s="117"/>
      <c r="J60" s="117"/>
      <c r="K60" s="117"/>
    </row>
    <row r="61" spans="1:1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</row>
    <row r="62" spans="1:11">
      <c r="A62" s="283" t="s">
        <v>1138</v>
      </c>
    </row>
    <row r="63" spans="1:11">
      <c r="A63" s="284" t="s">
        <v>1139</v>
      </c>
      <c r="B63" s="392">
        <f>D12+D13+D14+D15+D16+D17+D18+D22+D23+D24+D27+D19+D20</f>
        <v>6846.8671875</v>
      </c>
    </row>
    <row r="64" spans="1:11">
      <c r="A64" s="286" t="s">
        <v>1141</v>
      </c>
      <c r="B64" s="287">
        <f>D26</f>
        <v>792</v>
      </c>
    </row>
    <row r="65" spans="1:6">
      <c r="A65" s="286" t="s">
        <v>1142</v>
      </c>
      <c r="B65" s="287">
        <f>D21+D25+D28</f>
        <v>662</v>
      </c>
    </row>
    <row r="66" spans="1:6">
      <c r="A66" s="286" t="s">
        <v>1144</v>
      </c>
      <c r="B66" s="496">
        <f>SUM(B63:B65)</f>
        <v>8300.8671875</v>
      </c>
    </row>
    <row r="68" spans="1:6">
      <c r="A68" s="286" t="s">
        <v>3148</v>
      </c>
    </row>
    <row r="69" spans="1:6">
      <c r="A69" s="286" t="s">
        <v>1179</v>
      </c>
      <c r="B69" s="543">
        <f>ROUND(($B$76*$B$77-1)*100,0)</f>
        <v>59</v>
      </c>
      <c r="C69" s="286" t="s">
        <v>3149</v>
      </c>
    </row>
    <row r="70" spans="1:6">
      <c r="A70" s="286" t="s">
        <v>1180</v>
      </c>
      <c r="B70" s="543">
        <f>ROUND(($C$76*$B$77-1)*100,0)</f>
        <v>59</v>
      </c>
      <c r="C70" s="286" t="s">
        <v>3149</v>
      </c>
    </row>
    <row r="71" spans="1:6">
      <c r="A71" s="286" t="s">
        <v>1181</v>
      </c>
      <c r="B71" s="543">
        <f>ROUND(($D$76*$B$77-1)*100,0)</f>
        <v>99</v>
      </c>
      <c r="C71" s="286" t="s">
        <v>3149</v>
      </c>
    </row>
    <row r="72" spans="1:6">
      <c r="A72" s="286" t="s">
        <v>3122</v>
      </c>
      <c r="B72" s="539">
        <v>30</v>
      </c>
      <c r="C72" s="286" t="s">
        <v>3150</v>
      </c>
    </row>
    <row r="74" spans="1:6">
      <c r="A74" s="533" t="s">
        <v>3151</v>
      </c>
      <c r="B74" s="535"/>
      <c r="C74" s="533"/>
    </row>
    <row r="75" spans="1:6">
      <c r="A75" t="s">
        <v>3144</v>
      </c>
      <c r="B75" s="541">
        <v>30</v>
      </c>
      <c r="C75" t="s">
        <v>3152</v>
      </c>
    </row>
    <row r="76" spans="1:6">
      <c r="A76" t="s">
        <v>3153</v>
      </c>
      <c r="B76" s="542">
        <v>1.7230000000000001</v>
      </c>
      <c r="C76" s="542">
        <v>1.7230000000000001</v>
      </c>
      <c r="D76" s="542">
        <v>2.1539999999999999</v>
      </c>
      <c r="E76" s="542" t="s">
        <v>3154</v>
      </c>
      <c r="F76" s="542"/>
    </row>
    <row r="77" spans="1:6">
      <c r="A77" t="s">
        <v>3155</v>
      </c>
      <c r="B77" s="542">
        <f>IFERROR((((D29)+(D38+D52)+(D39+D53))/(100/(100+B72)-B75/100))/(((D29)*$B$76+(D38+D52)*$C$76+(D39+D53)*$D$76)*(1+B72/100)),1)</f>
        <v>0.92178597254426575</v>
      </c>
      <c r="C77" t="s">
        <v>3156</v>
      </c>
    </row>
    <row r="79" spans="1:6">
      <c r="A79" s="533" t="s">
        <v>3126</v>
      </c>
      <c r="B79" s="535"/>
      <c r="C79" s="533"/>
    </row>
    <row r="80" spans="1:6">
      <c r="A80" s="533" t="s">
        <v>3127</v>
      </c>
      <c r="B80" s="534">
        <f>IFERROR(ROUND(D42-D42/(1+B72/100),0),0)</f>
        <v>5262</v>
      </c>
      <c r="C80" s="533" t="s">
        <v>3128</v>
      </c>
    </row>
    <row r="81" spans="1:3">
      <c r="A81" s="533" t="s">
        <v>3129</v>
      </c>
      <c r="B81" s="534">
        <f>D29+D38+D52+D39+D53+B80</f>
        <v>15805.0546875</v>
      </c>
      <c r="C81" s="533" t="s">
        <v>3130</v>
      </c>
    </row>
    <row r="82" spans="1:3">
      <c r="A82" s="536" t="s">
        <v>3131</v>
      </c>
      <c r="B82" s="537">
        <f>IFERROR((D42-B81)/D42,"")</f>
        <v>0.30679584703947366</v>
      </c>
      <c r="C82" s="536" t="s">
        <v>3157</v>
      </c>
    </row>
  </sheetData>
  <sheetProtection sheet="1" objects="1" scenarios="1"/>
  <mergeCells count="2">
    <mergeCell ref="A1:D1"/>
    <mergeCell ref="A34:D35"/>
  </mergeCells>
  <dataValidations count="7">
    <dataValidation type="list" sqref="B6" xr:uid="{00000000-0002-0000-1200-000000000000}">
      <formula1>"มี,ไม่มี"</formula1>
      <formula2>0</formula2>
    </dataValidation>
    <dataValidation type="list" sqref="B10" xr:uid="{00000000-0002-0000-1200-000001000000}">
      <formula1>GlassNames</formula1>
      <formula2>0</formula2>
    </dataValidation>
    <dataValidation type="list" sqref="F10" xr:uid="{00000000-0002-0000-12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46" xr:uid="{00000000-0002-0000-1200-000003000000}">
      <formula1>MungList</formula1>
    </dataValidation>
    <dataValidation type="list" allowBlank="1" sqref="B47" xr:uid="{00000000-0002-0000-1200-000004000000}">
      <formula1>ClothList</formula1>
    </dataValidation>
    <dataValidation type="list" allowBlank="1" sqref="C47" xr:uid="{00000000-0002-0000-1200-000005000000}">
      <formula1>"เทา,ดำ"</formula1>
    </dataValidation>
    <dataValidation type="list" allowBlank="1" showInputMessage="1" showErrorMessage="1" sqref="F6" xr:uid="{2BDADAD1-F013-4244-85D5-C8E53FCBADFC}">
      <formula1>"ไม่มี,มี,มี+บังใบ"</formula1>
    </dataValidation>
  </dataValidations>
  <hyperlinks>
    <hyperlink ref="G1" location="'สารบัญ'!A1" display="🏠 สารบัญ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K80"/>
  <sheetViews>
    <sheetView workbookViewId="0">
      <selection sqref="A1:D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660" t="s">
        <v>1267</v>
      </c>
      <c r="B1" s="650"/>
      <c r="C1" s="650"/>
      <c r="D1" s="650"/>
      <c r="E1" s="243"/>
      <c r="G1" s="293" t="s">
        <v>68</v>
      </c>
      <c r="H1" s="294"/>
    </row>
    <row r="3" spans="1:8" ht="15" customHeight="1">
      <c r="A3" s="27" t="s">
        <v>1105</v>
      </c>
      <c r="B3" s="538">
        <v>150</v>
      </c>
    </row>
    <row r="4" spans="1:8" ht="15" customHeight="1">
      <c r="A4" s="27" t="s">
        <v>1107</v>
      </c>
      <c r="B4" s="538">
        <v>200</v>
      </c>
    </row>
    <row r="5" spans="1:8" ht="15" customHeight="1">
      <c r="A5" s="27" t="s">
        <v>1109</v>
      </c>
      <c r="B5" s="538">
        <v>1</v>
      </c>
    </row>
    <row r="6" spans="1:8" ht="15" customHeight="1">
      <c r="A6" s="27" t="s">
        <v>1253</v>
      </c>
      <c r="B6" s="539" t="s">
        <v>1254</v>
      </c>
      <c r="C6" s="390" t="str">
        <f>IF(B6="","⚠ ยังไม่เลือกธรณี — ราคาจะขาด","")</f>
        <v/>
      </c>
    </row>
    <row r="7" spans="1:8" ht="15" customHeight="1">
      <c r="A7" s="30" t="s">
        <v>1114</v>
      </c>
      <c r="B7" s="31">
        <f>(B3/100)*(B4/100)</f>
        <v>3</v>
      </c>
    </row>
    <row r="8" spans="1:8" ht="15" customHeight="1">
      <c r="A8" s="27" t="s">
        <v>1116</v>
      </c>
      <c r="B8" s="383">
        <f>$B$67</f>
        <v>76</v>
      </c>
      <c r="C8" s="588" t="s">
        <v>2702</v>
      </c>
    </row>
    <row r="9" spans="1:8" ht="15" customHeight="1">
      <c r="A9" s="27" t="s">
        <v>1119</v>
      </c>
      <c r="B9" s="538">
        <v>90</v>
      </c>
    </row>
    <row r="10" spans="1:8" ht="15" customHeight="1">
      <c r="A10" s="26" t="s">
        <v>1120</v>
      </c>
      <c r="B10" s="540" t="s">
        <v>733</v>
      </c>
      <c r="C10" s="32">
        <f>INDEX(ราคากระจก!$B$3:$B$206,MATCH(B10,ราคากระจก!$A$3:$A$206,0))</f>
        <v>264</v>
      </c>
      <c r="D10" s="26" t="s">
        <v>1121</v>
      </c>
      <c r="E10" s="26" t="s">
        <v>1122</v>
      </c>
      <c r="F10" s="584" t="s">
        <v>1123</v>
      </c>
      <c r="G10" s="26"/>
    </row>
    <row r="11" spans="1:8" ht="15" customHeight="1">
      <c r="A11" s="33" t="s">
        <v>470</v>
      </c>
      <c r="B11" s="539" t="s">
        <v>1124</v>
      </c>
      <c r="C11" s="539" t="s">
        <v>1125</v>
      </c>
      <c r="D11" s="33" t="s">
        <v>1126</v>
      </c>
    </row>
    <row r="12" spans="1:8" ht="15" customHeight="1">
      <c r="A12" s="28" t="s">
        <v>1255</v>
      </c>
      <c r="B12" s="34">
        <f>ROUNDUP((B3+2*B4)/640,0)</f>
        <v>1</v>
      </c>
      <c r="C12" s="3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น้ำหนักโปรไฟล์!$C$286))))))</f>
        <v>1205</v>
      </c>
      <c r="D12" s="29">
        <f t="shared" ref="D12:D18" si="0">B12*C12*mult_euro</f>
        <v>1205</v>
      </c>
    </row>
    <row r="13" spans="1:8" ht="15" customHeight="1">
      <c r="A13" s="28" t="s">
        <v>1256</v>
      </c>
      <c r="B13" s="34">
        <f>IF(B6="มี",ROUNDUP(B3/640,0),0)</f>
        <v>1</v>
      </c>
      <c r="C13" s="3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น้ำหนักโปรไฟล์!$C$287))))))</f>
        <v>1520</v>
      </c>
      <c r="D13" s="29">
        <f t="shared" si="0"/>
        <v>1520</v>
      </c>
    </row>
    <row r="14" spans="1:8" ht="15" customHeight="1">
      <c r="A14" s="28" t="s">
        <v>1257</v>
      </c>
      <c r="B14" s="34">
        <f>IF(B6="มี",ROUNDUP(B3/640,0),0)</f>
        <v>1</v>
      </c>
      <c r="C14" s="3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น้ำหนักโปรไฟล์!$C$288))))))</f>
        <v>610</v>
      </c>
      <c r="D14" s="29">
        <f t="shared" si="0"/>
        <v>610</v>
      </c>
    </row>
    <row r="15" spans="1:8" ht="15" customHeight="1">
      <c r="A15" s="28" t="s">
        <v>1258</v>
      </c>
      <c r="B15" s="34">
        <f>IF(B6="ไม่มี",ROUNDUP(B3/640,0),0)</f>
        <v>0</v>
      </c>
      <c r="C15" s="35">
        <f>IF(F10="สีอบขาว/ดำ",IFERROR(VLOOKUP("F7863",ราคาสี!$A:$D,4,0),435),IF(OR(F10="เทาซาฮาร่า",F10="สีดำซาฮาร่า"),IFERROR(VLOOKUP("F7863",ราคาสี!$A:$D,4,0),435)+rate_grey*น้ำหนักโปรไฟล์!$C$289,IF(F10="แอทแทคเกรย์",IFERROR(VLOOKUP("F7863",ราคาสี!$A:$D,4,0),435)+rate_grey*น้ำหนักโปรไฟล์!$C$289,IF(F10="ลายไม้สักทอง",645,IF(F10="ลายไม้มะฮอกกานี",645,IF(F10="ลายไม้ไวท์โอ๊ค",645,IFERROR(VLOOKUP("F7863",ราคาสี!$A:$D,4,0),435)+IF(F10="สีอบพิเศษ",rate_special,rate_woodbake)*น้ำหนักโปรไฟล์!$C$289))))))</f>
        <v>435</v>
      </c>
      <c r="D15" s="29">
        <f t="shared" si="0"/>
        <v>0</v>
      </c>
    </row>
    <row r="16" spans="1:8" ht="15" customHeight="1">
      <c r="A16" s="28" t="s">
        <v>1259</v>
      </c>
      <c r="B16" s="34">
        <f>ROUNDUP((2*B5*B4+2*B3)/640,0)</f>
        <v>2</v>
      </c>
      <c r="C16" s="35">
        <f>IF(F10="สีอบขาว/ดำ",IFERROR(VLOOKUP("F7864",ราคาสี!$A:$D,4,0),1995),IF(OR(F10="เทาซาฮาร่า",F10="สีดำซาฮาร่า"),IFERROR(VLOOKUP("F7864",ราคาสี!$A:$D,4,0),1995)+rate_grey*น้ำหนักโปรไฟล์!$C$290,IF(F10="แอทแทคเกรย์",IFERROR(VLOOKUP("F7864",ราคาสี!$A:$D,4,0),1995)+rate_grey*น้ำหนักโปรไฟล์!$C$290,IF(F10="ลายไม้สักทอง",3170,IF(F10="ลายไม้มะฮอกกานี",3170,IF(F10="ลายไม้ไวท์โอ๊ค",3170,IFERROR(VLOOKUP("F7864",ราคาสี!$A:$D,4,0),1995)+IF(F10="สีอบพิเศษ",rate_special,rate_woodbake)*น้ำหนักโปรไฟล์!$C$290))))))</f>
        <v>2165</v>
      </c>
      <c r="D16" s="29">
        <f t="shared" si="0"/>
        <v>4330</v>
      </c>
    </row>
    <row r="17" spans="1:5" ht="15" customHeight="1">
      <c r="A17" s="28" t="s">
        <v>1260</v>
      </c>
      <c r="B17" s="34">
        <f>ROUNDUP((2*B5*B4+2*B3)/640,0)</f>
        <v>2</v>
      </c>
      <c r="C17" s="35">
        <f>IF(F10="สีอบขาว/ดำ",IFERROR(VLOOKUP("F7935",ราคาสี!$A:$D,4,0),360),IF(OR(F10="เทาซาฮาร่า",F10="สีดำซาฮาร่า"),IFERROR(VLOOKUP("F7935",ราคาสี!$A:$D,4,0),360)+rate_grey*น้ำหนักโปรไฟล์!$C$291,IF(F10="แอทแทคเกรย์",IFERROR(VLOOKUP("F7935",ราคาสี!$A:$D,4,0),360)+rate_grey*น้ำหนักโปรไฟล์!$C$291,IF(F10="ลายไม้สักทอง",570,IF(F10="ลายไม้มะฮอกกานี",570,IF(F10="ลายไม้ไวท์โอ๊ค",570,IFERROR(VLOOKUP("F7935",ราคาสี!$A:$D,4,0),360)+IF(F10="สีอบพิเศษ",rate_special,rate_woodbake)*น้ำหนักโปรไฟล์!$C$291))))))</f>
        <v>380</v>
      </c>
      <c r="D17" s="29">
        <f t="shared" si="0"/>
        <v>760</v>
      </c>
    </row>
    <row r="18" spans="1:5" ht="15" customHeight="1">
      <c r="A18" s="28" t="s">
        <v>1261</v>
      </c>
      <c r="B18" s="34">
        <f>IF(B5&gt;1,1,0)</f>
        <v>0</v>
      </c>
      <c r="C18" s="35">
        <f>IF(F10="สีอบขาว/ดำ",IFERROR(VLOOKUP("F7945C",ราคาสี!$A:$D,4,0),775),IF(OR(F10="เทาซาฮาร่า",F10="สีดำซาฮาร่า"),IFERROR(VLOOKUP("F7945C",ราคาสี!$A:$D,4,0),775)+rate_grey*น้ำหนักโปรไฟล์!$C$292,IF(F10="แอทแทคเกรย์",IFERROR(VLOOKUP("F7945C",ราคาสี!$A:$D,4,0),775)+rate_grey*น้ำหนักโปรไฟล์!$C$292,IF(F10="ลายไม้สักทอง",1080,IF(F10="ลายไม้มะฮอกกานี",1080,IF(F10="ลายไม้ไวท์โอ๊ค",1080,IFERROR(VLOOKUP("F7945C",ราคาสี!$A:$D,4,0),775)+IF(F10="สีอบพิเศษ",rate_special,rate_woodbake)*น้ำหนักโปรไฟล์!$C$292))))))</f>
        <v>820</v>
      </c>
      <c r="D18" s="29">
        <f t="shared" si="0"/>
        <v>0</v>
      </c>
    </row>
    <row r="19" spans="1:5" ht="15" customHeight="1">
      <c r="A19" s="28" t="s">
        <v>1268</v>
      </c>
      <c r="B19" s="34">
        <f>2*B5</f>
        <v>2</v>
      </c>
      <c r="C19" s="35">
        <f>ชีทอุปกรณ์!$D$199</f>
        <v>450</v>
      </c>
      <c r="D19" s="29">
        <f t="shared" ref="D19:D26" si="1">B19*C19</f>
        <v>900</v>
      </c>
    </row>
    <row r="20" spans="1:5" ht="15" customHeight="1">
      <c r="A20" s="28" t="s">
        <v>1263</v>
      </c>
      <c r="B20" s="34">
        <f>1</f>
        <v>1</v>
      </c>
      <c r="C20" s="35">
        <f>ชีทอุปกรณ์!$D$197</f>
        <v>1045</v>
      </c>
      <c r="D20" s="29">
        <f t="shared" si="1"/>
        <v>1045</v>
      </c>
    </row>
    <row r="21" spans="1:5" ht="15" customHeight="1">
      <c r="A21" s="28" t="s">
        <v>1264</v>
      </c>
      <c r="B21" s="34">
        <f>MAX(B5-1,0)</f>
        <v>0</v>
      </c>
      <c r="C21" s="35">
        <f>ชีทอุปกรณ์!$D$198</f>
        <v>450</v>
      </c>
      <c r="D21" s="29">
        <f t="shared" si="1"/>
        <v>0</v>
      </c>
    </row>
    <row r="22" spans="1:5" ht="15" customHeight="1">
      <c r="A22" s="28" t="s">
        <v>1265</v>
      </c>
      <c r="B22" s="34">
        <f>IF(B6="มี",8,6)</f>
        <v>8</v>
      </c>
      <c r="C22" s="35">
        <v>1</v>
      </c>
      <c r="D22" s="29">
        <f t="shared" si="1"/>
        <v>8</v>
      </c>
    </row>
    <row r="23" spans="1:5" ht="15" customHeight="1">
      <c r="A23" s="28" t="s">
        <v>1266</v>
      </c>
      <c r="B23" s="34">
        <f>ROUND(2*(B3+B4)/100*B5,0)</f>
        <v>7</v>
      </c>
      <c r="C23" s="35">
        <v>11</v>
      </c>
      <c r="D23" s="29">
        <f t="shared" si="1"/>
        <v>77</v>
      </c>
    </row>
    <row r="24" spans="1:5" ht="15" customHeight="1">
      <c r="A24" s="28" t="s">
        <v>1128</v>
      </c>
      <c r="B24" s="34">
        <f>B7</f>
        <v>3</v>
      </c>
      <c r="C24" s="35">
        <f>INDEX(ราคากระจก!$B$3:$B$206,MATCH(B10,ราคากระจก!$A$3:$A$206,0))</f>
        <v>264</v>
      </c>
      <c r="D24" s="29">
        <f t="shared" si="1"/>
        <v>792</v>
      </c>
    </row>
    <row r="25" spans="1:5" ht="15" customHeight="1">
      <c r="A25" s="28" t="s">
        <v>1134</v>
      </c>
      <c r="B25" s="34">
        <f>ROUNDUP(2*(B3+B4)/100*2/12.5,0)</f>
        <v>2</v>
      </c>
      <c r="C25" s="35">
        <f>B9</f>
        <v>90</v>
      </c>
      <c r="D25" s="29">
        <f t="shared" si="1"/>
        <v>180</v>
      </c>
    </row>
    <row r="26" spans="1:5" ht="15" customHeight="1">
      <c r="A26" s="36" t="s">
        <v>1135</v>
      </c>
      <c r="B26" s="36">
        <f>IF(OR(F10="สีอบพิเศษ",F10="สีลายไม้อบพิเศษ"),1,0)</f>
        <v>0</v>
      </c>
      <c r="C26" s="32">
        <f>อัปเดตราคาอลู!$B$17</f>
        <v>2000</v>
      </c>
      <c r="D26" s="32">
        <f t="shared" si="1"/>
        <v>0</v>
      </c>
      <c r="E26" s="36" t="s">
        <v>1136</v>
      </c>
    </row>
    <row r="27" spans="1:5" ht="15" customHeight="1">
      <c r="A27" s="607" t="s">
        <v>1137</v>
      </c>
      <c r="D27" s="37">
        <f>SUM(D12:D26)+D46+D47+D48+D49</f>
        <v>11427</v>
      </c>
    </row>
    <row r="28" spans="1:5" ht="15" customHeight="1">
      <c r="A28" s="607" t="s">
        <v>1045</v>
      </c>
      <c r="D28" s="37">
        <f>IFERROR(D27/B7,0)</f>
        <v>3809</v>
      </c>
    </row>
    <row r="29" spans="1:5" ht="15" customHeight="1">
      <c r="A29" s="38" t="s">
        <v>1140</v>
      </c>
      <c r="D29" s="39">
        <f>ROUNDUP(D27*(1+B8/100)/100,0)*100</f>
        <v>20200</v>
      </c>
    </row>
    <row r="30" spans="1:5" ht="15" customHeight="1">
      <c r="A30" s="38" t="s">
        <v>1143</v>
      </c>
      <c r="D30" s="39">
        <f>D29</f>
        <v>20200</v>
      </c>
    </row>
    <row r="32" spans="1:5" ht="15" customHeight="1">
      <c r="A32" s="662"/>
      <c r="B32" s="650"/>
      <c r="C32" s="650"/>
      <c r="D32" s="662"/>
    </row>
    <row r="33" spans="1:8" ht="15" customHeight="1">
      <c r="A33" s="650"/>
      <c r="B33" s="650"/>
      <c r="C33" s="650"/>
      <c r="D33" s="662"/>
    </row>
    <row r="34" spans="1:8" ht="15" customHeight="1">
      <c r="A34" s="3"/>
      <c r="B34" s="4"/>
      <c r="C34" s="4"/>
      <c r="D34" s="5"/>
    </row>
    <row r="35" spans="1:8">
      <c r="A35" s="21" t="s">
        <v>1157</v>
      </c>
    </row>
    <row r="36" spans="1:8">
      <c r="A36" s="40" t="s">
        <v>1158</v>
      </c>
      <c r="D36" s="22">
        <f>MAX(0,VLOOKUP("บานหมุน",ค่าแรง!$A$12:$N$117,2,0)+VLOOKUP("บานหมุน",ค่าแรง!$A$12:$N$117,3,0)*B7)</f>
        <v>1156.3125</v>
      </c>
    </row>
    <row r="37" spans="1:8">
      <c r="A37" s="40" t="s">
        <v>1159</v>
      </c>
      <c r="D37" s="22">
        <f>MAX(0,VLOOKUP("บานหมุน",ค่าแรง!$A$12:$N$117,4,0)+VLOOKUP("บานหมุน",ค่าแรง!$A$12:$N$117,5,0)*B7)</f>
        <v>2698.0625</v>
      </c>
    </row>
    <row r="39" spans="1:8">
      <c r="A39" s="21" t="s">
        <v>1160</v>
      </c>
      <c r="D39" s="24">
        <f>ROUNDUP((ROUNDUP((ROUNDUP(D27*(1+B8/100)/100,0)*100+ROUNDUP((D36+D50)*(1+B68/100)/100,0)*100)*(1+$B$70/100)/100,0)*100)*1/100,0)*100</f>
        <v>29000</v>
      </c>
    </row>
    <row r="40" spans="1:8">
      <c r="A40" s="21" t="s">
        <v>1161</v>
      </c>
      <c r="D40" s="24">
        <f>D39+ROUNDUP((ROUNDUP((ROUNDUP((D37+D51)*(1+B69/100)/100,0)*100)*(1+$B$70/100)/100,0)*100)*1/100,0)*100</f>
        <v>36800</v>
      </c>
    </row>
    <row r="43" spans="1:8">
      <c r="A43" s="172" t="s">
        <v>1145</v>
      </c>
    </row>
    <row r="44" spans="1:8">
      <c r="A44" s="21" t="s">
        <v>1147</v>
      </c>
      <c r="B44" s="610" t="s">
        <v>674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161" t="str">
        <f>IFERROR(VLOOKUP(B44,ราคามุ้ง!$A$2:$K$15,3,0),"")</f>
        <v/>
      </c>
    </row>
    <row r="45" spans="1:8">
      <c r="A45" s="26" t="s">
        <v>1148</v>
      </c>
      <c r="B45" s="610" t="s">
        <v>682</v>
      </c>
      <c r="C45" s="610" t="s">
        <v>1149</v>
      </c>
      <c r="H45" s="161">
        <f>IF(B44="ไม่มีมุ้ง",0,IF(OR(IFERROR(VLOOKUP(B44,ราคามุ้ง!$A$2:$K$15,4,0),"ALL")="ALL",ISNUMBER(SEARCH("เปิด",IFERROR(VLOOKUP(B44,ราคามุ้ง!$A$2:$K$15,4,0),"")))),1,0))</f>
        <v>0</v>
      </c>
    </row>
    <row r="46" spans="1:8">
      <c r="A46" s="26" t="s">
        <v>1150</v>
      </c>
      <c r="B46" s="223">
        <f>IF(AND(H45=1,H46=1),ROUND(H50*2*H49/6,2),0)</f>
        <v>0</v>
      </c>
      <c r="C46" s="220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94">
        <f>ROUND(B46*C46,0)</f>
        <v>0</v>
      </c>
      <c r="H46" s="161">
        <f>IF(OR(B44="มุ้งเฟรมเล็ก",B44="มุ้งเฟรมใหญ่",B44="มุ้งนิรภัย"),1,0)</f>
        <v>0</v>
      </c>
    </row>
    <row r="47" spans="1:8">
      <c r="A47" s="26" t="s">
        <v>1151</v>
      </c>
      <c r="B47" s="223">
        <f>IF(AND(H45=1,H46=1),ROUND(H50*2*H48/6,2),0)</f>
        <v>0</v>
      </c>
      <c r="C47" s="220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94">
        <f>ROUND(B47*C47,0)</f>
        <v>0</v>
      </c>
      <c r="H47" s="161">
        <f>IFERROR(VLOOKUP(B45,ราคามุ้ง!$I$2:$J$5,2,0),0)</f>
        <v>23</v>
      </c>
    </row>
    <row r="48" spans="1:8">
      <c r="A48" s="26" t="s">
        <v>1152</v>
      </c>
      <c r="B48" s="223">
        <f>IF(AND(H45=1,H46=1),ROUND(H50*2*(H48+H49),2),0)</f>
        <v>0</v>
      </c>
      <c r="C48" s="220">
        <f>ราคามุ้ง!$D$19</f>
        <v>5</v>
      </c>
      <c r="D48" s="94">
        <f>ROUND(B48*C48,0)</f>
        <v>0</v>
      </c>
      <c r="H48" s="161">
        <f>B3/(B5*100)</f>
        <v>1.5</v>
      </c>
    </row>
    <row r="49" spans="1:11">
      <c r="A49" s="26" t="s">
        <v>1153</v>
      </c>
      <c r="B49" s="223">
        <f>IF(H45=0,0,ROUND(H50*H48*H49,2))</f>
        <v>0</v>
      </c>
      <c r="C49" s="220">
        <f>IF(B44="มุ้งนิรภัย",650,IF(OR(B44="มุ้งเฟรมเล็ก",B44="มุ้งเฟรมใหญ่"),H47,IF(H44="ซื้อสำเร็จ",IFERROR(VLOOKUP(B44,ราคามุ้ง!$A$2:$K$15,2,0),0),0)))</f>
        <v>0</v>
      </c>
      <c r="D49" s="94">
        <f>ROUND(B49*C49,0)</f>
        <v>0</v>
      </c>
      <c r="H49" s="161">
        <f>B4/100</f>
        <v>2</v>
      </c>
    </row>
    <row r="50" spans="1:11">
      <c r="A50" s="26" t="s">
        <v>1154</v>
      </c>
      <c r="D50" s="94">
        <f>IF(H45=0,0,ROUND(H50*(VLOOKUP(B44,ค่าแรง!$A$12:$N$103,2,0)+VLOOKUP(B44,ค่าแรง!$A$12:$N$103,3,0)*H48*H49),0))</f>
        <v>0</v>
      </c>
      <c r="H50" s="161">
        <f>B5</f>
        <v>1</v>
      </c>
    </row>
    <row r="51" spans="1:11">
      <c r="A51" s="26" t="s">
        <v>1155</v>
      </c>
      <c r="D51" s="94">
        <f>IF(H45=0,0,ROUND(H50*(VLOOKUP(B44,ค่าแรง!$A$12:$N$103,4,0)+VLOOKUP(B44,ค่าแรง!$A$12:$N$103,5,0)*H48*H49),0))</f>
        <v>0</v>
      </c>
    </row>
    <row r="52" spans="1:11">
      <c r="A52" s="253" t="s">
        <v>1194</v>
      </c>
      <c r="D52" s="254">
        <f>SUM(D46:D51)</f>
        <v>0</v>
      </c>
    </row>
    <row r="53" spans="1:1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</row>
    <row r="54" spans="1:11">
      <c r="A54" s="289"/>
      <c r="B54" s="117"/>
      <c r="C54" s="117"/>
      <c r="D54" s="117"/>
      <c r="E54" s="117"/>
      <c r="F54" s="117"/>
      <c r="G54" s="117"/>
      <c r="H54" s="117"/>
      <c r="I54" s="117"/>
      <c r="J54" s="117"/>
      <c r="K54" s="117"/>
    </row>
    <row r="55" spans="1:11">
      <c r="A55" s="290"/>
      <c r="B55" s="291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90"/>
      <c r="B56" s="291"/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1">
      <c r="A57" s="290"/>
      <c r="B57" s="291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1">
      <c r="A58" s="290"/>
      <c r="B58" s="292"/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1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83" t="s">
        <v>1138</v>
      </c>
    </row>
    <row r="61" spans="1:11">
      <c r="A61" s="284" t="s">
        <v>1139</v>
      </c>
      <c r="B61" s="285">
        <f>D12+D13+D14+D15+D16+D17+D18+D20+D21+D22+D25</f>
        <v>9658</v>
      </c>
    </row>
    <row r="62" spans="1:11">
      <c r="A62" s="286" t="s">
        <v>1141</v>
      </c>
      <c r="B62" s="287">
        <f>D24</f>
        <v>792</v>
      </c>
    </row>
    <row r="63" spans="1:11">
      <c r="A63" s="286" t="s">
        <v>1142</v>
      </c>
      <c r="B63" s="287">
        <f>D19+D23+D26</f>
        <v>977</v>
      </c>
    </row>
    <row r="64" spans="1:11">
      <c r="A64" s="286" t="s">
        <v>1144</v>
      </c>
      <c r="B64" s="288">
        <f>SUM(B61:B63)</f>
        <v>11427</v>
      </c>
    </row>
    <row r="66" spans="1:6">
      <c r="A66" s="286" t="s">
        <v>3148</v>
      </c>
    </row>
    <row r="67" spans="1:6">
      <c r="A67" s="286" t="s">
        <v>1179</v>
      </c>
      <c r="B67" s="543">
        <f>ROUND(($B$74*$B$75-1)*100,0)</f>
        <v>76</v>
      </c>
      <c r="C67" s="286" t="s">
        <v>3149</v>
      </c>
    </row>
    <row r="68" spans="1:6">
      <c r="A68" s="286" t="s">
        <v>1180</v>
      </c>
      <c r="B68" s="543">
        <f>ROUND(($C$74*$B$75-1)*100,0)</f>
        <v>76</v>
      </c>
      <c r="C68" s="286" t="s">
        <v>3149</v>
      </c>
    </row>
    <row r="69" spans="1:6">
      <c r="A69" s="286" t="s">
        <v>1181</v>
      </c>
      <c r="B69" s="543">
        <f>ROUND(($D$74*$B$75-1)*100,0)</f>
        <v>120</v>
      </c>
      <c r="C69" s="286" t="s">
        <v>3149</v>
      </c>
    </row>
    <row r="70" spans="1:6">
      <c r="A70" s="286" t="s">
        <v>3122</v>
      </c>
      <c r="B70" s="539">
        <v>30</v>
      </c>
      <c r="C70" s="286" t="s">
        <v>3150</v>
      </c>
    </row>
    <row r="72" spans="1:6">
      <c r="A72" s="533" t="s">
        <v>3151</v>
      </c>
      <c r="B72" s="535"/>
      <c r="C72" s="533"/>
    </row>
    <row r="73" spans="1:6">
      <c r="A73" t="s">
        <v>3144</v>
      </c>
      <c r="B73" s="541">
        <v>35</v>
      </c>
      <c r="C73" t="s">
        <v>3152</v>
      </c>
    </row>
    <row r="74" spans="1:6">
      <c r="A74" t="s">
        <v>3153</v>
      </c>
      <c r="B74" s="542">
        <v>1.7230000000000001</v>
      </c>
      <c r="C74" s="542">
        <v>1.7230000000000001</v>
      </c>
      <c r="D74" s="542">
        <v>2.1539999999999999</v>
      </c>
      <c r="E74" s="542" t="s">
        <v>3154</v>
      </c>
      <c r="F74" s="542"/>
    </row>
    <row r="75" spans="1:6">
      <c r="A75" t="s">
        <v>3155</v>
      </c>
      <c r="B75" s="542">
        <f>IFERROR((((D27)+(D36+D50)+(D37+D51))/(100/(100+B70)-B73/100))/(((D27)*$B$74+(D36+D50)*$C$74+(D37+D51)*$D$74)*(1+B70/100)),1)</f>
        <v>1.0198797003064797</v>
      </c>
      <c r="C75" t="s">
        <v>3156</v>
      </c>
    </row>
    <row r="77" spans="1:6">
      <c r="A77" s="533" t="s">
        <v>3126</v>
      </c>
      <c r="B77" s="535"/>
      <c r="C77" s="533"/>
    </row>
    <row r="78" spans="1:6">
      <c r="A78" s="533" t="s">
        <v>3127</v>
      </c>
      <c r="B78" s="534">
        <f>IFERROR(ROUND(D40-D40/(1+B70/100),0),0)</f>
        <v>8492</v>
      </c>
      <c r="C78" s="533" t="s">
        <v>3128</v>
      </c>
    </row>
    <row r="79" spans="1:6">
      <c r="A79" s="533" t="s">
        <v>3129</v>
      </c>
      <c r="B79" s="534">
        <f>D27+D36+D50+D37+D51+B78</f>
        <v>23773.375</v>
      </c>
      <c r="C79" s="533" t="s">
        <v>3130</v>
      </c>
    </row>
    <row r="80" spans="1:6">
      <c r="A80" s="536" t="s">
        <v>3131</v>
      </c>
      <c r="B80" s="537">
        <f>IFERROR((D40-B79)/D40,"")</f>
        <v>0.35398437500000002</v>
      </c>
      <c r="C80" s="536" t="s">
        <v>3157</v>
      </c>
    </row>
  </sheetData>
  <sheetProtection sheet="1" objects="1" scenarios="1"/>
  <mergeCells count="2">
    <mergeCell ref="A1:D1"/>
    <mergeCell ref="A32:D33"/>
  </mergeCells>
  <dataValidations count="6">
    <dataValidation type="list" sqref="B6" xr:uid="{00000000-0002-0000-1300-000000000000}">
      <formula1>"มี,ไม่มี"</formula1>
    </dataValidation>
    <dataValidation type="list" sqref="B10" xr:uid="{00000000-0002-0000-1300-000001000000}">
      <formula1>GlassNames</formula1>
    </dataValidation>
    <dataValidation type="list" sqref="F10" xr:uid="{00000000-0002-0000-13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type="list" allowBlank="1" sqref="B44" xr:uid="{00000000-0002-0000-1300-000003000000}">
      <formula1>MungList</formula1>
    </dataValidation>
    <dataValidation type="list" allowBlank="1" sqref="B45" xr:uid="{00000000-0002-0000-1300-000004000000}">
      <formula1>ClothList</formula1>
    </dataValidation>
    <dataValidation type="list" allowBlank="1" sqref="C45" xr:uid="{00000000-0002-0000-1300-000005000000}">
      <formula1>"เทา,ดำ"</formula1>
    </dataValidation>
  </dataValidations>
  <hyperlinks>
    <hyperlink ref="G1" location="'สารบัญ'!A1" display="🏠 สารบัญ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B9BD5"/>
  </sheetPr>
  <dimension ref="A1:K93"/>
  <sheetViews>
    <sheetView showGridLines="0" zoomScaleNormal="100" workbookViewId="0">
      <pane ySplit="11" topLeftCell="A12" activePane="bottomLeft" state="frozen"/>
      <selection pane="bottomLeft" sqref="A1:D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660" t="s">
        <v>1269</v>
      </c>
      <c r="B1" s="650"/>
      <c r="C1" s="650"/>
      <c r="D1" s="650"/>
      <c r="E1" s="243"/>
      <c r="G1" s="293" t="s">
        <v>68</v>
      </c>
      <c r="H1" s="294"/>
    </row>
    <row r="3" spans="1:8" ht="15" customHeight="1">
      <c r="A3" s="27" t="s">
        <v>1105</v>
      </c>
      <c r="B3" s="538">
        <v>40</v>
      </c>
    </row>
    <row r="4" spans="1:8" ht="15" customHeight="1">
      <c r="A4" s="27" t="s">
        <v>1107</v>
      </c>
      <c r="B4" s="538">
        <v>40</v>
      </c>
    </row>
    <row r="5" spans="1:8" ht="15" customHeight="1">
      <c r="A5" s="27" t="s">
        <v>1109</v>
      </c>
      <c r="B5" s="538">
        <v>1</v>
      </c>
    </row>
    <row r="6" spans="1:8" ht="15" customHeight="1">
      <c r="A6" s="115"/>
      <c r="B6" s="116"/>
    </row>
    <row r="7" spans="1:8" ht="15" customHeight="1">
      <c r="A7" s="30" t="s">
        <v>1114</v>
      </c>
      <c r="B7" s="31">
        <f>(B3/100)*(B4/100)</f>
        <v>0.16000000000000003</v>
      </c>
    </row>
    <row r="8" spans="1:8" ht="15" customHeight="1">
      <c r="A8" s="27" t="s">
        <v>1116</v>
      </c>
      <c r="B8" s="383">
        <f>$B$80</f>
        <v>67</v>
      </c>
      <c r="C8" s="588" t="s">
        <v>2702</v>
      </c>
    </row>
    <row r="9" spans="1:8" ht="15" customHeight="1">
      <c r="A9" s="27" t="s">
        <v>1119</v>
      </c>
      <c r="B9" s="538">
        <v>90</v>
      </c>
    </row>
    <row r="10" spans="1:8" ht="15" customHeight="1">
      <c r="A10" s="26" t="s">
        <v>1120</v>
      </c>
      <c r="B10" s="540" t="s">
        <v>733</v>
      </c>
      <c r="C10" s="32">
        <f>INDEX(ราคากระจก!$B$3:$B$206,MATCH(B10,ราคากระจก!$A$3:$A$206,0))</f>
        <v>264</v>
      </c>
      <c r="D10" s="26" t="s">
        <v>1121</v>
      </c>
      <c r="E10" s="26" t="s">
        <v>1122</v>
      </c>
      <c r="F10" s="584" t="s">
        <v>1123</v>
      </c>
      <c r="G10" s="26"/>
    </row>
    <row r="11" spans="1:8" ht="15" customHeight="1">
      <c r="A11" s="33" t="s">
        <v>470</v>
      </c>
      <c r="B11" s="539" t="s">
        <v>1124</v>
      </c>
      <c r="C11" s="539" t="s">
        <v>1125</v>
      </c>
      <c r="D11" s="33" t="s">
        <v>1126</v>
      </c>
    </row>
    <row r="12" spans="1:8" ht="15" customHeight="1">
      <c r="A12" s="28" t="s">
        <v>1255</v>
      </c>
      <c r="B12" s="34">
        <f>((B3+2*B4)/640)*buf_scrap</f>
        <v>0.24375000000000002</v>
      </c>
      <c r="C12" s="3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น้ำหนักโปรไฟล์!$C$286))))))</f>
        <v>1205</v>
      </c>
      <c r="D12" s="29">
        <f>B12*C12*mult_euro</f>
        <v>293.71875</v>
      </c>
    </row>
    <row r="13" spans="1:8" ht="15" customHeight="1">
      <c r="A13" s="28" t="s">
        <v>1270</v>
      </c>
      <c r="B13" s="34">
        <f>(B3/640)*buf_scrap</f>
        <v>8.1250000000000003E-2</v>
      </c>
      <c r="C13" s="35">
        <f>IF(F10="สีอบขาว/ดำ",IFERROR(VLOOKUP("F7939B",ราคาสี!$A:$D,4,0),1400),IF(OR(F10="เทาซาฮาร่า",F10="สีดำซาฮาร่า"),VLOOKUP("F7939B",ราคาสี!$A:$F,5,0),IF(F10="แอทแทคเกรย์",VLOOKUP("F7939B",ราคาสี!$A:$J,7,0),IF(F10="ลายไม้สักทอง",(VLOOKUP("F7939B",ราคาสี!$A:$H,8,0)*mult_wood/mult_euro),IF(F10="ลายไม้มะฮอกกานี",(VLOOKUP("F7939B",ราคาสี!$A:$J,9,0)*mult_wood/mult_euro),IF(F10="ลายไม้ไวท์โอ๊ค",(VLOOKUP("F7939B",ราคาสี!$A:$J,10,0)*mult_wood/mult_euro),IFERROR(VLOOKUP("F7939B",ราคาสี!$A:$D,4,0),1400)+IF(F10="สีอบพิเศษ",rate_special,rate_woodbake)*น้ำหนักโปรไฟล์!$C$294))))))</f>
        <v>1475</v>
      </c>
      <c r="D13" s="29">
        <f>B13*C13*mult_euro</f>
        <v>119.84375</v>
      </c>
    </row>
    <row r="14" spans="1:8" ht="15" customHeight="1">
      <c r="A14" s="28" t="s">
        <v>1271</v>
      </c>
      <c r="B14" s="34">
        <f>((2*B5*B4+2*B3)/640)*buf_scrap</f>
        <v>0.32500000000000001</v>
      </c>
      <c r="C14" s="35">
        <f>IF(F10="สีอบขาว/ดำ",IFERROR(VLOOKUP("F7943B",ราคาสี!$A:$D,4,0),1480),IF(OR(F10="เทาซาฮาร่า",F10="สีดำซาฮาร่า"),VLOOKUP("F7943B",ราคาสี!$A:$F,5,0),IF(F10="แอทแทคเกรย์",VLOOKUP("F7943B",ราคาสี!$A:$J,7,0),IF(F10="ลายไม้สักทอง",(VLOOKUP("F7943B",ราคาสี!$A:$H,8,0)*mult_wood/mult_euro),IF(F10="ลายไม้มะฮอกกานี",(VLOOKUP("F7943B",ราคาสี!$A:$J,9,0)*mult_wood/mult_euro),IF(F10="ลายไม้ไวท์โอ๊ค",(VLOOKUP("F7943B",ราคาสี!$A:$J,10,0)*mult_wood/mult_euro),IFERROR(VLOOKUP("F7943B",ราคาสี!$A:$D,4,0),1480)+IF(F10="สีอบพิเศษ",rate_special,rate_woodbake)*น้ำหนักโปรไฟล์!$C$295))))))</f>
        <v>1510</v>
      </c>
      <c r="D14" s="29">
        <f>B14*C14*mult_euro</f>
        <v>490.75</v>
      </c>
    </row>
    <row r="15" spans="1:8" ht="15" customHeight="1">
      <c r="A15" s="28" t="s">
        <v>1260</v>
      </c>
      <c r="B15" s="34">
        <f>((2*B5*B4+2*B3)/640)*buf_scrap</f>
        <v>0.32500000000000001</v>
      </c>
      <c r="C15" s="35">
        <f>IF(F10="สีอบขาว/ดำ",IFERROR(VLOOKUP("F7935",ราคาสี!$A:$D,4,0),360),IF(OR(F10="เทาซาฮาร่า",F10="สีดำซาฮาร่า"),IFERROR(VLOOKUP("F7935",ราคาสี!$A:$D,4,0),360)+rate_grey*น้ำหนักโปรไฟล์!$C$291,IF(F10="แอทแทคเกรย์",IFERROR(VLOOKUP("F7935",ราคาสี!$A:$D,4,0),360)+rate_grey*น้ำหนักโปรไฟล์!$C$291,IF(F10="ลายไม้สักทอง",570,IF(F10="ลายไม้มะฮอกกานี",570,IF(F10="ลายไม้ไวท์โอ๊ค",570,IFERROR(VLOOKUP("F7935",ราคาสี!$A:$D,4,0),360)+IF(F10="สีอบพิเศษ",rate_special,rate_woodbake)*น้ำหนักโปรไฟล์!$C$291))))))</f>
        <v>380</v>
      </c>
      <c r="D15" s="29">
        <f>B15*C15*mult_euro</f>
        <v>123.5</v>
      </c>
    </row>
    <row r="16" spans="1:8" ht="15" customHeight="1">
      <c r="A16" s="28" t="s">
        <v>1261</v>
      </c>
      <c r="B16" s="34">
        <f>IF(B5&gt;1,1,0)</f>
        <v>0</v>
      </c>
      <c r="C16" s="35">
        <f>IF(F10="สีอบขาว/ดำ",IFERROR(VLOOKUP("F7945C",ราคาสี!$A:$D,4,0),775),IF(OR(F10="เทาซาฮาร่า",F10="สีดำซาฮาร่า"),IFERROR(VLOOKUP("F7945C",ราคาสี!$A:$D,4,0),775)+rate_grey*น้ำหนักโปรไฟล์!$C$292,IF(F10="แอทแทคเกรย์",IFERROR(VLOOKUP("F7945C",ราคาสี!$A:$D,4,0),775)+rate_grey*น้ำหนักโปรไฟล์!$C$292,IF(F10="ลายไม้สักทอง",1080,IF(F10="ลายไม้มะฮอกกานี",1080,IF(F10="ลายไม้ไวท์โอ๊ค",1080,IFERROR(VLOOKUP("F7945C",ราคาสี!$A:$D,4,0),775)+IF(F10="สีอบพิเศษ",rate_special,rate_woodbake)*น้ำหนักโปรไฟล์!$C$292))))))</f>
        <v>820</v>
      </c>
      <c r="D16" s="29">
        <f>B16*C16*mult_euro</f>
        <v>0</v>
      </c>
    </row>
    <row r="17" spans="1:5" ht="15" customHeight="1">
      <c r="A17" s="28" t="s">
        <v>1213</v>
      </c>
      <c r="B17" s="34">
        <f>1</f>
        <v>1</v>
      </c>
      <c r="C17" s="35">
        <f>ชีทอุปกรณ์!$D$200</f>
        <v>140</v>
      </c>
      <c r="D17" s="29">
        <f t="shared" ref="D17:D32" si="0">B17*C17</f>
        <v>140</v>
      </c>
    </row>
    <row r="18" spans="1:5" ht="15" customHeight="1">
      <c r="A18" s="28" t="s">
        <v>1272</v>
      </c>
      <c r="B18" s="34">
        <f>2*B5</f>
        <v>2</v>
      </c>
      <c r="C18" s="35">
        <f>ชีทอุปกรณ์!$D$201</f>
        <v>200</v>
      </c>
      <c r="D18" s="29">
        <f t="shared" si="0"/>
        <v>400</v>
      </c>
    </row>
    <row r="19" spans="1:5" ht="15" customHeight="1">
      <c r="A19" s="28" t="s">
        <v>1273</v>
      </c>
      <c r="B19" s="34">
        <f>B5</f>
        <v>1</v>
      </c>
      <c r="C19" s="35">
        <f>ชีทอุปกรณ์!$D$202</f>
        <v>150</v>
      </c>
      <c r="D19" s="29">
        <f t="shared" si="0"/>
        <v>150</v>
      </c>
    </row>
    <row r="20" spans="1:5" ht="15" customHeight="1">
      <c r="A20" s="28" t="s">
        <v>1274</v>
      </c>
      <c r="B20" s="34">
        <f>2</f>
        <v>2</v>
      </c>
      <c r="C20" s="35">
        <v>15</v>
      </c>
      <c r="D20" s="29">
        <f t="shared" si="0"/>
        <v>30</v>
      </c>
    </row>
    <row r="21" spans="1:5" ht="15" customHeight="1">
      <c r="A21" s="28" t="s">
        <v>1275</v>
      </c>
      <c r="B21" s="34">
        <f>2</f>
        <v>2</v>
      </c>
      <c r="C21" s="35">
        <v>17</v>
      </c>
      <c r="D21" s="29">
        <f t="shared" si="0"/>
        <v>34</v>
      </c>
    </row>
    <row r="22" spans="1:5" ht="15" customHeight="1">
      <c r="A22" s="28" t="s">
        <v>1276</v>
      </c>
      <c r="B22" s="34">
        <f>2*B5</f>
        <v>2</v>
      </c>
      <c r="C22" s="35">
        <v>63</v>
      </c>
      <c r="D22" s="29">
        <f t="shared" si="0"/>
        <v>126</v>
      </c>
    </row>
    <row r="23" spans="1:5" ht="15" customHeight="1">
      <c r="A23" s="28" t="s">
        <v>1277</v>
      </c>
      <c r="B23" s="34">
        <f>2*B5</f>
        <v>2</v>
      </c>
      <c r="C23" s="35">
        <v>45</v>
      </c>
      <c r="D23" s="29">
        <f t="shared" si="0"/>
        <v>90</v>
      </c>
    </row>
    <row r="24" spans="1:5" ht="15" customHeight="1">
      <c r="A24" s="28" t="s">
        <v>1278</v>
      </c>
      <c r="B24" s="34">
        <f>4*B5</f>
        <v>4</v>
      </c>
      <c r="C24" s="35">
        <v>12</v>
      </c>
      <c r="D24" s="29">
        <f t="shared" si="0"/>
        <v>48</v>
      </c>
    </row>
    <row r="25" spans="1:5" ht="15" customHeight="1">
      <c r="A25" s="28" t="s">
        <v>1279</v>
      </c>
      <c r="B25" s="34">
        <f>12*B5</f>
        <v>12</v>
      </c>
      <c r="C25" s="35">
        <v>5</v>
      </c>
      <c r="D25" s="29">
        <f t="shared" si="0"/>
        <v>60</v>
      </c>
    </row>
    <row r="26" spans="1:5" ht="15" customHeight="1">
      <c r="A26" s="28" t="s">
        <v>1280</v>
      </c>
      <c r="B26" s="34">
        <f>8</f>
        <v>8</v>
      </c>
      <c r="C26" s="35">
        <v>1</v>
      </c>
      <c r="D26" s="29">
        <f t="shared" si="0"/>
        <v>8</v>
      </c>
    </row>
    <row r="27" spans="1:5" ht="15" customHeight="1">
      <c r="A27" s="28" t="s">
        <v>1281</v>
      </c>
      <c r="B27" s="34">
        <f>ROUND(2*(B3+B4)/100,1)</f>
        <v>1.6</v>
      </c>
      <c r="C27" s="35">
        <v>11</v>
      </c>
      <c r="D27" s="29">
        <f t="shared" si="0"/>
        <v>17.600000000000001</v>
      </c>
    </row>
    <row r="28" spans="1:5" ht="15" customHeight="1">
      <c r="A28" s="28" t="s">
        <v>1282</v>
      </c>
      <c r="B28" s="34">
        <f>ROUND(4*(B3+B4)/100,1)</f>
        <v>3.2</v>
      </c>
      <c r="C28" s="35">
        <v>5</v>
      </c>
      <c r="D28" s="29">
        <f t="shared" si="0"/>
        <v>16</v>
      </c>
    </row>
    <row r="29" spans="1:5" ht="15" customHeight="1">
      <c r="A29" s="28" t="s">
        <v>1283</v>
      </c>
      <c r="B29" s="34">
        <f>2</f>
        <v>2</v>
      </c>
      <c r="C29" s="35">
        <v>14</v>
      </c>
      <c r="D29" s="29">
        <f t="shared" si="0"/>
        <v>28</v>
      </c>
    </row>
    <row r="30" spans="1:5" ht="15" customHeight="1">
      <c r="A30" s="28" t="s">
        <v>1128</v>
      </c>
      <c r="B30" s="34">
        <f>B7</f>
        <v>0.16000000000000003</v>
      </c>
      <c r="C30" s="35">
        <f>INDEX(ราคากระจก!$B$3:$B$206,MATCH(B10,ราคากระจก!$A$3:$A$206,0))</f>
        <v>264</v>
      </c>
      <c r="D30" s="29">
        <f t="shared" si="0"/>
        <v>42.240000000000009</v>
      </c>
    </row>
    <row r="31" spans="1:5" ht="15" customHeight="1">
      <c r="A31" s="28" t="s">
        <v>1134</v>
      </c>
      <c r="B31" s="34">
        <f>ROUNDUP(2*(B3+B4)/100*2/12.5,0)</f>
        <v>1</v>
      </c>
      <c r="C31" s="35">
        <f>B9</f>
        <v>90</v>
      </c>
      <c r="D31" s="29">
        <f t="shared" si="0"/>
        <v>90</v>
      </c>
    </row>
    <row r="32" spans="1:5" ht="15" customHeight="1">
      <c r="A32" s="36" t="s">
        <v>1135</v>
      </c>
      <c r="B32" s="36">
        <f>IF(OR(F10="สีอบพิเศษ",F10="สีลายไม้อบพิเศษ"),1,0)</f>
        <v>0</v>
      </c>
      <c r="C32" s="32">
        <f>อัปเดตราคาอลู!$B$17</f>
        <v>2000</v>
      </c>
      <c r="D32" s="32">
        <f t="shared" si="0"/>
        <v>0</v>
      </c>
      <c r="E32" s="36" t="s">
        <v>1136</v>
      </c>
    </row>
    <row r="33" spans="1:4" ht="15" customHeight="1">
      <c r="A33" s="607" t="s">
        <v>1137</v>
      </c>
      <c r="D33" s="37">
        <f>SUM(D12:D32)+D54+D59+D60+D61+D62</f>
        <v>2307.6525000000001</v>
      </c>
    </row>
    <row r="34" spans="1:4" ht="15" customHeight="1">
      <c r="A34" s="607" t="s">
        <v>1045</v>
      </c>
      <c r="D34" s="37">
        <f>IFERROR(D33/B7,0)</f>
        <v>14422.828124999998</v>
      </c>
    </row>
    <row r="35" spans="1:4" ht="15" customHeight="1">
      <c r="A35" s="38" t="s">
        <v>1140</v>
      </c>
      <c r="D35" s="39">
        <f>ROUNDUP(D33*(1+B8/100)/100,0)*100</f>
        <v>3900</v>
      </c>
    </row>
    <row r="36" spans="1:4" ht="15" customHeight="1">
      <c r="A36" s="38" t="s">
        <v>1143</v>
      </c>
      <c r="D36" s="39">
        <f>D35</f>
        <v>3900</v>
      </c>
    </row>
    <row r="38" spans="1:4" ht="15" customHeight="1">
      <c r="A38" s="662"/>
      <c r="B38" s="650"/>
      <c r="C38" s="650"/>
      <c r="D38" s="662"/>
    </row>
    <row r="39" spans="1:4" ht="15" customHeight="1">
      <c r="A39" s="650"/>
      <c r="B39" s="650"/>
      <c r="C39" s="650"/>
      <c r="D39" s="662"/>
    </row>
    <row r="40" spans="1:4" ht="15" customHeight="1">
      <c r="A40" s="3"/>
      <c r="B40" s="4"/>
      <c r="C40" s="4"/>
      <c r="D40" s="5"/>
    </row>
    <row r="41" spans="1:4">
      <c r="A41" s="21" t="s">
        <v>1157</v>
      </c>
    </row>
    <row r="42" spans="1:4">
      <c r="A42" s="40" t="s">
        <v>1158</v>
      </c>
      <c r="D42" s="22">
        <f>MAX(0,VLOOKUP("บานกระทุ้ง (ยูโร)",ค่าแรง!$A$12:$N$117,2,0)+VLOOKUP("บานกระทุ้ง (ยูโร)",ค่าแรง!$A$12:$N$117,3,0)*B7)</f>
        <v>793.17</v>
      </c>
    </row>
    <row r="43" spans="1:4">
      <c r="A43" s="40" t="s">
        <v>1159</v>
      </c>
      <c r="D43" s="22">
        <f>MAX(0,VLOOKUP("บานกระทุ้ง (ยูโร)",ค่าแรง!$A$12:$N$117,4,0)+VLOOKUP("บานกระทุ้ง (ยูโร)",ค่าแรง!$A$12:$N$117,5,0)*B7)</f>
        <v>751.03</v>
      </c>
    </row>
    <row r="45" spans="1:4">
      <c r="A45" s="21" t="s">
        <v>1160</v>
      </c>
      <c r="D45" s="24">
        <f>ROUNDUP((ROUNDUP((ROUNDUP(D33*(1+B8/100)/100,0)*100+ROUNDUP((D42+D63)*(1+B81/100)/100,0)*100)*(1+$B$83/100)/100,0)*100)*1/100,0)*100</f>
        <v>6900</v>
      </c>
    </row>
    <row r="46" spans="1:4">
      <c r="A46" s="21" t="s">
        <v>1161</v>
      </c>
      <c r="D46" s="24">
        <f>D45+ROUNDUP((ROUNDUP((ROUNDUP((D43+D64)*(1+B82/100)/100,0)*100)*(1+$B$83/100)/100,0)*100)*1/100,0)*100</f>
        <v>9400</v>
      </c>
    </row>
    <row r="49" spans="1:8">
      <c r="A49" s="118" t="s">
        <v>1193</v>
      </c>
      <c r="B49" s="119"/>
      <c r="C49" s="119"/>
      <c r="D49" s="119"/>
    </row>
    <row r="50" spans="1:8">
      <c r="A50" s="16" t="s">
        <v>1163</v>
      </c>
      <c r="B50" s="609" t="s">
        <v>1164</v>
      </c>
      <c r="C50" s="119"/>
      <c r="D50" s="119"/>
    </row>
    <row r="51" spans="1:8">
      <c r="A51" s="16" t="s">
        <v>1166</v>
      </c>
      <c r="B51" s="609" t="s">
        <v>543</v>
      </c>
      <c r="C51" s="119"/>
      <c r="D51" s="119"/>
    </row>
    <row r="52" spans="1:8">
      <c r="A52" s="16" t="s">
        <v>1284</v>
      </c>
      <c r="B52" s="98">
        <f>B5</f>
        <v>1</v>
      </c>
      <c r="C52" s="119"/>
      <c r="D52" s="119"/>
    </row>
    <row r="53" spans="1:8">
      <c r="A53" s="119"/>
      <c r="B53" s="119"/>
      <c r="C53" s="119"/>
      <c r="D53" s="119"/>
    </row>
    <row r="54" spans="1:8">
      <c r="A54" s="120" t="s">
        <v>1175</v>
      </c>
      <c r="B54" s="119"/>
      <c r="C54" s="119"/>
      <c r="D54" s="121">
        <f>IF(B50="ไม่มี",0,B52*INDEX(ราคาออโต้!$C:$C,MATCH(B51,ราคาออโต้!$B:$B,0))+INDEX(ราคาออโต้!$D:$D,MATCH(B51,ราคาออโต้!$B:$B,0))+IF(AND(B52&gt;=2,OR(B51="โช็ค เปิด 50",B51="โช็ค เปิด 80")),INDEX(ราคาออโต้!$C:$C,MATCH("อุปกรณ์พิเศษ (โช็ค 2 ตัว)",ราคาออโต้!$B:$B,0)),0))</f>
        <v>0</v>
      </c>
    </row>
    <row r="56" spans="1:8">
      <c r="A56" s="172" t="s">
        <v>1145</v>
      </c>
    </row>
    <row r="57" spans="1:8">
      <c r="A57" s="21" t="s">
        <v>1147</v>
      </c>
      <c r="B57" s="610" t="s">
        <v>674</v>
      </c>
      <c r="C57" t="str">
        <f>IF(B57="ไม่มีมุ้ง","—",IF(H58=1,"✓ ใช้ได้","⚠ ใช้กับบานนี้ไม่ได้(ทุน=0)"))</f>
        <v>—</v>
      </c>
      <c r="D57" t="str">
        <f>IF(B57="ไม่มีมุ้ง","",H63&amp;" บาน")</f>
        <v/>
      </c>
      <c r="H57" s="161" t="str">
        <f>IFERROR(VLOOKUP(B57,ราคามุ้ง!$A$2:$K$15,3,0),"")</f>
        <v/>
      </c>
    </row>
    <row r="58" spans="1:8">
      <c r="A58" s="26" t="s">
        <v>1148</v>
      </c>
      <c r="B58" s="610" t="s">
        <v>682</v>
      </c>
      <c r="C58" s="610" t="s">
        <v>1149</v>
      </c>
      <c r="H58" s="161">
        <f>IF(B57="ไม่มีมุ้ง",0,IF(OR(IFERROR(VLOOKUP(B57,ราคามุ้ง!$A$2:$K$15,4,0),"ALL")="ALL",ISNUMBER(SEARCH("กระทุ้ง",IFERROR(VLOOKUP(B57,ราคามุ้ง!$A$2:$K$15,4,0),"")))),1,0))</f>
        <v>0</v>
      </c>
    </row>
    <row r="59" spans="1:8">
      <c r="A59" s="26" t="s">
        <v>1150</v>
      </c>
      <c r="B59" s="223">
        <f>IF(AND(H58=1,H59=1),ROUND(H63*2*H62/6,2),0)</f>
        <v>0</v>
      </c>
      <c r="C59" s="220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59" s="94">
        <f>ROUND(B59*C59,0)</f>
        <v>0</v>
      </c>
      <c r="H59" s="161">
        <f>IF(OR(B57="มุ้งเฟรมเล็ก",B57="มุ้งเฟรมใหญ่",B57="มุ้งนิรภัย"),1,0)</f>
        <v>0</v>
      </c>
    </row>
    <row r="60" spans="1:8">
      <c r="A60" s="26" t="s">
        <v>1151</v>
      </c>
      <c r="B60" s="223">
        <f>IF(AND(H58=1,H59=1),ROUND(H63*2*H61/6,2),0)</f>
        <v>0</v>
      </c>
      <c r="C60" s="220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60" s="94">
        <f>ROUND(B60*C60,0)</f>
        <v>0</v>
      </c>
      <c r="H60" s="161">
        <f>IFERROR(VLOOKUP(B58,ราคามุ้ง!$I$2:$J$5,2,0),0)</f>
        <v>23</v>
      </c>
    </row>
    <row r="61" spans="1:8">
      <c r="A61" s="26" t="s">
        <v>1152</v>
      </c>
      <c r="B61" s="223">
        <f>IF(AND(H58=1,H59=1),ROUND(H63*2*(H61+H62),2),0)</f>
        <v>0</v>
      </c>
      <c r="C61" s="220">
        <f>ราคามุ้ง!$D$19</f>
        <v>5</v>
      </c>
      <c r="D61" s="94">
        <f>ROUND(B61*C61,0)</f>
        <v>0</v>
      </c>
      <c r="H61" s="161">
        <f>B3/(B5*100)</f>
        <v>0.4</v>
      </c>
    </row>
    <row r="62" spans="1:8">
      <c r="A62" s="26" t="s">
        <v>1153</v>
      </c>
      <c r="B62" s="223">
        <f>IF(H58=0,0,ROUND(H63*H61*H62,2))</f>
        <v>0</v>
      </c>
      <c r="C62" s="220">
        <f>IF(B57="มุ้งนิรภัย",650,IF(OR(B57="มุ้งเฟรมเล็ก",B57="มุ้งเฟรมใหญ่"),H60,IF(H57="ซื้อสำเร็จ",IFERROR(VLOOKUP(B57,ราคามุ้ง!$A$2:$K$15,2,0),0),0)))</f>
        <v>0</v>
      </c>
      <c r="D62" s="94">
        <f>ROUND(B62*C62,0)</f>
        <v>0</v>
      </c>
      <c r="H62" s="161">
        <f>B4/100</f>
        <v>0.4</v>
      </c>
    </row>
    <row r="63" spans="1:8">
      <c r="A63" s="26" t="s">
        <v>1154</v>
      </c>
      <c r="D63" s="94">
        <f>IF(H58=0,0,ROUND(H63*(VLOOKUP(B57,ค่าแรง!$A$12:$N$103,2,0)+VLOOKUP(B57,ค่าแรง!$A$12:$N$103,3,0)*H61*H62),0))</f>
        <v>0</v>
      </c>
      <c r="H63" s="161">
        <f>B5</f>
        <v>1</v>
      </c>
    </row>
    <row r="64" spans="1:8">
      <c r="A64" s="26" t="s">
        <v>1155</v>
      </c>
      <c r="D64" s="94">
        <f>IF(H58=0,0,ROUND(H63*(VLOOKUP(B57,ค่าแรง!$A$12:$N$103,4,0)+VLOOKUP(B57,ค่าแรง!$A$12:$N$103,5,0)*H61*H62),0))</f>
        <v>0</v>
      </c>
    </row>
    <row r="65" spans="1:11">
      <c r="A65" s="253" t="s">
        <v>1194</v>
      </c>
      <c r="D65" s="254">
        <f>SUM(D59:D64)</f>
        <v>0</v>
      </c>
    </row>
    <row r="66" spans="1:1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</row>
    <row r="67" spans="1:11">
      <c r="A67" s="289"/>
      <c r="B67" s="117"/>
      <c r="C67" s="117"/>
      <c r="D67" s="117"/>
      <c r="E67" s="117"/>
      <c r="F67" s="117"/>
      <c r="G67" s="117"/>
      <c r="H67" s="117"/>
      <c r="I67" s="117"/>
      <c r="J67" s="117"/>
      <c r="K67" s="117"/>
    </row>
    <row r="68" spans="1:11">
      <c r="A68" s="290"/>
      <c r="B68" s="291"/>
      <c r="C68" s="117"/>
      <c r="D68" s="117"/>
      <c r="E68" s="117"/>
      <c r="F68" s="117"/>
      <c r="G68" s="117"/>
      <c r="H68" s="117"/>
      <c r="I68" s="117"/>
      <c r="J68" s="117"/>
      <c r="K68" s="117"/>
    </row>
    <row r="69" spans="1:11">
      <c r="A69" s="290"/>
      <c r="B69" s="291"/>
      <c r="C69" s="117"/>
      <c r="D69" s="117"/>
      <c r="E69" s="117"/>
      <c r="F69" s="117"/>
      <c r="G69" s="117"/>
      <c r="H69" s="117"/>
      <c r="I69" s="117"/>
      <c r="J69" s="117"/>
      <c r="K69" s="117"/>
    </row>
    <row r="70" spans="1:11">
      <c r="A70" s="290"/>
      <c r="B70" s="291"/>
      <c r="C70" s="117"/>
      <c r="D70" s="117"/>
      <c r="E70" s="117"/>
      <c r="F70" s="117"/>
      <c r="G70" s="117"/>
      <c r="H70" s="117"/>
      <c r="I70" s="117"/>
      <c r="J70" s="117"/>
      <c r="K70" s="117"/>
    </row>
    <row r="71" spans="1:11">
      <c r="A71" s="290"/>
      <c r="B71" s="292"/>
      <c r="C71" s="117"/>
      <c r="D71" s="117"/>
      <c r="E71" s="117"/>
      <c r="F71" s="117"/>
      <c r="G71" s="117"/>
      <c r="H71" s="117"/>
      <c r="I71" s="117"/>
      <c r="J71" s="117"/>
      <c r="K71" s="117"/>
    </row>
    <row r="72" spans="1:1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</row>
    <row r="73" spans="1:11">
      <c r="A73" s="283" t="s">
        <v>1138</v>
      </c>
    </row>
    <row r="74" spans="1:11">
      <c r="A74" s="284" t="s">
        <v>1139</v>
      </c>
      <c r="B74" s="285">
        <f>D12+D13+D14+D15+D16+D23+D31</f>
        <v>1207.8125</v>
      </c>
    </row>
    <row r="75" spans="1:11">
      <c r="A75" s="286" t="s">
        <v>1141</v>
      </c>
      <c r="B75" s="287">
        <f>D27+D30</f>
        <v>59.840000000000011</v>
      </c>
    </row>
    <row r="76" spans="1:11">
      <c r="A76" s="286" t="s">
        <v>1142</v>
      </c>
      <c r="B76" s="287">
        <f>D17+D18+D19+D20+D21+D22+D24+D25+D26+D28+D29+D32</f>
        <v>1040</v>
      </c>
    </row>
    <row r="77" spans="1:11">
      <c r="A77" s="286" t="s">
        <v>1144</v>
      </c>
      <c r="B77" s="288">
        <f>SUM(B74:B76)</f>
        <v>2307.6525000000001</v>
      </c>
    </row>
    <row r="79" spans="1:11">
      <c r="A79" s="286" t="s">
        <v>3148</v>
      </c>
    </row>
    <row r="80" spans="1:11">
      <c r="A80" s="286" t="s">
        <v>1179</v>
      </c>
      <c r="B80" s="543">
        <f>ROUND(($B$87*$B$88-1)*100,0)</f>
        <v>67</v>
      </c>
      <c r="C80" s="286" t="s">
        <v>3149</v>
      </c>
    </row>
    <row r="81" spans="1:6">
      <c r="A81" s="286" t="s">
        <v>1180</v>
      </c>
      <c r="B81" s="543">
        <f>ROUND(($C$87*$B$88-1)*100,0)</f>
        <v>67</v>
      </c>
      <c r="C81" s="286" t="s">
        <v>3149</v>
      </c>
    </row>
    <row r="82" spans="1:6">
      <c r="A82" s="286" t="s">
        <v>1181</v>
      </c>
      <c r="B82" s="543">
        <f>ROUND(($D$87*$B$88-1)*100,0)</f>
        <v>151</v>
      </c>
      <c r="C82" s="286" t="s">
        <v>3149</v>
      </c>
    </row>
    <row r="83" spans="1:6">
      <c r="A83" s="286" t="s">
        <v>3122</v>
      </c>
      <c r="B83" s="539">
        <v>30</v>
      </c>
      <c r="C83" s="286" t="s">
        <v>3150</v>
      </c>
    </row>
    <row r="85" spans="1:6">
      <c r="A85" s="533" t="s">
        <v>3151</v>
      </c>
      <c r="B85" s="535"/>
      <c r="C85" s="533"/>
    </row>
    <row r="86" spans="1:6">
      <c r="A86" t="s">
        <v>3144</v>
      </c>
      <c r="B86" s="541">
        <v>35</v>
      </c>
      <c r="C86" t="s">
        <v>3152</v>
      </c>
    </row>
    <row r="87" spans="1:6">
      <c r="A87" t="s">
        <v>3153</v>
      </c>
      <c r="B87" s="542">
        <v>1.5389999999999999</v>
      </c>
      <c r="C87" s="542">
        <v>1.5389999999999999</v>
      </c>
      <c r="D87" s="542">
        <v>2.3079999999999998</v>
      </c>
      <c r="E87" s="542" t="s">
        <v>3154</v>
      </c>
      <c r="F87" s="542"/>
    </row>
    <row r="88" spans="1:6">
      <c r="A88" t="s">
        <v>3155</v>
      </c>
      <c r="B88" s="542">
        <f>IFERROR((((D33)+(D42+D63)+(D43+D64))/(100/(100+B83)-B86/100))/(((D33)*$B$87+(D42+D63)*$C$87+(D43+D64)*$D$87)*(1+B83/100)),1)</f>
        <v>1.0863995815142675</v>
      </c>
      <c r="C88" t="s">
        <v>3156</v>
      </c>
    </row>
    <row r="90" spans="1:6">
      <c r="A90" s="533" t="s">
        <v>3126</v>
      </c>
      <c r="B90" s="535"/>
      <c r="C90" s="533"/>
    </row>
    <row r="91" spans="1:6">
      <c r="A91" s="533" t="s">
        <v>3127</v>
      </c>
      <c r="B91" s="534">
        <f>IFERROR(ROUND(D46-D46/(1+B83/100),0),0)</f>
        <v>2169</v>
      </c>
      <c r="C91" s="533" t="s">
        <v>3128</v>
      </c>
    </row>
    <row r="92" spans="1:6">
      <c r="A92" s="533" t="s">
        <v>3129</v>
      </c>
      <c r="B92" s="534">
        <f>D33+D42+D63+D43+D64+B91</f>
        <v>6020.8525</v>
      </c>
      <c r="C92" s="533" t="s">
        <v>3130</v>
      </c>
    </row>
    <row r="93" spans="1:6">
      <c r="A93" s="536" t="s">
        <v>3131</v>
      </c>
      <c r="B93" s="537">
        <f>IFERROR((D46-B92)/D46,"")</f>
        <v>0.35948377659574471</v>
      </c>
      <c r="C93" s="536" t="s">
        <v>3157</v>
      </c>
    </row>
  </sheetData>
  <sheetProtection sheet="1" objects="1" scenarios="1"/>
  <mergeCells count="2">
    <mergeCell ref="A1:D1"/>
    <mergeCell ref="A38:D39"/>
  </mergeCells>
  <dataValidations count="7">
    <dataValidation type="list" sqref="B10" xr:uid="{00000000-0002-0000-1400-000000000000}">
      <formula1>GlassNames</formula1>
      <formula2>0</formula2>
    </dataValidation>
    <dataValidation type="list" sqref="F10" xr:uid="{00000000-0002-0000-1400-000001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50" xr:uid="{00000000-0002-0000-1400-000002000000}">
      <formula1>"มี,ไม่มี"</formula1>
    </dataValidation>
    <dataValidation type="list" allowBlank="1" sqref="B51" xr:uid="{00000000-0002-0000-1400-000003000000}">
      <formula1>"โช็ค เปิด 50,โช็ค เปิด 80,โซ่เดี่ยว 50,โซ่คู่ 50"</formula1>
    </dataValidation>
    <dataValidation type="list" allowBlank="1" sqref="B57" xr:uid="{00000000-0002-0000-1400-000005000000}">
      <formula1>MungList</formula1>
    </dataValidation>
    <dataValidation type="list" allowBlank="1" sqref="B58" xr:uid="{00000000-0002-0000-1400-000006000000}">
      <formula1>ClothList</formula1>
    </dataValidation>
    <dataValidation type="list" allowBlank="1" sqref="C58" xr:uid="{00000000-0002-0000-1400-000007000000}">
      <formula1>"เทา,ดำ"</formula1>
    </dataValidation>
  </dataValidations>
  <hyperlinks>
    <hyperlink ref="G1" location="'สารบัญ'!A1" display="🏠 สารบัญ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B9BD5"/>
  </sheetPr>
  <dimension ref="A1:O157"/>
  <sheetViews>
    <sheetView zoomScaleNormal="100" workbookViewId="0">
      <pane ySplit="11" topLeftCell="A12" activePane="bottomLeft" state="frozen"/>
      <selection pane="bottomLeft" sqref="A1:F1"/>
    </sheetView>
  </sheetViews>
  <sheetFormatPr defaultColWidth="8.6640625" defaultRowHeight="14.4"/>
  <cols>
    <col min="1" max="2" width="24" customWidth="1"/>
    <col min="3" max="3" width="42.6640625" customWidth="1"/>
    <col min="4" max="5" width="24" customWidth="1"/>
    <col min="6" max="6" width="10.6640625" customWidth="1"/>
    <col min="7" max="7" width="23.21875" hidden="1" customWidth="1"/>
    <col min="8" max="8" width="23.21875" customWidth="1"/>
    <col min="9" max="9" width="7.44140625" customWidth="1"/>
    <col min="10" max="10" width="18" customWidth="1"/>
    <col min="11" max="11" width="9.5546875" customWidth="1"/>
    <col min="12" max="12" width="22.21875" customWidth="1"/>
    <col min="13" max="13" width="6.44140625" customWidth="1"/>
  </cols>
  <sheetData>
    <row r="1" spans="1:15" ht="24" customHeight="1">
      <c r="A1" s="660" t="s">
        <v>1285</v>
      </c>
      <c r="B1" s="650"/>
      <c r="C1" s="650"/>
      <c r="D1" s="650"/>
      <c r="E1" s="650"/>
      <c r="F1" s="650"/>
      <c r="G1" s="377"/>
      <c r="H1" s="378" t="s">
        <v>68</v>
      </c>
      <c r="J1" s="243"/>
      <c r="K1" s="390" t="s">
        <v>2954</v>
      </c>
    </row>
    <row r="2" spans="1:15" ht="15" customHeight="1">
      <c r="A2" s="26" t="s">
        <v>1105</v>
      </c>
      <c r="B2" s="540">
        <v>180</v>
      </c>
      <c r="E2">
        <v>80</v>
      </c>
      <c r="G2" s="50" t="s">
        <v>1286</v>
      </c>
      <c r="H2" s="50" t="s">
        <v>1286</v>
      </c>
      <c r="I2" s="450">
        <v>5958</v>
      </c>
    </row>
    <row r="3" spans="1:15" ht="15" customHeight="1">
      <c r="A3" s="26" t="s">
        <v>1107</v>
      </c>
      <c r="B3" s="540">
        <v>280</v>
      </c>
      <c r="E3">
        <f>IF(B4&gt;0,ROUND(B2/B4,0),0)</f>
        <v>90</v>
      </c>
      <c r="G3" s="50" t="s">
        <v>1287</v>
      </c>
      <c r="H3" s="50" t="s">
        <v>1287</v>
      </c>
      <c r="I3" s="450">
        <v>5958</v>
      </c>
    </row>
    <row r="4" spans="1:15" ht="15" customHeight="1">
      <c r="A4" s="26" t="s">
        <v>1288</v>
      </c>
      <c r="B4" s="23">
        <f>IFERROR(VALUE(LEFT(B5,FIND("บาน",B5)-1)),2)</f>
        <v>2</v>
      </c>
      <c r="E4" t="str">
        <f>IF($B$4&lt;=0,"—",IF(E3&lt;=E2,"OK ใช้ได้","!! กว้าง/บาน "&amp;E3&amp;" ซม. เกิน "&amp;E2&amp;" — ควรใช้ "&amp;ROUNDUP($B$2/E2,0)&amp;" บานขึ้นไป"))</f>
        <v>!! กว้าง/บาน 90 ซม. เกิน 80 — ควรใช้ 3 บานขึ้นไป</v>
      </c>
      <c r="G4" s="589" t="s">
        <v>1289</v>
      </c>
      <c r="H4" s="50" t="s">
        <v>1289</v>
      </c>
      <c r="I4" s="450">
        <v>5958</v>
      </c>
    </row>
    <row r="5" spans="1:15" ht="15" customHeight="1">
      <c r="A5" s="26" t="s">
        <v>1290</v>
      </c>
      <c r="B5" s="549" t="s">
        <v>1286</v>
      </c>
      <c r="G5" s="50" t="s">
        <v>1291</v>
      </c>
      <c r="H5" s="50" t="s">
        <v>1291</v>
      </c>
      <c r="I5" s="450">
        <v>7504</v>
      </c>
    </row>
    <row r="6" spans="1:15" ht="15" customHeight="1">
      <c r="A6" s="26" t="s">
        <v>1292</v>
      </c>
      <c r="B6" s="540" t="s">
        <v>3174</v>
      </c>
      <c r="G6" s="50" t="s">
        <v>1293</v>
      </c>
      <c r="H6" s="50" t="s">
        <v>1293</v>
      </c>
      <c r="I6" s="450">
        <v>9112</v>
      </c>
    </row>
    <row r="7" spans="1:15" ht="15" customHeight="1">
      <c r="A7" s="26" t="s">
        <v>1114</v>
      </c>
      <c r="B7" s="26">
        <f>(B2/100)*(B3/100)</f>
        <v>5.04</v>
      </c>
      <c r="G7" s="50" t="s">
        <v>1294</v>
      </c>
      <c r="H7" s="50" t="s">
        <v>1294</v>
      </c>
      <c r="I7" s="450">
        <v>9112</v>
      </c>
    </row>
    <row r="8" spans="1:15" ht="15" customHeight="1">
      <c r="A8" s="26" t="s">
        <v>1116</v>
      </c>
      <c r="B8" s="384">
        <f>$B$138</f>
        <v>62</v>
      </c>
      <c r="C8" s="588" t="s">
        <v>2702</v>
      </c>
      <c r="G8" s="50" t="s">
        <v>1295</v>
      </c>
      <c r="H8" s="50" t="s">
        <v>1295</v>
      </c>
      <c r="I8" s="450">
        <v>7504</v>
      </c>
    </row>
    <row r="9" spans="1:15" ht="15" customHeight="1">
      <c r="A9" s="26" t="s">
        <v>1119</v>
      </c>
      <c r="B9" s="540">
        <v>90</v>
      </c>
      <c r="G9" s="50" t="s">
        <v>1296</v>
      </c>
      <c r="H9" s="50" t="s">
        <v>1296</v>
      </c>
      <c r="I9" s="450">
        <v>10308</v>
      </c>
    </row>
    <row r="10" spans="1:15" ht="15" customHeight="1">
      <c r="A10" s="26" t="s">
        <v>1120</v>
      </c>
      <c r="B10" s="540" t="s">
        <v>733</v>
      </c>
      <c r="C10" s="32">
        <f>INDEX(ราคากระจก!$B$3:$B$206,MATCH(B10,ราคากระจก!$A$3:$A$206,0))</f>
        <v>264</v>
      </c>
      <c r="D10" s="26" t="s">
        <v>1121</v>
      </c>
      <c r="E10" s="26" t="s">
        <v>1122</v>
      </c>
      <c r="F10" s="584" t="s">
        <v>1123</v>
      </c>
      <c r="G10" s="50"/>
      <c r="H10" s="50" t="s">
        <v>1297</v>
      </c>
      <c r="I10" s="450">
        <v>9658</v>
      </c>
    </row>
    <row r="11" spans="1:15" ht="15" customHeight="1">
      <c r="A11" s="51" t="s">
        <v>470</v>
      </c>
      <c r="B11" s="540" t="s">
        <v>1124</v>
      </c>
      <c r="C11" s="540" t="s">
        <v>1125</v>
      </c>
      <c r="D11" s="51" t="s">
        <v>1126</v>
      </c>
      <c r="G11" s="52" t="s">
        <v>1298</v>
      </c>
      <c r="H11" s="52" t="s">
        <v>1298</v>
      </c>
      <c r="I11" s="451">
        <v>11916</v>
      </c>
    </row>
    <row r="12" spans="1:15" ht="15" customHeight="1">
      <c r="A12" s="36" t="s">
        <v>1299</v>
      </c>
      <c r="B12" s="36">
        <f>IF(FLOOR(6.4/(B2/100),1)&gt;=1,ROUNDUP(1/FLOOR(6.4/(B2/100),1),0),ROUNDUP((B2/100)/6.4,0))</f>
        <v>1</v>
      </c>
      <c r="C12" s="32">
        <f>IF(F10="สีอบขาว/ดำ",IFERROR(VLOOKUP("B24001",ราคาสี!$A:$D,4,0),2105),IF(OR(F10="เทาซาฮาร่า",F10="สีดำซาฮาร่า"),VLOOKUP("B24001",ราคาสี!$A:$F,5,0),IF(F10="ลายไม้ stock",(VLOOKUP("B24001",ราคาสี!$A:$H,8,0)*mult_wood/mult_euro),IFERROR(VLOOKUP("B24001",ราคาสี!$A:$D,4,0),2105)+IF(F10="สีอบพิเศษ",rate_special,rate_woodbake)*น้ำหนักโปรไฟล์!$C$296)))</f>
        <v>2105</v>
      </c>
      <c r="D12" s="32">
        <f t="shared" ref="D12:D20" si="0">B12*C12*mult_euro</f>
        <v>2105</v>
      </c>
      <c r="G12" s="53" t="s">
        <v>1300</v>
      </c>
      <c r="H12" s="53" t="s">
        <v>1300</v>
      </c>
      <c r="I12" s="452">
        <v>9658</v>
      </c>
      <c r="L12" s="663" t="s">
        <v>1301</v>
      </c>
      <c r="M12" s="650"/>
      <c r="N12" s="650"/>
      <c r="O12" s="650"/>
    </row>
    <row r="13" spans="1:15" ht="15" customHeight="1">
      <c r="A13" s="36" t="s">
        <v>1302</v>
      </c>
      <c r="B13" s="36">
        <f>IF(FLOOR(6.4/(B2/100),1)&gt;=1,ROUNDUP(1/FLOOR(6.4/(B2/100),1),0),ROUNDUP((B2/100)/6.4,0))</f>
        <v>1</v>
      </c>
      <c r="C13" s="32">
        <f>IF(F10="สีอบขาว/ดำ",IFERROR(VLOOKUP("B24002",ราคาสี!$A:$D,4,0),320),IF(OR(F10="เทาซาฮาร่า",F10="สีดำซาฮาร่า"),VLOOKUP("B24002",ราคาสี!$A:$F,5,0),IF(F10="ลายไม้ stock",(VLOOKUP("B24002",ราคาสี!$A:$H,8,0)*mult_wood/mult_euro),IFERROR(VLOOKUP("B24002",ราคาสี!$A:$D,4,0),320)+IF(F10="สีอบพิเศษ",rate_special,rate_woodbake)*น้ำหนักโปรไฟล์!$C$297)))</f>
        <v>320</v>
      </c>
      <c r="D13" s="32">
        <f t="shared" si="0"/>
        <v>320</v>
      </c>
      <c r="G13" s="53" t="s">
        <v>1303</v>
      </c>
      <c r="H13" s="53" t="s">
        <v>1303</v>
      </c>
      <c r="I13" s="452">
        <v>10308</v>
      </c>
      <c r="L13" s="271" t="s">
        <v>1147</v>
      </c>
      <c r="M13" s="612" t="s">
        <v>674</v>
      </c>
    </row>
    <row r="14" spans="1:15" ht="15" customHeight="1">
      <c r="A14" s="36" t="s">
        <v>3175</v>
      </c>
      <c r="B14" s="36">
        <f>IF(FLOOR(6.4/(B2/100),1)&gt;=1,ROUNDUP(1/FLOOR(6.4/(B2/100),1),0),ROUNDUP((B2/100)/6.4,0))</f>
        <v>1</v>
      </c>
      <c r="C14" s="32">
        <f>IF(B6="ธรณีหลังเต่า",IF(F10="สีอบขาว/ดำ",IFERROR(VLOOKUP("B24018",ราคาสี!$A:$D,4,0),905),IF(OR(F10="เทาซาฮาร่า",F10="สีดำซาฮาร่า"),VLOOKUP("B24018",ราคาสี!$A:$F,5,0),IF(F10="ลายไม้ stock",(VLOOKUP("B24018",ราคาสี!$A:$H,8,0)*mult_wood/mult_euro),IFERROR(VLOOKUP("B24018",ราคาสี!$A:$D,4,0),905)+IF(F10="สีอบพิเศษ",rate_special,rate_woodbake)*น้ำหนักโปรไฟล์!$C$299))),IF(B6="รางยู",IF(F10="สีอบขาว/ดำ",305,IF(OR(F10="เทาซาฮาร่า",F10="สีดำซาฮาร่า"),VLOOKUP("B24017",ราคาสี!$A:$F,5,0),IF(F10="ลายไม้ stock",(VLOOKUP("B24017",ราคาสี!$A:$H,8,0)*mult_wood/mult_euro),305+IF(F10="สีอบพิเศษ",rate_special,rate_woodbake)*น้ำหนักโปรไฟล์!$C$298))),IF(F10="สีอบขาว/ดำ",1445,IF(OR(F10="เทาซาฮาร่า",F10="สีดำซาฮาร่า"),VLOOKUP("B24003",ราคาสี!$A:$F,5,0),IF(F10="ลายไม้ stock",(VLOOKUP("B24003",ราคาสี!$A:$H,8,0)*mult_wood/mult_euro),1445+IF(F10="สีอบพิเศษ",rate_special,rate_woodbake)*น้ำหนักโปรไฟล์!$C$300)))))</f>
        <v>1445</v>
      </c>
      <c r="D14" s="32">
        <f t="shared" si="0"/>
        <v>1445</v>
      </c>
      <c r="G14" s="53" t="s">
        <v>1304</v>
      </c>
      <c r="H14" s="53" t="s">
        <v>1304</v>
      </c>
      <c r="I14" s="452">
        <v>12034</v>
      </c>
      <c r="L14" s="271" t="s">
        <v>1305</v>
      </c>
      <c r="M14" s="271">
        <f>IF(M13="ไม่มีมุ้ง",0,ROUND((VLOOKUP(M13,ราคามุ้ง!$A:$F,2,0)+VLOOKUP(M13,ราคามุ้ง!$A:$F,6,0))*B7,0))</f>
        <v>0</v>
      </c>
    </row>
    <row r="15" spans="1:15" ht="15" customHeight="1">
      <c r="A15" s="36" t="s">
        <v>1306</v>
      </c>
      <c r="B15" s="36">
        <f>IF(FLOOR(6.4/(B2/100),1)&gt;=1,ROUNDUP(1/FLOOR(6.4/(B2/100),1),0),ROUNDUP((B2/100)/6.4,0))</f>
        <v>1</v>
      </c>
      <c r="C15" s="32">
        <f>IF(F10="สีอบขาว/ดำ",IFERROR(VLOOKUP("B24004",ราคาสี!$A:$D,4,0),570),IF(OR(F10="เทาซาฮาร่า",F10="สีดำซาฮาร่า"),VLOOKUP("B24004",ราคาสี!$A:$F,5,0),IF(F10="ลายไม้ stock",(VLOOKUP("B24004",ราคาสี!$A:$H,8,0)*mult_wood/mult_euro),IFERROR(VLOOKUP("B24004",ราคาสี!$A:$D,4,0),570)+IF(F10="สีอบพิเศษ",rate_special,rate_woodbake)*น้ำหนักโปรไฟล์!$C$301)))</f>
        <v>570</v>
      </c>
      <c r="D15" s="32">
        <f t="shared" si="0"/>
        <v>570</v>
      </c>
      <c r="G15" s="53" t="s">
        <v>1307</v>
      </c>
      <c r="H15" s="53" t="s">
        <v>1307</v>
      </c>
      <c r="I15" s="452">
        <v>13462</v>
      </c>
    </row>
    <row r="16" spans="1:15" ht="15" customHeight="1">
      <c r="A16" s="36" t="s">
        <v>1308</v>
      </c>
      <c r="B16" s="36">
        <f>IF(FLOOR(6.4/(B3/100),1)&gt;=1,ROUNDUP(2/FLOOR(6.4/(B3/100),1),0),ROUNDUP((B3/100)/6.4,0)*2)</f>
        <v>1</v>
      </c>
      <c r="C16" s="32">
        <f>IF(F10="สีอบขาว/ดำ",IFERROR(VLOOKUP("B24005",ราคาสี!$A:$D,4,0),1000),IF(OR(F10="เทาซาฮาร่า",F10="สีดำซาฮาร่า"),VLOOKUP("B24005",ราคาสี!$A:$F,5,0),IF(F10="ลายไม้ stock",(VLOOKUP("B24005",ราคาสี!$A:$H,8,0)*mult_wood/mult_euro),IFERROR(VLOOKUP("B24005",ราคาสี!$A:$D,4,0),1000)+IF(F10="สีอบพิเศษ",rate_special,rate_woodbake)*น้ำหนักโปรไฟล์!$C$302)))</f>
        <v>1000</v>
      </c>
      <c r="D16" s="32">
        <f t="shared" si="0"/>
        <v>1000</v>
      </c>
      <c r="G16" s="53" t="s">
        <v>1309</v>
      </c>
      <c r="H16" s="53" t="s">
        <v>1309</v>
      </c>
      <c r="I16" s="452">
        <v>13462</v>
      </c>
    </row>
    <row r="17" spans="1:11" ht="15" customHeight="1">
      <c r="A17" s="36" t="s">
        <v>1310</v>
      </c>
      <c r="B17" s="36">
        <f>IF(FLOOR(6.4/(B3/100),1)&gt;=1,ROUNDUP(2/FLOOR(6.4/(B3/100),1),0),ROUNDUP((B3/100)/6.4,0)*2)</f>
        <v>1</v>
      </c>
      <c r="C17" s="32">
        <f>IF(F10="สีอบขาว/ดำ",IFERROR(VLOOKUP("B24006",ราคาสี!$A:$D,4,0),280),IF(OR(F10="เทาซาฮาร่า",F10="สีดำซาฮาร่า"),VLOOKUP("B24006",ราคาสี!$A:$F,5,0),IF(F10="ลายไม้ stock",(VLOOKUP("B24006",ราคาสี!$A:$H,8,0)*mult_wood/mult_euro),IFERROR(VLOOKUP("B24006",ราคาสี!$A:$D,4,0),280)+IF(F10="สีอบพิเศษ",rate_special,rate_woodbake)*น้ำหนักโปรไฟล์!$C$303)))</f>
        <v>280</v>
      </c>
      <c r="D17" s="32">
        <f t="shared" si="0"/>
        <v>280</v>
      </c>
      <c r="G17" s="53" t="s">
        <v>1311</v>
      </c>
      <c r="H17" s="53" t="s">
        <v>1311</v>
      </c>
      <c r="I17" s="452">
        <v>13462</v>
      </c>
    </row>
    <row r="18" spans="1:11" ht="15" customHeight="1">
      <c r="A18" s="36" t="s">
        <v>1312</v>
      </c>
      <c r="B18" s="36">
        <f>(2*((B3/100)*B4+(B2/100))/6.4)*buf_scrap</f>
        <v>3.0062499999999996</v>
      </c>
      <c r="C18" s="32">
        <f>IF(F10="สีอบขาว/ดำ",IFERROR(VLOOKUP("B24007",ราคาสี!$A:$D,4,0),1210),IF(OR(F10="เทาซาฮาร่า",F10="สีดำซาฮาร่า"),VLOOKUP("B24007",ราคาสี!$A:$F,5,0),IF(F10="ลายไม้ stock",(VLOOKUP("B24007",ราคาสี!$A:$H,8,0)*mult_wood/mult_euro),IFERROR(VLOOKUP("B24007",ราคาสี!$A:$D,4,0),1210)+IF(F10="สีอบพิเศษ",rate_special,rate_woodbake)*น้ำหนักโปรไฟล์!$C$304)))</f>
        <v>1210</v>
      </c>
      <c r="D18" s="32">
        <f t="shared" si="0"/>
        <v>3637.5624999999995</v>
      </c>
      <c r="G18" s="53" t="s">
        <v>1313</v>
      </c>
      <c r="H18" s="53" t="s">
        <v>1313</v>
      </c>
      <c r="I18" s="452">
        <v>13462</v>
      </c>
    </row>
    <row r="19" spans="1:11" ht="15" customHeight="1">
      <c r="A19" s="36" t="s">
        <v>1314</v>
      </c>
      <c r="B19" s="36">
        <f>(2*((B3/100)*B4+(B2/100))/6.4)*buf_scrap</f>
        <v>3.0062499999999996</v>
      </c>
      <c r="C19" s="32">
        <f>IF(F10="สีอบขาว/ดำ",IFERROR(VLOOKUP("B24008",ราคาสี!$A:$D,4,0),265),IF(OR(F10="เทาซาฮาร่า",F10="สีดำซาฮาร่า"),VLOOKUP("B24008",ราคาสี!$A:$F,5,0),IF(F10="ลายไม้ stock",(VLOOKUP("B24008",ราคาสี!$A:$H,8,0)*mult_wood/mult_euro),IFERROR(VLOOKUP("B24008",ราคาสี!$A:$D,4,0),265)+IF(F10="สีอบพิเศษ",rate_special,rate_woodbake)*น้ำหนักโปรไฟล์!$C$305)))</f>
        <v>265</v>
      </c>
      <c r="D19" s="32">
        <f t="shared" si="0"/>
        <v>796.65624999999989</v>
      </c>
      <c r="G19" s="53" t="s">
        <v>1315</v>
      </c>
      <c r="H19" s="53" t="s">
        <v>1315</v>
      </c>
      <c r="I19" s="452">
        <v>12034</v>
      </c>
    </row>
    <row r="20" spans="1:11" ht="15" customHeight="1">
      <c r="A20" s="36" t="s">
        <v>1316</v>
      </c>
      <c r="B20" s="36">
        <f>IF(ISEVEN(B4),((B3/100)/6.4)*buf_scrap,0)</f>
        <v>0.56874999999999998</v>
      </c>
      <c r="C20" s="32">
        <f>IF(F10="สีอบขาว/ดำ",IFERROR(VLOOKUP("B24009",ราคาสี!$A:$D,4,0),325),IF(OR(F10="เทาซาฮาร่า",F10="สีดำซาฮาร่า"),VLOOKUP("B24009",ราคาสี!$A:$F,5,0),IF(F10="ลายไม้ stock",(VLOOKUP("B24009",ราคาสี!$A:$H,8,0)*mult_wood/mult_euro),IFERROR(VLOOKUP("B24009",ราคาสี!$A:$D,4,0),325)+IF(F10="สีอบพิเศษ",rate_special,rate_woodbake)*น้ำหนักโปรไฟล์!$C$306)))</f>
        <v>270</v>
      </c>
      <c r="D20" s="32">
        <f t="shared" si="0"/>
        <v>153.5625</v>
      </c>
      <c r="G20" s="53" t="s">
        <v>1317</v>
      </c>
      <c r="H20" s="53" t="s">
        <v>1317</v>
      </c>
      <c r="I20" s="452">
        <v>14838</v>
      </c>
    </row>
    <row r="21" spans="1:11" ht="15" customHeight="1">
      <c r="A21" s="36" t="s">
        <v>1266</v>
      </c>
      <c r="B21" s="36">
        <f>ROUND(2*((B3/100)*B4+(B2/100)),1)</f>
        <v>14.8</v>
      </c>
      <c r="C21" s="32">
        <v>11</v>
      </c>
      <c r="D21" s="32">
        <f>B21*C21</f>
        <v>162.80000000000001</v>
      </c>
      <c r="G21" s="53" t="s">
        <v>1318</v>
      </c>
      <c r="H21" s="53" t="s">
        <v>1318</v>
      </c>
      <c r="I21" s="452">
        <v>14008</v>
      </c>
    </row>
    <row r="22" spans="1:11" ht="15" customHeight="1">
      <c r="A22" s="36" t="s">
        <v>1128</v>
      </c>
      <c r="B22" s="36">
        <f>B7</f>
        <v>5.04</v>
      </c>
      <c r="C22" s="32">
        <f>INDEX(ราคากระจก!$B$3:$B$206,MATCH(B10,ราคากระจก!$A$3:$A$206,0))</f>
        <v>264</v>
      </c>
      <c r="D22" s="32">
        <f>B22*C22</f>
        <v>1330.56</v>
      </c>
      <c r="G22" s="53" t="s">
        <v>1319</v>
      </c>
      <c r="H22" s="53" t="s">
        <v>1319</v>
      </c>
      <c r="I22" s="452">
        <v>14008</v>
      </c>
    </row>
    <row r="23" spans="1:11" ht="15" customHeight="1">
      <c r="A23" s="36" t="s">
        <v>1320</v>
      </c>
      <c r="B23" s="36">
        <v>1</v>
      </c>
      <c r="C23" s="54">
        <f>IFERROR(INDEX($I$2:$I$99,MATCH(B5,$H$2:$H$99,0)),5958)</f>
        <v>5958</v>
      </c>
      <c r="D23" s="32">
        <f>B23*C23</f>
        <v>5958</v>
      </c>
      <c r="E23" s="36" t="s">
        <v>1321</v>
      </c>
      <c r="G23" s="53" t="s">
        <v>1322</v>
      </c>
      <c r="H23" s="53" t="s">
        <v>1322</v>
      </c>
      <c r="I23" s="452">
        <v>14008</v>
      </c>
    </row>
    <row r="24" spans="1:11" ht="15" customHeight="1">
      <c r="A24" s="36" t="s">
        <v>1134</v>
      </c>
      <c r="B24" s="36">
        <f>ROUNDUP(2*((B2/100)+(B3/100))*2/12.5,0)</f>
        <v>2</v>
      </c>
      <c r="C24" s="32">
        <f>B9</f>
        <v>90</v>
      </c>
      <c r="D24" s="32">
        <f>B24*C24</f>
        <v>180</v>
      </c>
      <c r="G24" s="53" t="s">
        <v>1323</v>
      </c>
      <c r="H24" s="53" t="s">
        <v>1323</v>
      </c>
      <c r="I24" s="452">
        <v>14008</v>
      </c>
    </row>
    <row r="25" spans="1:11" ht="15" customHeight="1">
      <c r="A25" s="36" t="s">
        <v>1135</v>
      </c>
      <c r="B25" s="36">
        <f>IF(OR(F10="สีอบพิเศษ",F10="สีลายไม้อบพิเศษ"),1,0)</f>
        <v>0</v>
      </c>
      <c r="C25" s="32">
        <f>อัปเดตราคาอลู!$B$17</f>
        <v>2000</v>
      </c>
      <c r="D25" s="32">
        <f>B25*C25</f>
        <v>0</v>
      </c>
      <c r="E25" s="36" t="s">
        <v>1136</v>
      </c>
      <c r="I25" s="423"/>
    </row>
    <row r="26" spans="1:11" ht="15" customHeight="1">
      <c r="A26" s="45" t="s">
        <v>1137</v>
      </c>
      <c r="D26" s="46">
        <f>SUM(D12:D25)+D128+IF(B6="รางยู",ROUND(200*B2/100,0),0)+M14</f>
        <v>17939.141250000001</v>
      </c>
      <c r="G26" s="53" t="s">
        <v>1324</v>
      </c>
      <c r="H26" s="53" t="s">
        <v>1324</v>
      </c>
      <c r="I26" s="452">
        <v>14008</v>
      </c>
      <c r="J26" s="283" t="s">
        <v>1138</v>
      </c>
    </row>
    <row r="27" spans="1:11" ht="15" customHeight="1">
      <c r="A27" s="45" t="s">
        <v>1045</v>
      </c>
      <c r="D27" s="46">
        <f>IFERROR(D26/B7,0)</f>
        <v>3559.3534226190477</v>
      </c>
      <c r="G27" s="53" t="s">
        <v>1325</v>
      </c>
      <c r="H27" s="53" t="s">
        <v>1325</v>
      </c>
      <c r="I27" s="452">
        <v>14838</v>
      </c>
      <c r="J27" s="284" t="s">
        <v>1139</v>
      </c>
      <c r="K27" s="285">
        <f>D12+D13+D14+D15+D16+D17+D18+D20+D24</f>
        <v>9691.125</v>
      </c>
    </row>
    <row r="28" spans="1:11" ht="15" customHeight="1">
      <c r="A28" s="45" t="s">
        <v>1140</v>
      </c>
      <c r="D28" s="24">
        <f>ROUNDUP(D26*(1+B8/100)/100,0)*100</f>
        <v>29100</v>
      </c>
      <c r="G28" s="53" t="s">
        <v>1326</v>
      </c>
      <c r="H28" s="53" t="s">
        <v>1326</v>
      </c>
      <c r="I28" s="452">
        <v>17812</v>
      </c>
      <c r="J28" s="286" t="s">
        <v>1141</v>
      </c>
      <c r="K28" s="287">
        <f>D19+D22</f>
        <v>2127.2162499999999</v>
      </c>
    </row>
    <row r="29" spans="1:11" ht="15" customHeight="1">
      <c r="A29" s="45" t="s">
        <v>1143</v>
      </c>
      <c r="D29" s="24">
        <f>D28</f>
        <v>29100</v>
      </c>
      <c r="G29" s="53" t="s">
        <v>1327</v>
      </c>
      <c r="H29" s="53" t="s">
        <v>1327</v>
      </c>
      <c r="I29" s="452">
        <v>17812</v>
      </c>
      <c r="J29" s="286" t="s">
        <v>1142</v>
      </c>
      <c r="K29" s="287">
        <f>D21+D23+D25</f>
        <v>6120.8</v>
      </c>
    </row>
    <row r="30" spans="1:11">
      <c r="G30" s="53" t="s">
        <v>1328</v>
      </c>
      <c r="H30" s="53" t="s">
        <v>1328</v>
      </c>
      <c r="I30" s="452">
        <v>17812</v>
      </c>
      <c r="J30" s="286" t="s">
        <v>1144</v>
      </c>
      <c r="K30" s="288">
        <f>K27+K28+K29</f>
        <v>17939.141250000001</v>
      </c>
    </row>
    <row r="31" spans="1:11" ht="15" customHeight="1">
      <c r="A31" s="45" t="s">
        <v>1329</v>
      </c>
      <c r="G31" s="53" t="s">
        <v>1330</v>
      </c>
      <c r="H31" s="53" t="s">
        <v>1330</v>
      </c>
      <c r="I31" s="452">
        <v>17812</v>
      </c>
    </row>
    <row r="32" spans="1:11" ht="15" customHeight="1">
      <c r="G32" s="53" t="s">
        <v>1331</v>
      </c>
      <c r="H32" s="53" t="s">
        <v>1331</v>
      </c>
      <c r="I32" s="452">
        <v>17812</v>
      </c>
    </row>
    <row r="33" spans="1:9" ht="15" customHeight="1">
      <c r="A33" s="445" t="s">
        <v>2953</v>
      </c>
      <c r="B33" s="7"/>
      <c r="C33" s="7"/>
      <c r="D33" s="7"/>
      <c r="G33" s="53" t="s">
        <v>1332</v>
      </c>
      <c r="H33" s="53" t="s">
        <v>1332</v>
      </c>
      <c r="I33" s="452">
        <v>17812</v>
      </c>
    </row>
    <row r="34" spans="1:9" ht="15" customHeight="1">
      <c r="A34" s="55" t="s">
        <v>399</v>
      </c>
      <c r="B34" s="55" t="s">
        <v>1333</v>
      </c>
      <c r="C34" s="55" t="s">
        <v>1334</v>
      </c>
      <c r="D34" s="7"/>
      <c r="G34" s="53" t="s">
        <v>1335</v>
      </c>
      <c r="H34" s="53" t="s">
        <v>1335</v>
      </c>
      <c r="I34" s="452">
        <v>17812</v>
      </c>
    </row>
    <row r="35" spans="1:9" ht="15" customHeight="1">
      <c r="A35" s="56">
        <v>2</v>
      </c>
      <c r="B35" s="36" t="s">
        <v>1336</v>
      </c>
      <c r="C35" s="446">
        <v>5958</v>
      </c>
      <c r="D35" s="7"/>
      <c r="G35" s="53" t="s">
        <v>1337</v>
      </c>
      <c r="H35" s="53" t="s">
        <v>1337</v>
      </c>
      <c r="I35" s="452">
        <v>17812</v>
      </c>
    </row>
    <row r="36" spans="1:9" ht="15" customHeight="1">
      <c r="A36" s="56">
        <v>3</v>
      </c>
      <c r="B36" s="36" t="s">
        <v>1338</v>
      </c>
      <c r="C36" s="446">
        <v>7504</v>
      </c>
      <c r="D36" s="7"/>
      <c r="G36" s="53" t="s">
        <v>1339</v>
      </c>
      <c r="H36" s="53" t="s">
        <v>1339</v>
      </c>
      <c r="I36" s="452">
        <v>18358</v>
      </c>
    </row>
    <row r="37" spans="1:9" ht="15" customHeight="1">
      <c r="A37" s="56">
        <v>3</v>
      </c>
      <c r="B37" s="36" t="s">
        <v>1340</v>
      </c>
      <c r="C37" s="446">
        <v>9112</v>
      </c>
      <c r="D37" s="7"/>
      <c r="G37" s="53" t="s">
        <v>1341</v>
      </c>
      <c r="H37" s="53" t="s">
        <v>1341</v>
      </c>
      <c r="I37" s="452">
        <v>18358</v>
      </c>
    </row>
    <row r="38" spans="1:9" ht="15" customHeight="1">
      <c r="A38" s="56">
        <v>4</v>
      </c>
      <c r="B38" s="36" t="s">
        <v>1342</v>
      </c>
      <c r="C38" s="446">
        <v>10308</v>
      </c>
      <c r="D38" s="7"/>
      <c r="G38" s="53" t="s">
        <v>1343</v>
      </c>
      <c r="H38" s="53" t="s">
        <v>1343</v>
      </c>
      <c r="I38" s="452">
        <v>18358</v>
      </c>
    </row>
    <row r="39" spans="1:9" ht="15" customHeight="1">
      <c r="A39" s="56">
        <v>4</v>
      </c>
      <c r="B39" s="36" t="s">
        <v>1344</v>
      </c>
      <c r="C39" s="446">
        <v>9658</v>
      </c>
      <c r="D39" s="7"/>
      <c r="G39" s="53" t="s">
        <v>1345</v>
      </c>
      <c r="H39" s="53" t="s">
        <v>1345</v>
      </c>
      <c r="I39" s="452">
        <v>18358</v>
      </c>
    </row>
    <row r="40" spans="1:9" ht="15" customHeight="1">
      <c r="A40" s="56">
        <v>4</v>
      </c>
      <c r="B40" s="36" t="s">
        <v>1346</v>
      </c>
      <c r="C40" s="446">
        <v>11916</v>
      </c>
      <c r="D40" s="7"/>
      <c r="G40" s="53" t="s">
        <v>1347</v>
      </c>
      <c r="H40" s="53" t="s">
        <v>1347</v>
      </c>
      <c r="I40" s="452">
        <v>17358</v>
      </c>
    </row>
    <row r="41" spans="1:9" ht="15" customHeight="1">
      <c r="A41" s="56">
        <v>5</v>
      </c>
      <c r="B41" s="36" t="s">
        <v>1348</v>
      </c>
      <c r="C41" s="446">
        <v>12034</v>
      </c>
      <c r="D41" s="7"/>
      <c r="G41" s="53" t="s">
        <v>1349</v>
      </c>
      <c r="H41" s="53" t="s">
        <v>1349</v>
      </c>
      <c r="I41" s="452">
        <v>18358</v>
      </c>
    </row>
    <row r="42" spans="1:9" ht="15" customHeight="1">
      <c r="A42" s="56">
        <v>5</v>
      </c>
      <c r="B42" s="36" t="s">
        <v>1350</v>
      </c>
      <c r="C42" s="446">
        <v>13462</v>
      </c>
      <c r="D42" s="7"/>
      <c r="G42" s="53" t="s">
        <v>1351</v>
      </c>
      <c r="H42" s="53" t="s">
        <v>1351</v>
      </c>
      <c r="I42" s="452">
        <v>18358</v>
      </c>
    </row>
    <row r="43" spans="1:9" ht="15" customHeight="1">
      <c r="A43" s="56">
        <v>6</v>
      </c>
      <c r="B43" s="36" t="s">
        <v>1352</v>
      </c>
      <c r="C43" s="446">
        <v>14838</v>
      </c>
      <c r="D43" s="7"/>
      <c r="G43" s="53" t="s">
        <v>1353</v>
      </c>
      <c r="H43" s="53" t="s">
        <v>1353</v>
      </c>
      <c r="I43" s="452">
        <v>18358</v>
      </c>
    </row>
    <row r="44" spans="1:9" ht="15" customHeight="1">
      <c r="A44" s="56">
        <v>6</v>
      </c>
      <c r="B44" s="36" t="s">
        <v>1354</v>
      </c>
      <c r="C44" s="446">
        <v>14008</v>
      </c>
      <c r="D44" s="7"/>
      <c r="G44" s="53" t="s">
        <v>1355</v>
      </c>
      <c r="H44" s="53" t="s">
        <v>1355</v>
      </c>
      <c r="I44" s="452">
        <v>18358</v>
      </c>
    </row>
    <row r="45" spans="1:9" ht="15" customHeight="1">
      <c r="A45" s="56">
        <v>7</v>
      </c>
      <c r="B45" s="36" t="s">
        <v>1356</v>
      </c>
      <c r="C45" s="446">
        <v>17812</v>
      </c>
      <c r="D45" s="7"/>
      <c r="G45" s="53" t="s">
        <v>1357</v>
      </c>
      <c r="H45" s="53" t="s">
        <v>1357</v>
      </c>
      <c r="I45" s="453">
        <v>21300</v>
      </c>
    </row>
    <row r="46" spans="1:9" ht="15" customHeight="1">
      <c r="A46" s="56">
        <v>8</v>
      </c>
      <c r="B46" s="36" t="s">
        <v>1358</v>
      </c>
      <c r="C46" s="446">
        <v>17358</v>
      </c>
      <c r="D46" s="7"/>
      <c r="G46" s="53" t="s">
        <v>1359</v>
      </c>
      <c r="H46" s="53" t="s">
        <v>1359</v>
      </c>
      <c r="I46" s="453">
        <v>21300</v>
      </c>
    </row>
    <row r="47" spans="1:9" ht="15" customHeight="1">
      <c r="A47" s="56">
        <v>8</v>
      </c>
      <c r="B47" s="36" t="s">
        <v>1360</v>
      </c>
      <c r="C47" s="446">
        <v>18358</v>
      </c>
      <c r="D47" s="7"/>
      <c r="G47" s="53" t="s">
        <v>1361</v>
      </c>
      <c r="H47" s="53" t="s">
        <v>1361</v>
      </c>
      <c r="I47" s="453">
        <v>21300</v>
      </c>
    </row>
    <row r="48" spans="1:9" ht="15" customHeight="1">
      <c r="A48" s="56">
        <v>9</v>
      </c>
      <c r="B48" s="36" t="s">
        <v>1356</v>
      </c>
      <c r="C48" s="447">
        <v>21300</v>
      </c>
      <c r="D48" s="7"/>
      <c r="G48" s="53" t="s">
        <v>1362</v>
      </c>
      <c r="H48" s="53" t="s">
        <v>1362</v>
      </c>
      <c r="I48" s="453">
        <v>21300</v>
      </c>
    </row>
    <row r="49" spans="1:9" ht="15" customHeight="1">
      <c r="A49" s="56">
        <v>10</v>
      </c>
      <c r="B49" s="36" t="s">
        <v>1360</v>
      </c>
      <c r="C49" s="447">
        <v>23500</v>
      </c>
      <c r="D49" s="7"/>
      <c r="G49" s="53" t="s">
        <v>1363</v>
      </c>
      <c r="H49" s="53" t="s">
        <v>1363</v>
      </c>
      <c r="I49" s="453">
        <v>21300</v>
      </c>
    </row>
    <row r="50" spans="1:9" ht="15" customHeight="1">
      <c r="A50" s="56">
        <v>10</v>
      </c>
      <c r="B50" s="36" t="s">
        <v>1364</v>
      </c>
      <c r="C50" s="447">
        <v>19900</v>
      </c>
      <c r="D50" s="7"/>
      <c r="G50" s="53" t="s">
        <v>1365</v>
      </c>
      <c r="H50" s="53" t="s">
        <v>1365</v>
      </c>
      <c r="I50" s="453">
        <v>21300</v>
      </c>
    </row>
    <row r="51" spans="1:9" ht="15" customHeight="1">
      <c r="A51" s="56">
        <v>11</v>
      </c>
      <c r="B51" s="36" t="s">
        <v>1356</v>
      </c>
      <c r="C51" s="447">
        <v>25700</v>
      </c>
      <c r="D51" s="7"/>
      <c r="G51" s="53" t="s">
        <v>1366</v>
      </c>
      <c r="H51" s="53" t="s">
        <v>1366</v>
      </c>
      <c r="I51" s="453">
        <v>21300</v>
      </c>
    </row>
    <row r="52" spans="1:9" ht="15" customHeight="1">
      <c r="A52" s="56">
        <v>12</v>
      </c>
      <c r="B52" s="36" t="s">
        <v>1360</v>
      </c>
      <c r="C52" s="447">
        <v>28000</v>
      </c>
      <c r="D52" s="7"/>
      <c r="G52" s="53" t="s">
        <v>1367</v>
      </c>
      <c r="H52" s="53" t="s">
        <v>1367</v>
      </c>
      <c r="I52" s="453">
        <v>21300</v>
      </c>
    </row>
    <row r="53" spans="1:9" ht="15" customHeight="1">
      <c r="A53" s="56">
        <v>12</v>
      </c>
      <c r="B53" s="36" t="s">
        <v>1368</v>
      </c>
      <c r="C53" s="447">
        <v>22600</v>
      </c>
      <c r="D53" s="7"/>
      <c r="G53" s="53" t="s">
        <v>1369</v>
      </c>
      <c r="H53" s="53" t="s">
        <v>1369</v>
      </c>
      <c r="I53" s="453">
        <v>21300</v>
      </c>
    </row>
    <row r="54" spans="1:9" ht="15" customHeight="1">
      <c r="A54" s="36" t="s">
        <v>1370</v>
      </c>
      <c r="B54" s="7"/>
      <c r="C54" s="448"/>
      <c r="D54" s="7"/>
      <c r="G54" s="53" t="s">
        <v>1371</v>
      </c>
      <c r="H54" s="53" t="s">
        <v>1371</v>
      </c>
      <c r="I54" s="453">
        <v>21300</v>
      </c>
    </row>
    <row r="55" spans="1:9" ht="15" customHeight="1">
      <c r="A55" s="56" t="s">
        <v>399</v>
      </c>
      <c r="B55" s="56" t="s">
        <v>1372</v>
      </c>
      <c r="C55" s="449" t="s">
        <v>1334</v>
      </c>
      <c r="D55" s="7"/>
      <c r="G55" s="53" t="s">
        <v>1373</v>
      </c>
      <c r="H55" s="53" t="s">
        <v>1373</v>
      </c>
      <c r="I55" s="453">
        <v>23500</v>
      </c>
    </row>
    <row r="56" spans="1:9" ht="15" customHeight="1">
      <c r="A56" s="56">
        <v>9</v>
      </c>
      <c r="B56" s="36" t="s">
        <v>1374</v>
      </c>
      <c r="C56" s="446">
        <v>21300</v>
      </c>
      <c r="D56" s="7"/>
      <c r="G56" s="53" t="s">
        <v>1375</v>
      </c>
      <c r="H56" s="53" t="s">
        <v>1375</v>
      </c>
      <c r="I56" s="453">
        <v>23500</v>
      </c>
    </row>
    <row r="57" spans="1:9" ht="15" customHeight="1">
      <c r="A57" s="56">
        <v>10</v>
      </c>
      <c r="B57" s="36" t="s">
        <v>1376</v>
      </c>
      <c r="C57" s="446">
        <v>23500</v>
      </c>
      <c r="D57" s="7"/>
      <c r="G57" s="53" t="s">
        <v>1377</v>
      </c>
      <c r="H57" s="53" t="s">
        <v>1377</v>
      </c>
      <c r="I57" s="453">
        <v>23500</v>
      </c>
    </row>
    <row r="58" spans="1:9" ht="15" customHeight="1">
      <c r="A58" s="56">
        <v>10</v>
      </c>
      <c r="B58" s="36" t="s">
        <v>1364</v>
      </c>
      <c r="C58" s="446">
        <v>19900</v>
      </c>
      <c r="D58" s="7"/>
      <c r="G58" s="53" t="s">
        <v>1378</v>
      </c>
      <c r="H58" s="53" t="s">
        <v>1378</v>
      </c>
      <c r="I58" s="453">
        <v>23500</v>
      </c>
    </row>
    <row r="59" spans="1:9" ht="15" customHeight="1">
      <c r="A59" s="56">
        <v>11</v>
      </c>
      <c r="B59" s="36" t="s">
        <v>1379</v>
      </c>
      <c r="C59" s="446">
        <v>25700</v>
      </c>
      <c r="D59" s="7"/>
      <c r="G59" s="53" t="s">
        <v>1380</v>
      </c>
      <c r="H59" s="53" t="s">
        <v>1380</v>
      </c>
      <c r="I59" s="453">
        <v>23500</v>
      </c>
    </row>
    <row r="60" spans="1:9" ht="15" customHeight="1">
      <c r="A60" s="56">
        <v>12</v>
      </c>
      <c r="B60" s="36" t="s">
        <v>1381</v>
      </c>
      <c r="C60" s="446">
        <v>28000</v>
      </c>
      <c r="D60" s="7"/>
      <c r="G60" s="53" t="s">
        <v>1382</v>
      </c>
      <c r="H60" s="53" t="s">
        <v>1382</v>
      </c>
      <c r="I60" s="453">
        <v>19900</v>
      </c>
    </row>
    <row r="61" spans="1:9" ht="15" customHeight="1">
      <c r="A61" s="56">
        <v>12</v>
      </c>
      <c r="B61" s="36" t="s">
        <v>1368</v>
      </c>
      <c r="C61" s="446">
        <v>22600</v>
      </c>
      <c r="D61" s="7"/>
      <c r="G61" s="53" t="s">
        <v>1383</v>
      </c>
      <c r="H61" s="53" t="s">
        <v>1383</v>
      </c>
      <c r="I61" s="453">
        <v>23500</v>
      </c>
    </row>
    <row r="62" spans="1:9" ht="15" customHeight="1">
      <c r="A62" s="7"/>
      <c r="B62" s="7"/>
      <c r="C62" s="7"/>
      <c r="D62" s="7"/>
      <c r="G62" s="53" t="s">
        <v>1384</v>
      </c>
      <c r="H62" s="53" t="s">
        <v>1384</v>
      </c>
      <c r="I62" s="453">
        <v>23500</v>
      </c>
    </row>
    <row r="63" spans="1:9" ht="15" customHeight="1">
      <c r="A63" s="21" t="s">
        <v>1157</v>
      </c>
      <c r="B63" s="7"/>
      <c r="C63" s="7"/>
      <c r="D63" s="7"/>
      <c r="G63" s="53" t="s">
        <v>1385</v>
      </c>
      <c r="H63" s="53" t="s">
        <v>1385</v>
      </c>
      <c r="I63" s="453">
        <v>23500</v>
      </c>
    </row>
    <row r="64" spans="1:9" ht="15" customHeight="1">
      <c r="A64" s="40" t="s">
        <v>1158</v>
      </c>
      <c r="B64" s="7"/>
      <c r="C64" s="7"/>
      <c r="D64" s="22">
        <f>ROUND(VLOOKUP("บานเฟี้ยม (sms)",ค่าแรง!$A$12:$N$117,2,0)*B4,0)</f>
        <v>1050</v>
      </c>
      <c r="E64" s="244" t="s">
        <v>1386</v>
      </c>
      <c r="G64" s="53" t="s">
        <v>1387</v>
      </c>
      <c r="H64" s="53" t="s">
        <v>1387</v>
      </c>
      <c r="I64" s="453">
        <v>23500</v>
      </c>
    </row>
    <row r="65" spans="1:9" ht="15" customHeight="1">
      <c r="A65" s="40" t="s">
        <v>1159</v>
      </c>
      <c r="B65" s="7"/>
      <c r="C65" s="7"/>
      <c r="D65" s="22">
        <f>ROUND(VLOOKUP("บานเฟี้ยม (sms)",ค่าแรง!$A$12:$N$117,4,0)*B4,0)</f>
        <v>1050</v>
      </c>
      <c r="E65" s="244" t="s">
        <v>1386</v>
      </c>
      <c r="G65" s="53" t="s">
        <v>1388</v>
      </c>
      <c r="H65" s="53" t="s">
        <v>1388</v>
      </c>
      <c r="I65" s="453">
        <v>23500</v>
      </c>
    </row>
    <row r="66" spans="1:9">
      <c r="G66" s="53" t="s">
        <v>1389</v>
      </c>
      <c r="H66" s="53" t="s">
        <v>1389</v>
      </c>
      <c r="I66" s="453">
        <v>25700</v>
      </c>
    </row>
    <row r="67" spans="1:9" ht="15" customHeight="1">
      <c r="A67" s="21" t="s">
        <v>1160</v>
      </c>
      <c r="B67" s="7"/>
      <c r="C67" s="7"/>
      <c r="D67" s="24">
        <f>ROUNDUP((ROUNDUP((ROUNDUP(D26*(1+B8/100)/100,0)*100+ROUNDUP(D64*(1+B139/100)/100,0)*100)*(1+$B$141/100)/100,0)*100)*1/100,0)*100</f>
        <v>40200</v>
      </c>
      <c r="G67" s="53" t="s">
        <v>1390</v>
      </c>
      <c r="H67" s="53" t="s">
        <v>1390</v>
      </c>
      <c r="I67" s="453">
        <v>25700</v>
      </c>
    </row>
    <row r="68" spans="1:9" ht="15" customHeight="1">
      <c r="A68" s="21" t="s">
        <v>1161</v>
      </c>
      <c r="B68" s="7"/>
      <c r="C68" s="7"/>
      <c r="D68" s="24">
        <f>D67+ROUNDUP((ROUNDUP((ROUNDUP(D65*(1+B140/100)/100,0)*100)*(1+$B$141/100)/100,0)*100)*1/100,0)*100</f>
        <v>43100</v>
      </c>
      <c r="G68" s="53" t="s">
        <v>1391</v>
      </c>
      <c r="H68" s="53" t="s">
        <v>1391</v>
      </c>
      <c r="I68" s="453">
        <v>25700</v>
      </c>
    </row>
    <row r="69" spans="1:9">
      <c r="B69" s="7"/>
      <c r="C69" s="7"/>
      <c r="G69" s="53" t="s">
        <v>1392</v>
      </c>
      <c r="H69" s="53" t="s">
        <v>1392</v>
      </c>
      <c r="I69" s="453">
        <v>25700</v>
      </c>
    </row>
    <row r="70" spans="1:9" ht="15" customHeight="1">
      <c r="A70" s="7"/>
      <c r="B70" s="7"/>
      <c r="C70" s="7"/>
      <c r="D70" s="7"/>
      <c r="G70" s="53" t="s">
        <v>1393</v>
      </c>
      <c r="H70" s="53" t="s">
        <v>1393</v>
      </c>
      <c r="I70" s="453">
        <v>25700</v>
      </c>
    </row>
    <row r="71" spans="1:9" ht="15" customHeight="1">
      <c r="A71" s="7"/>
      <c r="B71" s="7"/>
      <c r="C71" s="7"/>
      <c r="D71" s="7"/>
      <c r="G71" s="53" t="s">
        <v>1394</v>
      </c>
      <c r="H71" s="53" t="s">
        <v>1394</v>
      </c>
      <c r="I71" s="453">
        <v>25700</v>
      </c>
    </row>
    <row r="72" spans="1:9" ht="15" customHeight="1">
      <c r="A72" s="7"/>
      <c r="B72" s="7"/>
      <c r="C72" s="7"/>
      <c r="D72" s="7"/>
      <c r="G72" s="53" t="s">
        <v>1395</v>
      </c>
      <c r="H72" s="53" t="s">
        <v>1395</v>
      </c>
      <c r="I72" s="453">
        <v>25700</v>
      </c>
    </row>
    <row r="73" spans="1:9" ht="15" customHeight="1">
      <c r="A73" s="7"/>
      <c r="B73" s="7"/>
      <c r="C73" s="7"/>
      <c r="D73" s="7"/>
      <c r="G73" s="53" t="s">
        <v>1396</v>
      </c>
      <c r="H73" s="53" t="s">
        <v>1396</v>
      </c>
      <c r="I73" s="453">
        <v>25700</v>
      </c>
    </row>
    <row r="74" spans="1:9" ht="15" customHeight="1">
      <c r="A74" s="7"/>
      <c r="B74" s="7"/>
      <c r="C74" s="7"/>
      <c r="D74" s="7"/>
      <c r="G74" s="53" t="s">
        <v>1397</v>
      </c>
      <c r="H74" s="53" t="s">
        <v>1397</v>
      </c>
      <c r="I74" s="453">
        <v>25700</v>
      </c>
    </row>
    <row r="75" spans="1:9" ht="15" customHeight="1">
      <c r="A75" s="7"/>
      <c r="B75" s="7"/>
      <c r="C75" s="7"/>
      <c r="D75" s="7"/>
      <c r="G75" s="53" t="s">
        <v>1398</v>
      </c>
      <c r="H75" s="53" t="s">
        <v>1398</v>
      </c>
      <c r="I75" s="453">
        <v>25700</v>
      </c>
    </row>
    <row r="76" spans="1:9" ht="15" customHeight="1">
      <c r="A76" s="7"/>
      <c r="B76" s="7"/>
      <c r="C76" s="7"/>
      <c r="D76" s="7"/>
      <c r="G76" s="53" t="s">
        <v>1399</v>
      </c>
      <c r="H76" s="53" t="s">
        <v>1399</v>
      </c>
      <c r="I76" s="453">
        <v>25700</v>
      </c>
    </row>
    <row r="77" spans="1:9" ht="15" customHeight="1">
      <c r="A77" s="7"/>
      <c r="B77" s="7"/>
      <c r="C77" s="7"/>
      <c r="D77" s="7"/>
      <c r="G77" s="53" t="s">
        <v>1400</v>
      </c>
      <c r="H77" s="53" t="s">
        <v>1400</v>
      </c>
      <c r="I77" s="453">
        <v>25700</v>
      </c>
    </row>
    <row r="78" spans="1:9" ht="15" customHeight="1">
      <c r="A78" s="7"/>
      <c r="B78" s="7"/>
      <c r="C78" s="7"/>
      <c r="D78" s="7"/>
      <c r="G78" s="53" t="s">
        <v>1401</v>
      </c>
      <c r="H78" s="53" t="s">
        <v>1401</v>
      </c>
      <c r="I78" s="453">
        <v>28000</v>
      </c>
    </row>
    <row r="79" spans="1:9" ht="15" customHeight="1">
      <c r="A79" s="7"/>
      <c r="B79" s="7"/>
      <c r="C79" s="7"/>
      <c r="D79" s="7"/>
      <c r="G79" s="53" t="s">
        <v>1402</v>
      </c>
      <c r="H79" s="53" t="s">
        <v>1402</v>
      </c>
      <c r="I79" s="453">
        <v>28000</v>
      </c>
    </row>
    <row r="80" spans="1:9" ht="15" customHeight="1">
      <c r="A80" s="7"/>
      <c r="B80" s="7"/>
      <c r="C80" s="7"/>
      <c r="D80" s="7"/>
      <c r="G80" s="53" t="s">
        <v>1403</v>
      </c>
      <c r="H80" s="53" t="s">
        <v>1403</v>
      </c>
      <c r="I80" s="453">
        <v>28000</v>
      </c>
    </row>
    <row r="81" spans="1:9" ht="15" customHeight="1">
      <c r="A81" s="7"/>
      <c r="B81" s="7"/>
      <c r="C81" s="7"/>
      <c r="D81" s="7"/>
      <c r="G81" s="53" t="s">
        <v>1404</v>
      </c>
      <c r="H81" s="53" t="s">
        <v>1404</v>
      </c>
      <c r="I81" s="453">
        <v>28000</v>
      </c>
    </row>
    <row r="82" spans="1:9" ht="15" customHeight="1">
      <c r="A82" s="7"/>
      <c r="B82" s="7"/>
      <c r="C82" s="7"/>
      <c r="D82" s="7"/>
      <c r="G82" s="53" t="s">
        <v>1405</v>
      </c>
      <c r="H82" s="53" t="s">
        <v>1405</v>
      </c>
      <c r="I82" s="453">
        <v>28000</v>
      </c>
    </row>
    <row r="83" spans="1:9" ht="15" customHeight="1">
      <c r="A83" s="7"/>
      <c r="B83" s="7"/>
      <c r="C83" s="7"/>
      <c r="D83" s="7"/>
      <c r="G83" s="53" t="s">
        <v>1406</v>
      </c>
      <c r="H83" s="53" t="s">
        <v>1406</v>
      </c>
      <c r="I83" s="453">
        <v>28000</v>
      </c>
    </row>
    <row r="84" spans="1:9" ht="15" customHeight="1">
      <c r="A84" s="7"/>
      <c r="B84" s="7"/>
      <c r="C84" s="7"/>
      <c r="D84" s="7"/>
      <c r="G84" s="53" t="s">
        <v>1407</v>
      </c>
      <c r="H84" s="53" t="s">
        <v>1407</v>
      </c>
      <c r="I84" s="453">
        <v>22600</v>
      </c>
    </row>
    <row r="85" spans="1:9" ht="15" customHeight="1">
      <c r="A85" s="7"/>
      <c r="B85" s="7"/>
      <c r="C85" s="7"/>
      <c r="D85" s="7"/>
      <c r="G85" s="53" t="s">
        <v>1408</v>
      </c>
      <c r="H85" s="53" t="s">
        <v>1408</v>
      </c>
      <c r="I85" s="453">
        <v>28000</v>
      </c>
    </row>
    <row r="86" spans="1:9" ht="15" customHeight="1">
      <c r="A86" s="7"/>
      <c r="B86" s="7"/>
      <c r="C86" s="7"/>
      <c r="D86" s="7"/>
      <c r="G86" s="53" t="s">
        <v>1409</v>
      </c>
      <c r="H86" s="53" t="s">
        <v>1409</v>
      </c>
      <c r="I86" s="453">
        <v>28000</v>
      </c>
    </row>
    <row r="87" spans="1:9" ht="15" customHeight="1">
      <c r="A87" s="7"/>
      <c r="B87" s="7"/>
      <c r="C87" s="7"/>
      <c r="D87" s="7"/>
      <c r="G87" s="53" t="s">
        <v>1410</v>
      </c>
      <c r="H87" s="53" t="s">
        <v>1410</v>
      </c>
      <c r="I87" s="453">
        <v>28000</v>
      </c>
    </row>
    <row r="88" spans="1:9" ht="15" customHeight="1">
      <c r="A88" s="7"/>
      <c r="B88" s="7"/>
      <c r="C88" s="7"/>
      <c r="D88" s="7"/>
      <c r="G88" s="53" t="s">
        <v>1411</v>
      </c>
      <c r="H88" s="53" t="s">
        <v>1411</v>
      </c>
      <c r="I88" s="453">
        <v>28000</v>
      </c>
    </row>
    <row r="89" spans="1:9" ht="15" customHeight="1">
      <c r="A89" s="7"/>
      <c r="B89" s="7"/>
      <c r="C89" s="7"/>
      <c r="D89" s="7"/>
      <c r="G89" s="53" t="s">
        <v>1412</v>
      </c>
      <c r="H89" s="53" t="s">
        <v>1412</v>
      </c>
      <c r="I89" s="453">
        <v>28000</v>
      </c>
    </row>
    <row r="90" spans="1:9" ht="15" customHeight="1">
      <c r="A90" s="7"/>
      <c r="B90" s="7"/>
      <c r="C90" s="7"/>
      <c r="D90" s="7"/>
      <c r="G90" s="53" t="s">
        <v>1413</v>
      </c>
      <c r="H90" s="53" t="s">
        <v>1413</v>
      </c>
      <c r="I90" s="453">
        <v>28000</v>
      </c>
    </row>
    <row r="91" spans="1:9" ht="15" customHeight="1">
      <c r="A91" s="7"/>
      <c r="B91" s="7"/>
      <c r="C91" s="7"/>
      <c r="D91" s="7"/>
      <c r="G91" s="53" t="s">
        <v>1412</v>
      </c>
      <c r="I91" s="423"/>
    </row>
    <row r="92" spans="1:9" ht="15" customHeight="1">
      <c r="A92" s="7"/>
      <c r="B92" s="7"/>
      <c r="C92" s="7"/>
      <c r="D92" s="7"/>
      <c r="G92" s="53" t="s">
        <v>1413</v>
      </c>
      <c r="I92" s="423"/>
    </row>
    <row r="93" spans="1:9" ht="15" customHeight="1">
      <c r="A93" s="7"/>
      <c r="B93" s="7"/>
      <c r="C93" s="7"/>
      <c r="D93" s="7"/>
      <c r="I93" s="423"/>
    </row>
    <row r="94" spans="1:9" ht="15" customHeight="1">
      <c r="A94" s="7"/>
      <c r="B94" s="7"/>
      <c r="C94" s="7"/>
      <c r="D94" s="7"/>
      <c r="I94" s="423"/>
    </row>
    <row r="95" spans="1:9" ht="15" customHeight="1">
      <c r="A95" s="7"/>
      <c r="B95" s="7"/>
      <c r="C95" s="7"/>
      <c r="D95" s="7"/>
      <c r="I95" s="423"/>
    </row>
    <row r="96" spans="1:9" ht="15" customHeight="1">
      <c r="A96" s="7"/>
      <c r="B96" s="7"/>
      <c r="C96" s="7"/>
      <c r="D96" s="7"/>
      <c r="I96" s="423"/>
    </row>
    <row r="97" spans="1:9" ht="15" customHeight="1">
      <c r="A97" s="7"/>
      <c r="B97" s="7"/>
      <c r="C97" s="7"/>
      <c r="D97" s="7"/>
      <c r="I97" s="423"/>
    </row>
    <row r="98" spans="1:9" ht="15" customHeight="1">
      <c r="A98" s="7"/>
      <c r="B98" s="7"/>
      <c r="C98" s="7"/>
      <c r="D98" s="7"/>
      <c r="I98" s="423"/>
    </row>
    <row r="99" spans="1:9" ht="15" customHeight="1">
      <c r="A99" s="7"/>
      <c r="B99" s="7"/>
      <c r="C99" s="7"/>
      <c r="D99" s="7"/>
      <c r="I99" s="423"/>
    </row>
    <row r="100" spans="1:9" ht="15" customHeight="1">
      <c r="A100" s="7"/>
      <c r="B100" s="7"/>
      <c r="C100" s="7"/>
      <c r="D100" s="7"/>
    </row>
    <row r="101" spans="1:9" ht="15" customHeight="1">
      <c r="A101" s="7"/>
      <c r="B101" s="7"/>
      <c r="C101" s="7"/>
      <c r="D101" s="7"/>
    </row>
    <row r="102" spans="1:9" ht="15" customHeight="1">
      <c r="A102" s="7"/>
      <c r="B102" s="7"/>
      <c r="C102" s="7"/>
      <c r="D102" s="7"/>
    </row>
    <row r="103" spans="1:9" ht="15" customHeight="1">
      <c r="A103" s="7"/>
      <c r="B103" s="7"/>
      <c r="C103" s="7"/>
      <c r="D103" s="7"/>
    </row>
    <row r="104" spans="1:9" ht="15" customHeight="1">
      <c r="A104" s="7"/>
      <c r="B104" s="7"/>
      <c r="C104" s="7"/>
      <c r="D104" s="7"/>
    </row>
    <row r="105" spans="1:9" ht="15" customHeight="1">
      <c r="A105" s="7"/>
      <c r="B105" s="7"/>
      <c r="C105" s="7"/>
      <c r="D105" s="7"/>
    </row>
    <row r="106" spans="1:9" ht="15" customHeight="1">
      <c r="A106" s="7"/>
      <c r="B106" s="7"/>
      <c r="C106" s="7"/>
      <c r="D106" s="7"/>
    </row>
    <row r="107" spans="1:9" ht="15" customHeight="1">
      <c r="A107" s="7"/>
      <c r="B107" s="7"/>
      <c r="C107" s="7"/>
      <c r="D107" s="7"/>
    </row>
    <row r="108" spans="1:9" ht="15" customHeight="1">
      <c r="A108" s="7"/>
      <c r="B108" s="7"/>
      <c r="C108" s="7"/>
      <c r="D108" s="7"/>
    </row>
    <row r="109" spans="1:9" ht="15" customHeight="1">
      <c r="A109" s="7"/>
      <c r="B109" s="7"/>
      <c r="C109" s="7"/>
      <c r="D109" s="7"/>
    </row>
    <row r="110" spans="1:9" ht="15" customHeight="1">
      <c r="A110" s="7"/>
      <c r="B110" s="7"/>
      <c r="C110" s="7"/>
      <c r="D110" s="7"/>
    </row>
    <row r="111" spans="1:9" ht="15" customHeight="1">
      <c r="A111" s="7"/>
      <c r="B111" s="7"/>
      <c r="C111" s="7"/>
      <c r="D111" s="7"/>
    </row>
    <row r="112" spans="1:9" ht="15" customHeight="1">
      <c r="A112" s="7"/>
      <c r="B112" s="7"/>
      <c r="C112" s="7"/>
      <c r="D112" s="7"/>
    </row>
    <row r="113" spans="1:4" ht="15" customHeight="1">
      <c r="A113" s="7"/>
      <c r="B113" s="7"/>
      <c r="C113" s="7"/>
      <c r="D113" s="7"/>
    </row>
    <row r="114" spans="1:4" ht="15" customHeight="1">
      <c r="A114" s="7"/>
      <c r="B114" s="7"/>
      <c r="C114" s="7"/>
      <c r="D114" s="7"/>
    </row>
    <row r="115" spans="1:4" ht="15" customHeight="1">
      <c r="A115" s="7"/>
      <c r="B115" s="7"/>
      <c r="C115" s="7"/>
      <c r="D115" s="7"/>
    </row>
    <row r="116" spans="1:4" ht="15" customHeight="1">
      <c r="A116" s="7"/>
      <c r="B116" s="7"/>
      <c r="C116" s="7"/>
      <c r="D116" s="7"/>
    </row>
    <row r="117" spans="1:4" ht="15" customHeight="1">
      <c r="A117" s="7"/>
      <c r="B117" s="7"/>
      <c r="C117" s="7"/>
      <c r="D117" s="7"/>
    </row>
    <row r="118" spans="1:4" ht="15" customHeight="1">
      <c r="A118" s="7"/>
      <c r="B118" s="7"/>
      <c r="C118" s="7"/>
      <c r="D118" s="7"/>
    </row>
    <row r="119" spans="1:4" ht="15" customHeight="1">
      <c r="A119" s="7"/>
      <c r="B119" s="7"/>
      <c r="C119" s="7"/>
      <c r="D119" s="7"/>
    </row>
    <row r="120" spans="1:4" ht="15" customHeight="1">
      <c r="A120" s="7"/>
      <c r="B120" s="7"/>
      <c r="C120" s="7"/>
      <c r="D120" s="7"/>
    </row>
    <row r="121" spans="1:4" ht="15" customHeight="1">
      <c r="A121" s="7"/>
      <c r="B121" s="7"/>
      <c r="C121" s="7"/>
      <c r="D121" s="7"/>
    </row>
    <row r="122" spans="1:4" ht="15" customHeight="1">
      <c r="A122" s="7"/>
      <c r="B122" s="7"/>
      <c r="C122" s="7"/>
      <c r="D122" s="7"/>
    </row>
    <row r="124" spans="1:4">
      <c r="A124" s="118" t="s">
        <v>1193</v>
      </c>
      <c r="B124" s="119"/>
      <c r="C124" s="119"/>
      <c r="D124" s="119"/>
    </row>
    <row r="125" spans="1:4">
      <c r="A125" s="16" t="s">
        <v>1414</v>
      </c>
      <c r="B125" s="609" t="s">
        <v>1164</v>
      </c>
      <c r="C125" s="119"/>
      <c r="D125" s="119"/>
    </row>
    <row r="126" spans="1:4">
      <c r="A126" s="16" t="s">
        <v>1166</v>
      </c>
      <c r="B126" s="609" t="s">
        <v>525</v>
      </c>
      <c r="C126" s="119"/>
      <c r="D126" s="119"/>
    </row>
    <row r="127" spans="1:4">
      <c r="A127" s="119"/>
      <c r="B127" s="119"/>
      <c r="C127" s="119"/>
      <c r="D127" s="119"/>
    </row>
    <row r="128" spans="1:4">
      <c r="A128" s="120" t="s">
        <v>1175</v>
      </c>
      <c r="B128" s="119"/>
      <c r="C128" s="119"/>
      <c r="D128" s="121">
        <f>IF(B125="ไม่มี",0,INDEX(ราคาออโต้!$C:$C,MATCH(B126,ราคาออโต้!$B:$B,0))+INDEX(ราคาออโต้!$D:$D,MATCH(B126,ราคาออโต้!$B:$B,0)))</f>
        <v>0</v>
      </c>
    </row>
    <row r="129" spans="1:1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</row>
    <row r="130" spans="1:11">
      <c r="A130" s="289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</row>
    <row r="131" spans="1:11">
      <c r="A131" s="290"/>
      <c r="B131" s="291"/>
      <c r="C131" s="117"/>
      <c r="D131" s="117"/>
      <c r="E131" s="117"/>
      <c r="F131" s="117"/>
      <c r="G131" s="117"/>
      <c r="H131" s="117"/>
      <c r="I131" s="117"/>
      <c r="J131" s="117"/>
      <c r="K131" s="117"/>
    </row>
    <row r="132" spans="1:11">
      <c r="A132" s="290"/>
      <c r="B132" s="291"/>
      <c r="C132" s="117"/>
      <c r="D132" s="117"/>
      <c r="E132" s="117"/>
      <c r="F132" s="117"/>
      <c r="G132" s="117"/>
      <c r="H132" s="117"/>
      <c r="I132" s="117"/>
      <c r="J132" s="117"/>
      <c r="K132" s="117"/>
    </row>
    <row r="133" spans="1:11">
      <c r="A133" s="290"/>
      <c r="B133" s="291"/>
      <c r="C133" s="117"/>
      <c r="D133" s="117"/>
      <c r="E133" s="117"/>
      <c r="F133" s="117"/>
      <c r="G133" s="117"/>
      <c r="H133" s="117"/>
      <c r="I133" s="117"/>
      <c r="J133" s="117"/>
      <c r="K133" s="117"/>
    </row>
    <row r="134" spans="1:11">
      <c r="A134" s="290"/>
      <c r="B134" s="292"/>
      <c r="C134" s="117"/>
      <c r="D134" s="117"/>
      <c r="E134" s="117"/>
      <c r="F134" s="117"/>
      <c r="G134" s="117"/>
      <c r="H134" s="117"/>
      <c r="I134" s="117"/>
      <c r="J134" s="117"/>
      <c r="K134" s="117"/>
    </row>
    <row r="135" spans="1:1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</row>
    <row r="136" spans="1:11">
      <c r="A136" s="283" t="s">
        <v>1138</v>
      </c>
    </row>
    <row r="137" spans="1:11">
      <c r="A137" s="290" t="s">
        <v>3148</v>
      </c>
    </row>
    <row r="138" spans="1:11">
      <c r="A138" s="290" t="s">
        <v>1179</v>
      </c>
      <c r="B138" s="545">
        <f>ROUND(($B$151*$B$152-1)*100,0)</f>
        <v>62</v>
      </c>
      <c r="C138" s="290" t="s">
        <v>3149</v>
      </c>
    </row>
    <row r="139" spans="1:11">
      <c r="A139" s="290" t="s">
        <v>1180</v>
      </c>
      <c r="B139" s="545">
        <f>ROUND(($C$151*$B$152-1)*100,0)</f>
        <v>62</v>
      </c>
      <c r="C139" s="290" t="s">
        <v>3149</v>
      </c>
    </row>
    <row r="140" spans="1:11">
      <c r="A140" s="290" t="s">
        <v>1181</v>
      </c>
      <c r="B140" s="545">
        <f>ROUND(($D$151*$B$152-1)*100,0)</f>
        <v>102</v>
      </c>
      <c r="C140" s="290" t="s">
        <v>3149</v>
      </c>
    </row>
    <row r="141" spans="1:11">
      <c r="A141" s="290" t="s">
        <v>3122</v>
      </c>
      <c r="B141" s="540">
        <v>30</v>
      </c>
      <c r="C141" s="290" t="s">
        <v>3150</v>
      </c>
    </row>
    <row r="142" spans="1:11">
      <c r="A142" s="613" t="s">
        <v>1138</v>
      </c>
      <c r="B142" s="614"/>
    </row>
    <row r="143" spans="1:11">
      <c r="A143" s="489" t="s">
        <v>1139</v>
      </c>
      <c r="B143" s="492">
        <f>SUM(D12:D20)</f>
        <v>10307.78125</v>
      </c>
    </row>
    <row r="144" spans="1:11">
      <c r="A144" s="489" t="s">
        <v>1141</v>
      </c>
      <c r="B144" s="492">
        <f>SUM(D22)</f>
        <v>1330.56</v>
      </c>
    </row>
    <row r="145" spans="1:6">
      <c r="A145" s="489" t="s">
        <v>3066</v>
      </c>
      <c r="B145" s="492">
        <f>SUM(D21,D23,D24,D25)</f>
        <v>6300.8</v>
      </c>
    </row>
    <row r="146" spans="1:6">
      <c r="A146" s="491" t="s">
        <v>1144</v>
      </c>
      <c r="B146" s="493">
        <f>SUM(B143:B145)</f>
        <v>17939.141250000001</v>
      </c>
    </row>
    <row r="147" spans="1:6">
      <c r="A147" s="488" t="s">
        <v>3067</v>
      </c>
    </row>
    <row r="149" spans="1:6">
      <c r="A149" s="533" t="s">
        <v>3151</v>
      </c>
      <c r="B149" s="535"/>
      <c r="C149" s="533"/>
    </row>
    <row r="150" spans="1:6">
      <c r="A150" t="s">
        <v>3144</v>
      </c>
      <c r="B150" s="541">
        <v>30</v>
      </c>
      <c r="C150" t="s">
        <v>3152</v>
      </c>
    </row>
    <row r="151" spans="1:6">
      <c r="A151" t="s">
        <v>3153</v>
      </c>
      <c r="B151" s="542">
        <v>1.7230000000000001</v>
      </c>
      <c r="C151" s="542">
        <v>1.7230000000000001</v>
      </c>
      <c r="D151" s="542">
        <v>2.1539999999999999</v>
      </c>
      <c r="E151" s="542" t="s">
        <v>3154</v>
      </c>
      <c r="F151" s="542"/>
    </row>
    <row r="152" spans="1:6">
      <c r="A152" t="s">
        <v>3155</v>
      </c>
      <c r="B152" s="542">
        <f>IFERROR((((D26)+(D64)+(D65))/(100/(100+B141)-B150/100))/(((D26)*$B$151+(D64)*$C$151+(D65)*$D$151)*(1+B141/100)),1)</f>
        <v>0.93913837249539578</v>
      </c>
      <c r="C152" t="s">
        <v>3156</v>
      </c>
    </row>
    <row r="154" spans="1:6">
      <c r="A154" s="533" t="s">
        <v>3126</v>
      </c>
      <c r="B154" s="535"/>
      <c r="C154" s="533"/>
    </row>
    <row r="155" spans="1:6">
      <c r="A155" s="533" t="s">
        <v>3127</v>
      </c>
      <c r="B155" s="534">
        <f>IFERROR(ROUND(D68-D68/(1+B141/100),0),0)</f>
        <v>9946</v>
      </c>
      <c r="C155" s="533" t="s">
        <v>3128</v>
      </c>
    </row>
    <row r="156" spans="1:6">
      <c r="A156" s="533" t="s">
        <v>3129</v>
      </c>
      <c r="B156" s="534">
        <f>D26+D64+D65+B155</f>
        <v>29985.141250000001</v>
      </c>
      <c r="C156" s="533" t="s">
        <v>3130</v>
      </c>
    </row>
    <row r="157" spans="1:6">
      <c r="A157" s="536" t="s">
        <v>3131</v>
      </c>
      <c r="B157" s="537">
        <f>IFERROR((D68-B156)/D68,"")</f>
        <v>0.30428906612529</v>
      </c>
      <c r="C157" s="536" t="s">
        <v>3157</v>
      </c>
    </row>
  </sheetData>
  <sheetProtection sheet="1" objects="1" scenarios="1"/>
  <mergeCells count="2">
    <mergeCell ref="L12:O12"/>
    <mergeCell ref="A1:F1"/>
  </mergeCells>
  <dataValidations count="7">
    <dataValidation type="list" sqref="B5" xr:uid="{00000000-0002-0000-1500-000000000000}">
      <formula1>$G$2:$G$89</formula1>
      <formula2>0</formula2>
    </dataValidation>
    <dataValidation type="list" sqref="B10" xr:uid="{00000000-0002-0000-1500-000002000000}">
      <formula1>GlassNames</formula1>
      <formula2>0</formula2>
    </dataValidation>
    <dataValidation type="list" sqref="F10" xr:uid="{00000000-0002-0000-1500-000003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125" xr:uid="{00000000-0002-0000-1500-000004000000}">
      <formula1>"มี,ไม่มี"</formula1>
    </dataValidation>
    <dataValidation type="list" allowBlank="1" sqref="B126" xr:uid="{00000000-0002-0000-1500-000005000000}">
      <formula1>"ยก 80 กก.,ยก 300 กก."</formula1>
    </dataValidation>
    <dataValidation type="list" allowBlank="1" sqref="M13" xr:uid="{00000000-0002-0000-1500-000007000000}">
      <formula1>MungReady</formula1>
    </dataValidation>
    <dataValidation type="list" allowBlank="1" showInputMessage="1" showErrorMessage="1" sqref="B6" xr:uid="{2C94785B-8083-410C-91A5-9DD50C636AA9}">
      <formula1>"ธรณีหลังเต่า,รางยู,เฟรมล่างปกติ"</formula1>
    </dataValidation>
  </dataValidations>
  <hyperlinks>
    <hyperlink ref="H1" location="'สารบัญ'!A1" display="🏠 สารบัญ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K58"/>
  <sheetViews>
    <sheetView zoomScaleNormal="100" workbookViewId="0">
      <pane ySplit="12" topLeftCell="A13" activePane="bottomLeft" state="frozen"/>
      <selection pane="bottomLeft" sqref="A1:F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4" width="18" customWidth="1"/>
    <col min="5" max="5" width="24" customWidth="1"/>
    <col min="6" max="6" width="9.5546875" customWidth="1"/>
    <col min="7" max="7" width="8.5546875" customWidth="1"/>
  </cols>
  <sheetData>
    <row r="1" spans="1:8" ht="24" customHeight="1">
      <c r="A1" s="660" t="s">
        <v>1415</v>
      </c>
      <c r="B1" s="650"/>
      <c r="C1" s="650"/>
      <c r="D1" s="650"/>
      <c r="E1" s="650"/>
      <c r="F1" s="650"/>
      <c r="G1" s="293" t="s">
        <v>68</v>
      </c>
      <c r="H1" s="294"/>
    </row>
    <row r="2" spans="1:8" ht="15" customHeight="1">
      <c r="A2" s="26" t="s">
        <v>1105</v>
      </c>
      <c r="B2" s="540">
        <v>150</v>
      </c>
      <c r="E2" s="26">
        <f>mult_mtong*(IF(B5="เทาซาฮาร่า",1612,IF(B5="ลายไม้ stock",ROUND(1240*1.6,0),IF(B5="สีอบพิเศษ",ROUND(1240*(1+rate_special/192),0),IF(B5="สีลายไม้อบพิเศษ",ROUND(1240*(1+rate_woodbake/192),0),1240)))))</f>
        <v>1240</v>
      </c>
      <c r="F2" s="26" t="s">
        <v>1416</v>
      </c>
    </row>
    <row r="3" spans="1:8" ht="15" customHeight="1">
      <c r="A3" s="26" t="s">
        <v>1107</v>
      </c>
      <c r="B3" s="540">
        <v>200</v>
      </c>
      <c r="E3" s="26">
        <f>mult_mtong*(IF(B5="เทาซาฮาร่า",550,IF(B5="ลายไม้ stock",ROUND(380*1.6,0),IF(B5="สีอบพิเศษ",ROUND(380*(1+rate_special/192),0),IF(B5="สีลายไม้อบพิเศษ",ROUND(380*(1+rate_woodbake/192),0),380)))))</f>
        <v>380</v>
      </c>
      <c r="F3" s="26" t="s">
        <v>1417</v>
      </c>
    </row>
    <row r="4" spans="1:8" ht="15" customHeight="1">
      <c r="A4" s="26" t="s">
        <v>1418</v>
      </c>
      <c r="B4" s="540">
        <v>1</v>
      </c>
    </row>
    <row r="5" spans="1:8" ht="15" customHeight="1">
      <c r="A5" s="26" t="s">
        <v>1236</v>
      </c>
      <c r="B5" s="540" t="s">
        <v>100</v>
      </c>
    </row>
    <row r="6" spans="1:8" ht="15" customHeight="1">
      <c r="A6" s="26" t="s">
        <v>1419</v>
      </c>
      <c r="B6" s="540" t="s">
        <v>733</v>
      </c>
    </row>
    <row r="7" spans="1:8" ht="15" customHeight="1">
      <c r="A7" s="26" t="s">
        <v>1420</v>
      </c>
      <c r="B7" s="23">
        <f>IFERROR(VLOOKUP(B6,ราคากระจก!$A:$B,2,0),264)</f>
        <v>264</v>
      </c>
    </row>
    <row r="8" spans="1:8" ht="15" customHeight="1">
      <c r="A8" s="26" t="s">
        <v>1114</v>
      </c>
      <c r="B8" s="26">
        <f>(B2/100)*(B3/100)</f>
        <v>3</v>
      </c>
    </row>
    <row r="9" spans="1:8" ht="15" customHeight="1">
      <c r="A9" s="26" t="s">
        <v>1116</v>
      </c>
      <c r="B9" s="384">
        <f>$B$45</f>
        <v>61</v>
      </c>
      <c r="C9" s="588" t="s">
        <v>2702</v>
      </c>
    </row>
    <row r="10" spans="1:8" ht="15" customHeight="1">
      <c r="A10" s="26" t="s">
        <v>1119</v>
      </c>
      <c r="B10" s="540">
        <v>90</v>
      </c>
    </row>
    <row r="12" spans="1:8" ht="15" customHeight="1">
      <c r="A12" s="51" t="s">
        <v>470</v>
      </c>
      <c r="B12" s="540" t="s">
        <v>1124</v>
      </c>
      <c r="C12" s="540" t="s">
        <v>1125</v>
      </c>
      <c r="D12" s="51" t="s">
        <v>1126</v>
      </c>
      <c r="E12" s="51" t="s">
        <v>569</v>
      </c>
    </row>
    <row r="13" spans="1:8" ht="15" customHeight="1">
      <c r="A13" s="36" t="s">
        <v>1421</v>
      </c>
      <c r="B13" s="36">
        <f>IF(FLOOR(6/((B2)/100),1)&gt;=1,ROUNDUP((2)/FLOOR(6/((B2)/100),1),0),ROUNDUP(((B2)/100)/6,0)*(2))+IF(FLOOR(6/((B3)/100),1)&gt;=1,ROUNDUP(((B4+1))/FLOOR(6/((B3)/100),1),0),ROUNDUP(((B3)/100)/6,0)*((B4+1)))</f>
        <v>2</v>
      </c>
      <c r="C13" s="32">
        <f>E2</f>
        <v>1240</v>
      </c>
      <c r="D13" s="32">
        <f t="shared" ref="D13:D19" si="0">B13*C13</f>
        <v>2480</v>
      </c>
      <c r="E13" s="36"/>
    </row>
    <row r="14" spans="1:8" ht="15" customHeight="1">
      <c r="A14" s="36" t="s">
        <v>1422</v>
      </c>
      <c r="B14" s="36">
        <f>IF(FLOOR(6/((B2/B4)/100),1)&gt;=1,ROUNDUP(((2*B4))/FLOOR(6/((B2/B4)/100),1),0),ROUNDUP(((B2/B4)/100)/6,0)*((2*B4)))+IF(FLOOR(6/((B3)/100),1)&gt;=1,ROUNDUP(((2*B4))/FLOOR(6/((B3)/100),1),0),ROUNDUP(((B3)/100)/6,0)*((2*B4)))</f>
        <v>2</v>
      </c>
      <c r="C14" s="32">
        <f>E3</f>
        <v>380</v>
      </c>
      <c r="D14" s="32">
        <f t="shared" si="0"/>
        <v>760</v>
      </c>
      <c r="E14" s="36"/>
    </row>
    <row r="15" spans="1:8" ht="15" customHeight="1">
      <c r="A15" s="36" t="s">
        <v>1423</v>
      </c>
      <c r="B15" s="36">
        <f>4*B4</f>
        <v>4</v>
      </c>
      <c r="C15" s="550">
        <v>5</v>
      </c>
      <c r="D15" s="32">
        <f t="shared" si="0"/>
        <v>20</v>
      </c>
      <c r="E15" s="36" t="s">
        <v>1424</v>
      </c>
    </row>
    <row r="16" spans="1:8" ht="15" customHeight="1">
      <c r="A16" s="36" t="s">
        <v>1425</v>
      </c>
      <c r="B16" s="36">
        <f>ROUND((2*B2+2*B4*B3)/100,1)</f>
        <v>7</v>
      </c>
      <c r="C16" s="550">
        <v>10</v>
      </c>
      <c r="D16" s="32">
        <f t="shared" si="0"/>
        <v>70</v>
      </c>
      <c r="E16" s="36"/>
    </row>
    <row r="17" spans="1:11" ht="15" customHeight="1">
      <c r="A17" s="36" t="s">
        <v>1128</v>
      </c>
      <c r="B17" s="36">
        <f>B8</f>
        <v>3</v>
      </c>
      <c r="C17" s="32">
        <f>B7</f>
        <v>264</v>
      </c>
      <c r="D17" s="32">
        <f t="shared" si="0"/>
        <v>792</v>
      </c>
    </row>
    <row r="18" spans="1:11" ht="15" customHeight="1">
      <c r="A18" s="36" t="s">
        <v>1134</v>
      </c>
      <c r="B18" s="36">
        <f>ROUNDUP((2*B2+2*B4*B3)/100*2/12.5,0)</f>
        <v>2</v>
      </c>
      <c r="C18" s="32">
        <f>B10</f>
        <v>90</v>
      </c>
      <c r="D18" s="32">
        <f t="shared" si="0"/>
        <v>180</v>
      </c>
    </row>
    <row r="19" spans="1:11">
      <c r="A19" t="s">
        <v>1250</v>
      </c>
      <c r="B19">
        <f>IF(OR(B5="สีอบพิเศษ",B5="สีลายไม้อบพิเศษ"),1,0)</f>
        <v>0</v>
      </c>
      <c r="C19">
        <f>อัปเดตราคาอลู!$B$17</f>
        <v>2000</v>
      </c>
      <c r="D19">
        <f t="shared" si="0"/>
        <v>0</v>
      </c>
    </row>
    <row r="20" spans="1:11" ht="15" customHeight="1">
      <c r="A20" s="45" t="s">
        <v>1137</v>
      </c>
      <c r="D20" s="46">
        <f>SUM(D13:D19)</f>
        <v>4302</v>
      </c>
    </row>
    <row r="21" spans="1:11" ht="15" customHeight="1">
      <c r="A21" s="45" t="s">
        <v>1045</v>
      </c>
      <c r="D21" s="46">
        <f>IF(B8&gt;0,D20/B8,0)</f>
        <v>1434</v>
      </c>
    </row>
    <row r="22" spans="1:11" ht="15" customHeight="1">
      <c r="A22" s="45" t="s">
        <v>1216</v>
      </c>
      <c r="D22" s="24">
        <f>ROUNDUP(D21*(1+B9/100)/100,0)*100</f>
        <v>2400</v>
      </c>
    </row>
    <row r="23" spans="1:11" ht="15" customHeight="1">
      <c r="A23" s="45" t="s">
        <v>1143</v>
      </c>
      <c r="D23" s="24">
        <f>B8*D22</f>
        <v>7200</v>
      </c>
    </row>
    <row r="26" spans="1:11">
      <c r="A26" s="26" t="s">
        <v>1426</v>
      </c>
      <c r="D26" s="42">
        <f>ROUND(VLOOKUP("บานติดตาย",ค่าแรง!$A$12:$N$117,2,0)+VLOOKUP("บานติดตาย",ค่าแรง!$A$12:$N$117,3,0)*B8,0)</f>
        <v>982</v>
      </c>
    </row>
    <row r="27" spans="1:11">
      <c r="A27" s="26" t="s">
        <v>1427</v>
      </c>
      <c r="D27" s="42">
        <f>ROUND(VLOOKUP("บานติดตาย",ค่าแรง!$A$12:$N$117,4,0)+VLOOKUP("บานติดตาย",ค่าแรง!$A$12:$N$117,5,0)*B8,0)</f>
        <v>1528</v>
      </c>
    </row>
    <row r="28" spans="1:11">
      <c r="A28" s="21" t="s">
        <v>1428</v>
      </c>
      <c r="D28" s="94">
        <f>ROUNDUP((ROUNDUP((ROUNDUP(D20*(1+B9/100)/100,0)*100+ROUNDUP(D26*(1+B46/100)/100,0)*100)*(1+$B$48/100)/100,0)*100)*1/100,0)*100</f>
        <v>11100</v>
      </c>
    </row>
    <row r="29" spans="1:11">
      <c r="A29" s="21" t="s">
        <v>1429</v>
      </c>
      <c r="D29" s="94">
        <f>D28+ROUNDUP((ROUNDUP((ROUNDUP(D27*(1+B47/100)/100,0)*100)*(1+$B$48/100)/100,0)*100)*1/100,0)*100</f>
        <v>14800</v>
      </c>
    </row>
    <row r="31" spans="1:1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</row>
    <row r="32" spans="1:11">
      <c r="A32" s="289"/>
      <c r="B32" s="117"/>
      <c r="C32" s="117"/>
      <c r="D32" s="117"/>
      <c r="E32" s="117"/>
      <c r="F32" s="117"/>
      <c r="G32" s="117"/>
      <c r="H32" s="117"/>
      <c r="I32" s="117"/>
      <c r="J32" s="117"/>
      <c r="K32" s="117"/>
    </row>
    <row r="33" spans="1:11">
      <c r="A33" s="290"/>
      <c r="B33" s="291"/>
      <c r="C33" s="117"/>
      <c r="D33" s="117"/>
      <c r="E33" s="117"/>
      <c r="F33" s="117"/>
      <c r="G33" s="117"/>
      <c r="H33" s="117"/>
      <c r="I33" s="117"/>
      <c r="J33" s="117"/>
      <c r="K33" s="117"/>
    </row>
    <row r="34" spans="1:11">
      <c r="A34" s="290"/>
      <c r="B34" s="291"/>
      <c r="C34" s="117"/>
      <c r="D34" s="117"/>
      <c r="E34" s="117"/>
      <c r="F34" s="117"/>
      <c r="G34" s="117"/>
      <c r="H34" s="117"/>
      <c r="I34" s="117"/>
      <c r="J34" s="117"/>
      <c r="K34" s="117"/>
    </row>
    <row r="35" spans="1:11">
      <c r="A35" s="290"/>
      <c r="B35" s="291"/>
      <c r="C35" s="117"/>
      <c r="D35" s="117"/>
      <c r="E35" s="117"/>
      <c r="F35" s="117"/>
      <c r="G35" s="117"/>
      <c r="H35" s="117"/>
      <c r="I35" s="117"/>
      <c r="J35" s="117"/>
      <c r="K35" s="117"/>
    </row>
    <row r="36" spans="1:11">
      <c r="A36" s="290"/>
      <c r="B36" s="292"/>
      <c r="C36" s="117"/>
      <c r="D36" s="117"/>
      <c r="E36" s="117"/>
      <c r="F36" s="117"/>
      <c r="G36" s="117"/>
      <c r="H36" s="117"/>
      <c r="I36" s="117"/>
      <c r="J36" s="117"/>
      <c r="K36" s="117"/>
    </row>
    <row r="37" spans="1:1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</row>
    <row r="38" spans="1:11">
      <c r="A38" s="283" t="s">
        <v>1138</v>
      </c>
    </row>
    <row r="39" spans="1:11">
      <c r="A39" s="284" t="s">
        <v>1139</v>
      </c>
      <c r="B39" s="285">
        <f>D13+D15+D18</f>
        <v>2680</v>
      </c>
    </row>
    <row r="40" spans="1:11">
      <c r="A40" s="286" t="s">
        <v>1141</v>
      </c>
      <c r="B40" s="287">
        <f>D14+D16+D17</f>
        <v>1622</v>
      </c>
    </row>
    <row r="41" spans="1:11">
      <c r="A41" s="286" t="s">
        <v>1142</v>
      </c>
      <c r="B41" s="287">
        <f>D19</f>
        <v>0</v>
      </c>
    </row>
    <row r="42" spans="1:11">
      <c r="A42" s="286" t="s">
        <v>1144</v>
      </c>
      <c r="B42" s="288">
        <f>SUM(B39:B41)</f>
        <v>4302</v>
      </c>
    </row>
    <row r="44" spans="1:11">
      <c r="A44" s="286" t="s">
        <v>3148</v>
      </c>
    </row>
    <row r="45" spans="1:11">
      <c r="A45" s="286" t="s">
        <v>1179</v>
      </c>
      <c r="B45" s="545">
        <f>ROUND(($B$52*$B$53-1)*100,0)</f>
        <v>61</v>
      </c>
      <c r="C45" s="286" t="s">
        <v>3149</v>
      </c>
    </row>
    <row r="46" spans="1:11">
      <c r="A46" s="286" t="s">
        <v>1180</v>
      </c>
      <c r="B46" s="545">
        <f>ROUND(($C$52*$B$53-1)*100,0)</f>
        <v>46</v>
      </c>
      <c r="C46" s="286" t="s">
        <v>3149</v>
      </c>
    </row>
    <row r="47" spans="1:11">
      <c r="A47" s="286" t="s">
        <v>1181</v>
      </c>
      <c r="B47" s="545">
        <f>ROUND(($D$52*$B$53-1)*100,0)</f>
        <v>83</v>
      </c>
      <c r="C47" s="286" t="s">
        <v>3149</v>
      </c>
    </row>
    <row r="48" spans="1:11">
      <c r="A48" s="286" t="s">
        <v>3122</v>
      </c>
      <c r="B48" s="540">
        <v>30</v>
      </c>
      <c r="C48" s="286" t="s">
        <v>3150</v>
      </c>
    </row>
    <row r="50" spans="1:6">
      <c r="A50" s="533" t="s">
        <v>3151</v>
      </c>
      <c r="B50" s="535"/>
      <c r="C50" s="533"/>
    </row>
    <row r="51" spans="1:6">
      <c r="A51" t="s">
        <v>3144</v>
      </c>
      <c r="B51" s="541">
        <v>30</v>
      </c>
      <c r="C51" t="s">
        <v>3152</v>
      </c>
    </row>
    <row r="52" spans="1:6">
      <c r="A52" t="s">
        <v>3153</v>
      </c>
      <c r="B52" s="542">
        <v>1.895</v>
      </c>
      <c r="C52" s="542">
        <v>1.7230000000000001</v>
      </c>
      <c r="D52" s="542">
        <v>2.1539999999999999</v>
      </c>
      <c r="E52" s="542" t="s">
        <v>3154</v>
      </c>
      <c r="F52" s="542"/>
    </row>
    <row r="53" spans="1:6">
      <c r="A53" t="s">
        <v>3155</v>
      </c>
      <c r="B53" s="542">
        <f>IFERROR((((D20)+(D26)+(D27))/(100/(100+B48)-B51/100))/(((D20)*$B$52+(D26)*$C$52+(D27)*$D$52)*(1+B48/100)),1)</f>
        <v>0.85014946531164781</v>
      </c>
      <c r="C53" t="s">
        <v>3156</v>
      </c>
    </row>
    <row r="55" spans="1:6">
      <c r="A55" s="533" t="s">
        <v>3126</v>
      </c>
      <c r="B55" s="535"/>
      <c r="C55" s="533"/>
    </row>
    <row r="56" spans="1:6">
      <c r="A56" s="533" t="s">
        <v>3127</v>
      </c>
      <c r="B56" s="534">
        <f>IFERROR(ROUND(D29-D29/(1+B48/100),0),0)</f>
        <v>3415</v>
      </c>
      <c r="C56" s="533" t="s">
        <v>3128</v>
      </c>
    </row>
    <row r="57" spans="1:6">
      <c r="A57" s="533" t="s">
        <v>3129</v>
      </c>
      <c r="B57" s="534">
        <f>D20+D26+D27+B56</f>
        <v>10227</v>
      </c>
      <c r="C57" s="533" t="s">
        <v>3130</v>
      </c>
    </row>
    <row r="58" spans="1:6">
      <c r="A58" s="536" t="s">
        <v>3131</v>
      </c>
      <c r="B58" s="537">
        <f>IFERROR((D29-B57)/D29,"")</f>
        <v>0.30898648648648647</v>
      </c>
      <c r="C58" s="536" t="s">
        <v>3157</v>
      </c>
    </row>
  </sheetData>
  <sheetProtection sheet="1" objects="1" scenarios="1"/>
  <mergeCells count="1">
    <mergeCell ref="A1:F1"/>
  </mergeCells>
  <dataValidations count="2">
    <dataValidation type="list" allowBlank="1" sqref="B5" xr:uid="{00000000-0002-0000-1600-000000000000}">
      <formula1>"ขาว/ดำ,เทาซาฮาร่า,ลายไม้ stock,สีอบพิเศษ,สีลายไม้อบพิเศษ"</formula1>
    </dataValidation>
    <dataValidation type="list" allowBlank="1" sqref="B6" xr:uid="{00000000-0002-0000-1600-000001000000}">
      <formula1>GlassNames</formula1>
    </dataValidation>
  </dataValidations>
  <hyperlinks>
    <hyperlink ref="G1" location="'สารบัญ'!A1" display="🏠 สารบัญ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B9BD5"/>
  </sheetPr>
  <dimension ref="A1:K76"/>
  <sheetViews>
    <sheetView zoomScaleNormal="100" workbookViewId="0">
      <pane ySplit="14" topLeftCell="A15" activePane="bottomLeft" state="frozen"/>
      <selection pane="bottomLeft" sqref="A1:F1"/>
    </sheetView>
  </sheetViews>
  <sheetFormatPr defaultColWidth="8.6640625" defaultRowHeight="14.4"/>
  <cols>
    <col min="1" max="1" width="24" customWidth="1"/>
    <col min="2" max="2" width="15.88671875" customWidth="1"/>
    <col min="3" max="3" width="42.6640625" customWidth="1"/>
    <col min="4" max="4" width="18" customWidth="1"/>
    <col min="5" max="5" width="24" customWidth="1"/>
    <col min="6" max="6" width="11.6640625" customWidth="1"/>
    <col min="7" max="7" width="8.5546875" customWidth="1"/>
    <col min="8" max="8" width="4.44140625" customWidth="1"/>
    <col min="10" max="10" width="24" hidden="1" customWidth="1"/>
    <col min="11" max="11" width="6.44140625" customWidth="1"/>
  </cols>
  <sheetData>
    <row r="1" spans="1:11" ht="24" customHeight="1">
      <c r="A1" s="660" t="s">
        <v>1430</v>
      </c>
      <c r="B1" s="650"/>
      <c r="C1" s="650"/>
      <c r="D1" s="650"/>
      <c r="E1" s="650"/>
      <c r="F1" s="650"/>
      <c r="G1" s="293" t="s">
        <v>68</v>
      </c>
      <c r="H1" s="294"/>
      <c r="K1" s="243"/>
    </row>
    <row r="2" spans="1:11" ht="15" customHeight="1">
      <c r="A2" s="26" t="s">
        <v>1431</v>
      </c>
      <c r="B2" s="540">
        <v>220</v>
      </c>
      <c r="E2" s="26">
        <f>ROUNDUP((B2+2*B3)/600,0)</f>
        <v>2</v>
      </c>
      <c r="F2" s="26" t="s">
        <v>1432</v>
      </c>
      <c r="J2" s="26" t="s">
        <v>1433</v>
      </c>
      <c r="K2" s="40">
        <v>439</v>
      </c>
    </row>
    <row r="3" spans="1:11" ht="15" customHeight="1">
      <c r="A3" s="26" t="s">
        <v>1434</v>
      </c>
      <c r="B3" s="540">
        <v>200</v>
      </c>
      <c r="E3" s="26">
        <f>IF(B4=1,ROUNDUP(2*(B2+B3)/600,0),ROUNDUP(2*(B2+B3)/600,0)+ROUNDUP(B3/600,0))</f>
        <v>2</v>
      </c>
      <c r="F3" s="26" t="s">
        <v>1435</v>
      </c>
      <c r="J3" s="26" t="s">
        <v>1436</v>
      </c>
      <c r="K3" s="40">
        <v>1100</v>
      </c>
    </row>
    <row r="4" spans="1:11" ht="15" customHeight="1">
      <c r="A4" s="26" t="s">
        <v>1109</v>
      </c>
      <c r="B4" s="540">
        <v>1</v>
      </c>
      <c r="E4" s="26">
        <f>E3*น้ำหนักโปรไฟล์!$C$333+E2*น้ำหนักโปรไฟล์!$C$332</f>
        <v>12.923999999999999</v>
      </c>
      <c r="F4" s="26" t="s">
        <v>1437</v>
      </c>
      <c r="J4" s="26" t="s">
        <v>1438</v>
      </c>
      <c r="K4" s="40">
        <v>900</v>
      </c>
    </row>
    <row r="5" spans="1:11" ht="15" customHeight="1">
      <c r="A5" s="26" t="s">
        <v>1236</v>
      </c>
      <c r="B5" s="540" t="s">
        <v>1439</v>
      </c>
      <c r="C5" s="488" t="s">
        <v>3113</v>
      </c>
      <c r="E5" s="26">
        <f>IF(OR(B5="อบสีพิเศษ",B5="อบลายไม้พิเศษ"),อัปเดตราคาอลู!$B$17,0)</f>
        <v>0</v>
      </c>
      <c r="F5" s="26" t="s">
        <v>1440</v>
      </c>
      <c r="J5" s="26" t="s">
        <v>755</v>
      </c>
      <c r="K5" s="40">
        <v>1076</v>
      </c>
    </row>
    <row r="6" spans="1:11" ht="15" customHeight="1">
      <c r="A6" s="26" t="s">
        <v>1441</v>
      </c>
      <c r="B6" s="540" t="s">
        <v>1164</v>
      </c>
      <c r="J6" s="26" t="s">
        <v>759</v>
      </c>
      <c r="K6" s="40">
        <v>1033</v>
      </c>
    </row>
    <row r="7" spans="1:11" ht="15" customHeight="1">
      <c r="A7" s="26" t="s">
        <v>1442</v>
      </c>
      <c r="B7" s="540" t="s">
        <v>1164</v>
      </c>
      <c r="J7" s="26" t="s">
        <v>762</v>
      </c>
      <c r="K7" s="40">
        <v>1291</v>
      </c>
    </row>
    <row r="8" spans="1:11" ht="15" customHeight="1">
      <c r="A8" s="26" t="s">
        <v>1419</v>
      </c>
      <c r="B8" s="540" t="s">
        <v>742</v>
      </c>
      <c r="J8" s="26" t="s">
        <v>752</v>
      </c>
      <c r="K8" s="40">
        <v>1432</v>
      </c>
    </row>
    <row r="9" spans="1:11" ht="15" customHeight="1">
      <c r="A9" s="26" t="s">
        <v>1443</v>
      </c>
      <c r="B9" s="61">
        <f>IFERROR(INDEX(ราคากระจก!$B$3:$B$206,MATCH(B8,ราคากระจก!$A$3:$A$206,0)),0)</f>
        <v>403</v>
      </c>
      <c r="J9" s="26" t="s">
        <v>1444</v>
      </c>
      <c r="K9" s="40">
        <v>1937</v>
      </c>
    </row>
    <row r="10" spans="1:11" ht="15" customHeight="1">
      <c r="A10" s="26" t="s">
        <v>1114</v>
      </c>
      <c r="B10" s="26">
        <f>(B2/100)*(B3/100)</f>
        <v>4.4000000000000004</v>
      </c>
      <c r="J10" s="26" t="s">
        <v>1445</v>
      </c>
      <c r="K10" s="40">
        <v>2196</v>
      </c>
    </row>
    <row r="11" spans="1:11" ht="15" customHeight="1">
      <c r="A11" s="26" t="s">
        <v>1116</v>
      </c>
      <c r="B11" s="384">
        <f>$B$63</f>
        <v>82</v>
      </c>
      <c r="C11" s="588" t="s">
        <v>2702</v>
      </c>
      <c r="J11" s="26" t="s">
        <v>1446</v>
      </c>
      <c r="K11" s="40">
        <v>2368</v>
      </c>
    </row>
    <row r="12" spans="1:11" ht="15" customHeight="1">
      <c r="A12" s="26" t="s">
        <v>1119</v>
      </c>
      <c r="B12" s="540">
        <v>90</v>
      </c>
    </row>
    <row r="14" spans="1:11" ht="15" customHeight="1">
      <c r="A14" s="51" t="s">
        <v>470</v>
      </c>
      <c r="B14" s="540" t="s">
        <v>1124</v>
      </c>
      <c r="C14" s="540" t="s">
        <v>1125</v>
      </c>
      <c r="D14" s="51" t="s">
        <v>1126</v>
      </c>
      <c r="E14" s="51" t="s">
        <v>569</v>
      </c>
    </row>
    <row r="15" spans="1:11" ht="15" customHeight="1">
      <c r="A15" s="36" t="s">
        <v>3176</v>
      </c>
      <c r="B15" s="36">
        <f>(IFERROR(Velora_ตัด!E9*Velora_ตัด!F9,0)+IFERROR(Velora_ตัด!E10*Velora_ตัด!F10,0)+IF(B7="มี",IFERROR(Velora_ตัด!E9,0),0))/600*buf_scrap</f>
        <v>1.3433333333333335</v>
      </c>
      <c r="C15" s="32">
        <f>ราคาสี!$D$214*mult_velora+(IF(B5="อบขาว/ดำ/เทา",rate_grey,IF(B5="อบสีพิเศษ",rate_special,rate_woodbake)))*น้ำหนักโปรไฟล์!$C$332</f>
        <v>1125.5999999999999</v>
      </c>
      <c r="D15" s="32">
        <f t="shared" ref="D15:D22" si="0">B15*C15</f>
        <v>1512.056</v>
      </c>
      <c r="E15" s="36" t="s">
        <v>1447</v>
      </c>
    </row>
    <row r="16" spans="1:11" ht="15" customHeight="1">
      <c r="A16" s="36" t="s">
        <v>1448</v>
      </c>
      <c r="B16" s="36">
        <f>(IFERROR(Velora_ตัด!E11*Velora_ตัด!F11,0)+IFERROR(Velora_ตัด!E12*Velora_ตัด!F12,0))/600*buf_scrap</f>
        <v>1.7810000000000001</v>
      </c>
      <c r="C16" s="32">
        <f>ราคาสี!$D$215*mult_velora+(IF(B5="อบขาว/ดำ/เทา",rate_grey,IF(B5="อบสีพิเศษ",rate_special,rate_woodbake)))*น้ำหนักโปรไฟล์!$C$333</f>
        <v>1008.6</v>
      </c>
      <c r="D16" s="32">
        <f t="shared" si="0"/>
        <v>1796.3166000000001</v>
      </c>
      <c r="E16" s="36" t="s">
        <v>1449</v>
      </c>
    </row>
    <row r="17" spans="1:5" ht="15" customHeight="1">
      <c r="A17" s="36" t="s">
        <v>1135</v>
      </c>
      <c r="B17" s="36">
        <v>1</v>
      </c>
      <c r="C17" s="32">
        <f>อัปเดตราคาอลู!$B$17</f>
        <v>2000</v>
      </c>
      <c r="D17" s="32">
        <f t="shared" si="0"/>
        <v>2000</v>
      </c>
      <c r="E17" s="36" t="s">
        <v>1450</v>
      </c>
    </row>
    <row r="18" spans="1:5" ht="15" customHeight="1">
      <c r="A18" s="36" t="s">
        <v>1451</v>
      </c>
      <c r="B18" s="36">
        <f>B4*4</f>
        <v>4</v>
      </c>
      <c r="C18" s="32">
        <f>ชีทอุปกรณ์!$D$187</f>
        <v>110</v>
      </c>
      <c r="D18" s="32">
        <f t="shared" si="0"/>
        <v>440</v>
      </c>
      <c r="E18" s="36" t="s">
        <v>1452</v>
      </c>
    </row>
    <row r="19" spans="1:5" ht="15" customHeight="1">
      <c r="A19" s="36" t="s">
        <v>1213</v>
      </c>
      <c r="B19" s="36">
        <f>1</f>
        <v>1</v>
      </c>
      <c r="C19" s="32">
        <f>IF(B6="มี",ชีทอุปกรณ์!$D$188,ชีทอุปกรณ์!$D$189)</f>
        <v>450</v>
      </c>
      <c r="D19" s="32">
        <f t="shared" si="0"/>
        <v>450</v>
      </c>
      <c r="E19" s="36" t="s">
        <v>1453</v>
      </c>
    </row>
    <row r="20" spans="1:5" ht="15" customHeight="1">
      <c r="A20" s="36" t="s">
        <v>1454</v>
      </c>
      <c r="B20" s="36">
        <f>IF(B7="มี",ROUNDUP(B2/600,0),0)</f>
        <v>0</v>
      </c>
      <c r="C20" s="32">
        <v>0</v>
      </c>
      <c r="D20" s="32">
        <f t="shared" si="0"/>
        <v>0</v>
      </c>
      <c r="E20" s="36" t="s">
        <v>1455</v>
      </c>
    </row>
    <row r="21" spans="1:5" ht="15" customHeight="1">
      <c r="A21" s="36" t="s">
        <v>1128</v>
      </c>
      <c r="B21" s="36">
        <f>B10</f>
        <v>4.4000000000000004</v>
      </c>
      <c r="C21" s="32">
        <f>B9</f>
        <v>403</v>
      </c>
      <c r="D21" s="32">
        <f t="shared" si="0"/>
        <v>1773.2</v>
      </c>
    </row>
    <row r="22" spans="1:5" ht="15" customHeight="1">
      <c r="A22" s="36" t="s">
        <v>1215</v>
      </c>
      <c r="B22" s="36">
        <f>ROUNDUP(2*(B2+B3)/100*2/12.5,0)</f>
        <v>2</v>
      </c>
      <c r="C22" s="32">
        <f>B12</f>
        <v>90</v>
      </c>
      <c r="D22" s="32">
        <f t="shared" si="0"/>
        <v>180</v>
      </c>
    </row>
    <row r="24" spans="1:5" ht="15" customHeight="1">
      <c r="A24" s="45" t="s">
        <v>1137</v>
      </c>
      <c r="D24" s="46">
        <f>SUM(D15:D22)+D42+D43+D44+D45</f>
        <v>8151.5726000000004</v>
      </c>
    </row>
    <row r="25" spans="1:5" ht="15" customHeight="1">
      <c r="A25" s="45" t="s">
        <v>1045</v>
      </c>
      <c r="D25" s="46">
        <f>IF(B10&gt;0,D24/B10,0)</f>
        <v>1852.6301363636362</v>
      </c>
    </row>
    <row r="26" spans="1:5" ht="15" customHeight="1">
      <c r="A26" s="45" t="s">
        <v>1216</v>
      </c>
      <c r="D26" s="24">
        <f>ROUNDUP(D25*(1+B11/100)/100,0)*100</f>
        <v>3400</v>
      </c>
    </row>
    <row r="27" spans="1:5" ht="15" customHeight="1">
      <c r="A27" s="45" t="s">
        <v>1143</v>
      </c>
      <c r="D27" s="24">
        <f>B10*D26</f>
        <v>14960.000000000002</v>
      </c>
    </row>
    <row r="29" spans="1:5" ht="15" customHeight="1">
      <c r="A29" s="36" t="s">
        <v>1456</v>
      </c>
      <c r="D29" s="32">
        <f>E4</f>
        <v>12.923999999999999</v>
      </c>
    </row>
    <row r="31" spans="1:5">
      <c r="A31" s="21" t="s">
        <v>1157</v>
      </c>
    </row>
    <row r="32" spans="1:5">
      <c r="A32" s="40" t="s">
        <v>1158</v>
      </c>
      <c r="D32" s="22">
        <f>MAX(0,VLOOKUP("Velora",ค่าแรง!$A$12:$N$117,2,0)+VLOOKUP("Velora",ค่าแรง!$A$12:$N$117,3,0)*B10)</f>
        <v>892.5</v>
      </c>
    </row>
    <row r="33" spans="1:8">
      <c r="A33" s="40" t="s">
        <v>1159</v>
      </c>
      <c r="D33" s="22">
        <f>MAX(0,VLOOKUP("Velora",ค่าแรง!$A$12:$N$117,4,0)+VLOOKUP("Velora",ค่าแรง!$A$12:$N$117,5,0)*B10)</f>
        <v>1242.5</v>
      </c>
    </row>
    <row r="35" spans="1:8">
      <c r="A35" s="21" t="s">
        <v>1160</v>
      </c>
      <c r="D35" s="24">
        <f>ROUNDUP((ROUNDUP((ROUNDUP(D24*(1+B11/100)/100,0)*100+ROUNDUP((D32+D46)*(1+B64/100)/100,0)*100)*(1+$B$66/100)/100,0)*100)*1/100,0)*100</f>
        <v>21400</v>
      </c>
    </row>
    <row r="36" spans="1:8">
      <c r="A36" s="21" t="s">
        <v>1161</v>
      </c>
      <c r="D36" s="24">
        <f>D35+ROUNDUP((ROUNDUP((ROUNDUP((D33+D47)*(1+B65/100)/100,0)*100)*(1+$B$66/100)/100,0)*100)*1/100,0)*100</f>
        <v>24800</v>
      </c>
    </row>
    <row r="39" spans="1:8">
      <c r="A39" s="172" t="s">
        <v>1145</v>
      </c>
    </row>
    <row r="40" spans="1:8">
      <c r="A40" s="21" t="s">
        <v>1147</v>
      </c>
      <c r="B40" s="610" t="s">
        <v>674</v>
      </c>
      <c r="C40" s="217" t="str">
        <f>IF(B40="ไม่มีมุ้ง","—",IF(H41=1,"✓ ใช้ได้","⚠ ใช้กับบานนี้ไม่ได้(ทุน=0)"))</f>
        <v>—</v>
      </c>
      <c r="D40" s="217" t="str">
        <f>IF(B40="ไม่มีมุ้ง","",H46&amp;" บาน")</f>
        <v/>
      </c>
      <c r="H40" s="218" t="str">
        <f>IFERROR(VLOOKUP(B40,ราคามุ้ง!$A$2:$K$15,3,0),"")</f>
        <v/>
      </c>
    </row>
    <row r="41" spans="1:8">
      <c r="A41" s="26" t="s">
        <v>1148</v>
      </c>
      <c r="B41" s="610" t="s">
        <v>682</v>
      </c>
      <c r="C41" s="610" t="s">
        <v>1149</v>
      </c>
      <c r="H41" s="218">
        <f>IF(B40="ไม่มีมุ้ง",0,IF(OR(IFERROR(VLOOKUP(B40,ราคามุ้ง!$A$2:$K$15,4,0),"ALL")="ALL",ISNUMBER(SEARCH("Velora",IFERROR(VLOOKUP(B40,ราคามุ้ง!$A$2:$K$15,4,0),"")))),1,0))</f>
        <v>0</v>
      </c>
    </row>
    <row r="42" spans="1:8">
      <c r="A42" s="26" t="s">
        <v>1150</v>
      </c>
      <c r="B42" s="219">
        <f>IF(AND(H41=1,H42=1),ROUND(H46*2*H45/6,2),0)</f>
        <v>0</v>
      </c>
      <c r="C42" s="220">
        <f>IF(B40="มุ้งเฟรมเล็ก",ราคามุ้ง!$B$19,IF(B40="มุ้งเฟรมใหญ่",0,IF(B40="มุ้งนิรภัย",ราคามุ้ง!$B$21,0)))</f>
        <v>0</v>
      </c>
      <c r="D42" s="221">
        <f>ROUND(B42*C42,0)</f>
        <v>0</v>
      </c>
      <c r="H42" s="218">
        <f>IF(OR(B40="มุ้งเฟรมเล็ก",B40="มุ้งเฟรมใหญ่",B40="มุ้งนิรภัย"),1,0)</f>
        <v>0</v>
      </c>
    </row>
    <row r="43" spans="1:8">
      <c r="A43" s="26" t="s">
        <v>1151</v>
      </c>
      <c r="B43" s="222">
        <f>IF(AND(H41=1,H42=1),ROUND(H46*2*H44/6,2),0)</f>
        <v>0</v>
      </c>
      <c r="C43" s="220">
        <f>IF(B40="มุ้งเฟรมเล็ก",ราคามุ้ง!$B$19,IF(B40="มุ้งเฟรมใหญ่",0,IF(B40="มุ้งนิรภัย",ราคามุ้ง!$B$21,0)))</f>
        <v>0</v>
      </c>
      <c r="D43" s="220">
        <f>ROUND(B43*C43,0)</f>
        <v>0</v>
      </c>
      <c r="H43" s="218">
        <f>IFERROR(VLOOKUP(B41,ราคามุ้ง!$I$2:$J$5,2,0),0)</f>
        <v>23</v>
      </c>
    </row>
    <row r="44" spans="1:8">
      <c r="A44" s="21" t="s">
        <v>1152</v>
      </c>
      <c r="B44" s="223">
        <f>IF(AND(H41=1,H42=1),ROUND(H46*2*(H44+H45),2),0)</f>
        <v>0</v>
      </c>
      <c r="C44" s="220">
        <f>ราคามุ้ง!$D$19</f>
        <v>5</v>
      </c>
      <c r="D44" s="221">
        <f>ROUND(B44*C44,0)</f>
        <v>0</v>
      </c>
      <c r="H44" s="224">
        <f>IF(B4&gt;0,B2/(B4*100),0)</f>
        <v>2.2000000000000002</v>
      </c>
    </row>
    <row r="45" spans="1:8">
      <c r="A45" s="21" t="s">
        <v>1153</v>
      </c>
      <c r="B45" s="223">
        <f>IF(H41=0,0,ROUND(H46*H44*H45,2))</f>
        <v>0</v>
      </c>
      <c r="C45" s="220">
        <f>IF(B40="มุ้งนิรภัย",650,IF(OR(B40="มุ้งเฟรมเล็ก",B40="มุ้งเฟรมใหญ่"),H43,IF(H40="ซื้อสำเร็จ",IFERROR(VLOOKUP(B40,ราคามุ้ง!$A$2:$K$15,2,0),0),0)))</f>
        <v>0</v>
      </c>
      <c r="D45" s="221">
        <f>ROUND(B45*C45,0)</f>
        <v>0</v>
      </c>
      <c r="H45" s="223">
        <f>B3/100</f>
        <v>2</v>
      </c>
    </row>
    <row r="46" spans="1:8">
      <c r="A46" s="21" t="s">
        <v>1154</v>
      </c>
      <c r="D46" s="221">
        <f>IF(H41=0,0,ROUND(H46*(VLOOKUP(B40,ค่าแรง!$A$12:$N$103,2,0)+VLOOKUP(B40,ค่าแรง!$A$12:$N$103,3,0)*H44*H45),0))</f>
        <v>0</v>
      </c>
      <c r="H46" s="217">
        <f>B4</f>
        <v>1</v>
      </c>
    </row>
    <row r="47" spans="1:8">
      <c r="A47" s="217" t="s">
        <v>1155</v>
      </c>
      <c r="D47" s="220">
        <f>IF(H41=0,0,ROUND(H46*(VLOOKUP(B40,ค่าแรง!$A$12:$N$103,4,0)+VLOOKUP(B40,ค่าแรง!$A$12:$N$103,5,0)*H44*H45),0))</f>
        <v>0</v>
      </c>
    </row>
    <row r="48" spans="1:8">
      <c r="A48" s="253" t="s">
        <v>1194</v>
      </c>
      <c r="D48" s="254">
        <f>SUM(D42:D47)</f>
        <v>0</v>
      </c>
    </row>
    <row r="49" spans="1:1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</row>
    <row r="50" spans="1:11">
      <c r="A50" s="289"/>
      <c r="B50" s="117"/>
      <c r="C50" s="117"/>
      <c r="D50" s="117"/>
      <c r="E50" s="117"/>
      <c r="F50" s="117"/>
      <c r="G50" s="117"/>
      <c r="H50" s="117"/>
      <c r="I50" s="117"/>
      <c r="J50" s="117"/>
      <c r="K50" s="117"/>
    </row>
    <row r="51" spans="1:11">
      <c r="A51" s="290"/>
      <c r="B51" s="291"/>
      <c r="C51" s="117"/>
      <c r="D51" s="117"/>
      <c r="E51" s="117"/>
      <c r="F51" s="117"/>
      <c r="G51" s="117"/>
      <c r="H51" s="117"/>
      <c r="I51" s="117"/>
      <c r="J51" s="117"/>
      <c r="K51" s="117"/>
    </row>
    <row r="52" spans="1:11">
      <c r="A52" s="290"/>
      <c r="B52" s="291"/>
      <c r="C52" s="117"/>
      <c r="D52" s="117"/>
      <c r="E52" s="117"/>
      <c r="F52" s="117"/>
      <c r="G52" s="117"/>
      <c r="H52" s="117"/>
      <c r="I52" s="117"/>
      <c r="J52" s="117"/>
      <c r="K52" s="117"/>
    </row>
    <row r="53" spans="1:11">
      <c r="A53" s="290"/>
      <c r="B53" s="291"/>
      <c r="C53" s="117"/>
      <c r="D53" s="117"/>
      <c r="E53" s="117"/>
      <c r="F53" s="117"/>
      <c r="G53" s="117"/>
      <c r="H53" s="117"/>
      <c r="I53" s="117"/>
      <c r="J53" s="117"/>
      <c r="K53" s="117"/>
    </row>
    <row r="54" spans="1:11">
      <c r="A54" s="290"/>
      <c r="B54" s="292"/>
      <c r="C54" s="117"/>
      <c r="D54" s="117"/>
      <c r="E54" s="117"/>
      <c r="F54" s="117"/>
      <c r="G54" s="117"/>
      <c r="H54" s="117"/>
      <c r="I54" s="117"/>
      <c r="J54" s="117"/>
      <c r="K54" s="117"/>
    </row>
    <row r="55" spans="1:1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83" t="s">
        <v>1138</v>
      </c>
    </row>
    <row r="57" spans="1:11">
      <c r="A57" s="284" t="s">
        <v>1139</v>
      </c>
      <c r="B57" s="285">
        <f>D15+D16</f>
        <v>3308.3726000000001</v>
      </c>
    </row>
    <row r="58" spans="1:11">
      <c r="A58" s="286" t="s">
        <v>1141</v>
      </c>
      <c r="B58" s="287">
        <f>D21</f>
        <v>1773.2</v>
      </c>
    </row>
    <row r="59" spans="1:11">
      <c r="A59" s="286" t="s">
        <v>1142</v>
      </c>
      <c r="B59" s="287">
        <f>D17+D18+D19+D20+D22</f>
        <v>3070</v>
      </c>
    </row>
    <row r="60" spans="1:11">
      <c r="A60" s="286" t="s">
        <v>1144</v>
      </c>
      <c r="B60" s="288">
        <f>SUM(B57:B59)</f>
        <v>8151.5726000000004</v>
      </c>
    </row>
    <row r="62" spans="1:11">
      <c r="A62" s="286" t="s">
        <v>3148</v>
      </c>
    </row>
    <row r="63" spans="1:11">
      <c r="A63" s="286" t="s">
        <v>1179</v>
      </c>
      <c r="B63" s="545">
        <f>ROUND(($B$70*$B$71-1)*100,0)</f>
        <v>82</v>
      </c>
      <c r="C63" s="286" t="s">
        <v>3149</v>
      </c>
    </row>
    <row r="64" spans="1:11">
      <c r="A64" s="286" t="s">
        <v>1180</v>
      </c>
      <c r="B64" s="545">
        <f>ROUND(($C$70*$B$71-1)*100,0)</f>
        <v>65</v>
      </c>
      <c r="C64" s="286" t="s">
        <v>3149</v>
      </c>
    </row>
    <row r="65" spans="1:6">
      <c r="A65" s="286" t="s">
        <v>1181</v>
      </c>
      <c r="B65" s="545">
        <f>ROUND(($D$70*$B$71-1)*100,0)</f>
        <v>107</v>
      </c>
      <c r="C65" s="286" t="s">
        <v>3149</v>
      </c>
    </row>
    <row r="66" spans="1:6">
      <c r="A66" s="286" t="s">
        <v>3122</v>
      </c>
      <c r="B66" s="540">
        <v>30</v>
      </c>
      <c r="C66" s="286" t="s">
        <v>3150</v>
      </c>
    </row>
    <row r="68" spans="1:6">
      <c r="A68" s="533" t="s">
        <v>3151</v>
      </c>
      <c r="B68" s="535"/>
      <c r="C68" s="533"/>
    </row>
    <row r="69" spans="1:6">
      <c r="A69" t="s">
        <v>3144</v>
      </c>
      <c r="B69" s="541">
        <v>35</v>
      </c>
      <c r="C69" t="s">
        <v>3152</v>
      </c>
    </row>
    <row r="70" spans="1:6">
      <c r="A70" t="s">
        <v>3153</v>
      </c>
      <c r="B70" s="542">
        <v>1.895</v>
      </c>
      <c r="C70" s="542">
        <v>1.7230000000000001</v>
      </c>
      <c r="D70" s="542">
        <v>2.1539999999999999</v>
      </c>
      <c r="E70" s="542" t="s">
        <v>3154</v>
      </c>
      <c r="F70" s="542"/>
    </row>
    <row r="71" spans="1:6">
      <c r="A71" t="s">
        <v>3155</v>
      </c>
      <c r="B71" s="542">
        <f>IFERROR((((D24)+(D32+D46)+(D33+D47))/(100/(100+B66)-B69/100))/(((D24)*$B$70+(D32+D46)*$C$70+(D33+D47)*$D$70)*(1+B66/100)),1)</f>
        <v>0.95997694277117751</v>
      </c>
      <c r="C71" t="s">
        <v>3156</v>
      </c>
    </row>
    <row r="73" spans="1:6">
      <c r="A73" s="533" t="s">
        <v>3126</v>
      </c>
      <c r="B73" s="535"/>
      <c r="C73" s="533"/>
    </row>
    <row r="74" spans="1:6">
      <c r="A74" s="533" t="s">
        <v>3127</v>
      </c>
      <c r="B74" s="534">
        <f>IFERROR(ROUND(D36-D36/(1+B66/100),0),0)</f>
        <v>5723</v>
      </c>
      <c r="C74" s="533" t="s">
        <v>3128</v>
      </c>
    </row>
    <row r="75" spans="1:6">
      <c r="A75" s="533" t="s">
        <v>3129</v>
      </c>
      <c r="B75" s="534">
        <f>D24+D32+D46+D33+D47+B74</f>
        <v>16009.5726</v>
      </c>
      <c r="C75" s="533" t="s">
        <v>3130</v>
      </c>
    </row>
    <row r="76" spans="1:6">
      <c r="A76" s="536" t="s">
        <v>3131</v>
      </c>
      <c r="B76" s="537">
        <f>IFERROR((D36-B75)/D36,"")</f>
        <v>0.35445271774193549</v>
      </c>
      <c r="C76" s="536" t="s">
        <v>3157</v>
      </c>
    </row>
  </sheetData>
  <sheetProtection sheet="1" objects="1" scenarios="1"/>
  <mergeCells count="1">
    <mergeCell ref="A1:F1"/>
  </mergeCells>
  <dataValidations count="7">
    <dataValidation type="list" sqref="B4" xr:uid="{00000000-0002-0000-1700-000000000000}">
      <formula1>"1,2"</formula1>
      <formula2>0</formula2>
    </dataValidation>
    <dataValidation type="list" sqref="B6:B7" xr:uid="{00000000-0002-0000-1700-000001000000}">
      <formula1>"ไม่มี,มี"</formula1>
      <formula2>0</formula2>
    </dataValidation>
    <dataValidation type="list" allowBlank="1" sqref="B8" xr:uid="{00000000-0002-0000-1700-000002000000}">
      <formula1>SlimLuxGlass</formula1>
    </dataValidation>
    <dataValidation type="list" allowBlank="1" sqref="B40" xr:uid="{00000000-0002-0000-1700-000004000000}">
      <formula1>MungList</formula1>
    </dataValidation>
    <dataValidation type="list" allowBlank="1" sqref="B41" xr:uid="{00000000-0002-0000-1700-000005000000}">
      <formula1>ClothList</formula1>
    </dataValidation>
    <dataValidation type="list" allowBlank="1" sqref="C41" xr:uid="{00000000-0002-0000-1700-000006000000}">
      <formula1>"เทา,ดำ"</formula1>
    </dataValidation>
    <dataValidation type="list" allowBlank="1" showInputMessage="1" showErrorMessage="1" sqref="B5" xr:uid="{52997BCE-DE52-4514-92C7-1F10886BF998}">
      <formula1>"อบขาว/ดำ/เทา,อบสีพิเศษ,อบลายไม้พิเศษ"</formula1>
    </dataValidation>
  </dataValidations>
  <hyperlinks>
    <hyperlink ref="G1" location="'สารบัญ'!A1" display="🏠 สารบัญ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B9BD5"/>
  </sheetPr>
  <dimension ref="A1:K88"/>
  <sheetViews>
    <sheetView zoomScaleNormal="100" workbookViewId="0">
      <pane ySplit="12" topLeftCell="A13" activePane="bottomLeft" state="frozen"/>
      <selection pane="bottomLeft" sqref="A1:F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7.44140625" customWidth="1"/>
    <col min="7" max="7" width="8.5546875" customWidth="1"/>
    <col min="8" max="8" width="4.44140625" customWidth="1"/>
  </cols>
  <sheetData>
    <row r="1" spans="1:8" ht="24" customHeight="1">
      <c r="A1" s="660" t="s">
        <v>1457</v>
      </c>
      <c r="B1" s="650"/>
      <c r="C1" s="650"/>
      <c r="D1" s="650"/>
      <c r="E1" s="650"/>
      <c r="F1" s="650"/>
      <c r="G1" s="293" t="s">
        <v>68</v>
      </c>
      <c r="H1" s="294"/>
    </row>
    <row r="2" spans="1:8" ht="15" customHeight="1">
      <c r="A2" s="26" t="s">
        <v>1105</v>
      </c>
      <c r="B2" s="540">
        <v>600</v>
      </c>
      <c r="E2" s="26" t="s">
        <v>1106</v>
      </c>
      <c r="F2" s="26">
        <f>IF(B5="อิสระ",B4,IF(B5="ลากจูง",B4-1,B4-2))</f>
        <v>3</v>
      </c>
    </row>
    <row r="3" spans="1:8" ht="15" customHeight="1">
      <c r="A3" s="26" t="s">
        <v>1107</v>
      </c>
      <c r="B3" s="540">
        <v>300</v>
      </c>
      <c r="E3" s="26" t="s">
        <v>1113</v>
      </c>
      <c r="F3" s="26">
        <f>IF(B5="เปิดคู่กลาง",4,2)</f>
        <v>2</v>
      </c>
    </row>
    <row r="4" spans="1:8" ht="15" customHeight="1">
      <c r="A4" s="26" t="s">
        <v>1109</v>
      </c>
      <c r="B4" s="540">
        <v>3</v>
      </c>
      <c r="E4" s="26" t="s">
        <v>1115</v>
      </c>
      <c r="F4" s="26">
        <f>IF(B5="เปิดคู่กลาง",B4-2,B4-1)</f>
        <v>2</v>
      </c>
    </row>
    <row r="5" spans="1:8" ht="15" customHeight="1">
      <c r="A5" s="26" t="s">
        <v>1196</v>
      </c>
      <c r="B5" s="540" t="s">
        <v>1112</v>
      </c>
      <c r="C5" s="390" t="str">
        <f>IF(B5="","⚠ ยังไม่เลือกรูปแบบ — จำนวนเสา/ราง จะขาด","")</f>
        <v/>
      </c>
      <c r="E5" s="26" t="s">
        <v>1458</v>
      </c>
      <c r="F5" s="26"/>
    </row>
    <row r="6" spans="1:8" ht="15" customHeight="1">
      <c r="A6" s="26" t="s">
        <v>1122</v>
      </c>
      <c r="B6" s="540" t="s">
        <v>1123</v>
      </c>
      <c r="E6" s="26" t="s">
        <v>1117</v>
      </c>
      <c r="F6" s="584" t="s">
        <v>1118</v>
      </c>
      <c r="G6" t="s">
        <v>1459</v>
      </c>
      <c r="H6" t="str">
        <f>IF(B6="สีอบขาว/ดำ","เทาซาฮาร่า",B6)</f>
        <v>เทาซาฮาร่า</v>
      </c>
    </row>
    <row r="7" spans="1:8" ht="15" customHeight="1">
      <c r="A7" s="26" t="s">
        <v>1120</v>
      </c>
      <c r="B7" s="540" t="s">
        <v>733</v>
      </c>
      <c r="C7" s="26">
        <f>INDEX(ราคากระจก!$B$3:$B$206,MATCH(B7,ราคากระจก!$A$3:$A$206,0))</f>
        <v>264</v>
      </c>
      <c r="D7" s="26" t="s">
        <v>1121</v>
      </c>
    </row>
    <row r="8" spans="1:8" ht="15" customHeight="1">
      <c r="A8" s="26" t="s">
        <v>1460</v>
      </c>
      <c r="B8" s="540">
        <v>2</v>
      </c>
      <c r="C8" s="26" t="s">
        <v>1461</v>
      </c>
    </row>
    <row r="9" spans="1:8" ht="15" customHeight="1">
      <c r="A9" s="26" t="s">
        <v>1462</v>
      </c>
      <c r="B9" s="384">
        <f>$B$67</f>
        <v>62</v>
      </c>
      <c r="C9" s="588" t="s">
        <v>2702</v>
      </c>
    </row>
    <row r="10" spans="1:8" ht="15" customHeight="1">
      <c r="A10" s="26" t="s">
        <v>1119</v>
      </c>
      <c r="B10" s="540">
        <v>90</v>
      </c>
    </row>
    <row r="11" spans="1:8" ht="15" customHeight="1">
      <c r="A11" s="26" t="s">
        <v>1114</v>
      </c>
      <c r="B11" s="26">
        <f>(B2/100)*(B3/100)</f>
        <v>18</v>
      </c>
    </row>
    <row r="12" spans="1:8" ht="15" customHeight="1">
      <c r="A12" s="51" t="s">
        <v>470</v>
      </c>
      <c r="B12" s="540" t="s">
        <v>1124</v>
      </c>
      <c r="C12" s="540" t="s">
        <v>1125</v>
      </c>
      <c r="D12" s="51" t="s">
        <v>1126</v>
      </c>
      <c r="E12" s="51" t="s">
        <v>569</v>
      </c>
    </row>
    <row r="13" spans="1:8" ht="15" customHeight="1">
      <c r="A13" s="36" t="s">
        <v>1463</v>
      </c>
      <c r="B13" s="36">
        <f>((1)*((B2/100))/6.4)*buf_scrap</f>
        <v>1.21875</v>
      </c>
      <c r="C13" s="32">
        <f>IF(H6="สีอบขาว/ดำ",VLOOKUP("E-01",ราคาสี!$A:$D,4,0),IF(OR(H6="เทาซาฮาร่า",H6="สีดำซาฮาร่า"),VLOOKUP("E-01",ราคาสี!$A:$D,4,0)+rate_grey*น้ำหนักโปรไฟล์!$C$307,VLOOKUP("E-01",ราคาสี!$A:$D,4,0)+IF(H6="สีอบพิเศษ",rate_special,rate_woodbake)*น้ำหนักโปรไฟล์!$C$307))</f>
        <v>3476.6669999999999</v>
      </c>
      <c r="D13" s="32">
        <f t="shared" ref="D13:D21" si="0">B13*C13*mult_sms</f>
        <v>4237.1879062500002</v>
      </c>
      <c r="E13" s="36" t="s">
        <v>1464</v>
      </c>
    </row>
    <row r="14" spans="1:8" ht="15" customHeight="1">
      <c r="A14" s="36" t="s">
        <v>1465</v>
      </c>
      <c r="B14" s="36">
        <f>((1)*((B2/100))/6.4)*buf_scrap</f>
        <v>1.21875</v>
      </c>
      <c r="C14" s="32">
        <f>IF(H6="สีอบขาว/ดำ",IF($F$6="ภายใน",ราคาสี!$D$217,ราคาสี!$D$218),IF(OR(H6="เทาซาฮาร่า",H6="สีดำซาฮาร่า"),IF($F$6="ภายใน",ราคาสี!$D$217,ราคาสี!$D$218)+rate_grey*IF($F$6="ภายใน",4.58333,11.95556),IF($F$6="ภายใน",ราคาสี!$D$217,ราคาสี!$D$218)+IF(H6="สีอบพิเศษ",rate_special,rate_woodbake)*IF($F$6="ภายใน",4.58333,11.95556)))</f>
        <v>3347.556</v>
      </c>
      <c r="D14" s="32">
        <f t="shared" si="0"/>
        <v>4079.8338750000003</v>
      </c>
      <c r="E14" s="36" t="s">
        <v>1464</v>
      </c>
    </row>
    <row r="15" spans="1:8" ht="15" customHeight="1">
      <c r="A15" s="36" t="s">
        <v>1466</v>
      </c>
      <c r="B15" s="36">
        <f>((2)*((B3/100))/6.4)*buf_scrap</f>
        <v>1.21875</v>
      </c>
      <c r="C15" s="32">
        <f>IF(H6="สีอบขาว/ดำ",VLOOKUP("E-02C",ราคาสี!$A:$D,4,0),IF(OR(H6="เทาซาฮาร่า",H6="สีดำซาฮาร่า"),VLOOKUP("E-02C",ราคาสี!$A:$D,4,0)+rate_grey*น้ำหนักโปรไฟล์!$C$308,VLOOKUP("E-02C",ราคาสี!$A:$D,4,0)+IF(H6="สีอบพิเศษ",rate_special,rate_woodbake)*น้ำหนักโปรไฟล์!$C$308))</f>
        <v>3103.3330000000001</v>
      </c>
      <c r="D15" s="32">
        <f t="shared" si="0"/>
        <v>3782.1870937500003</v>
      </c>
      <c r="E15" s="36" t="s">
        <v>1467</v>
      </c>
    </row>
    <row r="16" spans="1:8" ht="15" customHeight="1">
      <c r="A16" s="36" t="s">
        <v>1468</v>
      </c>
      <c r="B16" s="36">
        <f>IF(F6="ภายใน",0,IF(FLOOR(6.4/(B2/100),1)&gt;=1,ROUNDUP((1)/FLOOR(6.4/(B2/100),1),0),((B2/100)/6.4)*buf_scrap*(1)))</f>
        <v>1</v>
      </c>
      <c r="C16" s="32">
        <f>IF(H6="สีอบขาว/ดำ",ราคาสี!$D$216,IF(OR(H6="เทาซาฮาร่า",H6="สีดำซาฮาร่า"),ราคาสี!$D$216+rate_grey*น้ำหนักโปรไฟล์!$C$309,ราคาสี!$D$216+IF(H6="สีอบพิเศษ",rate_special,rate_woodbake)*น้ำหนักโปรไฟล์!$C$309))</f>
        <v>1154.222</v>
      </c>
      <c r="D16" s="32">
        <f t="shared" si="0"/>
        <v>1154.222</v>
      </c>
      <c r="E16" s="36" t="s">
        <v>1469</v>
      </c>
    </row>
    <row r="17" spans="1:6" ht="15" customHeight="1">
      <c r="A17" s="36" t="s">
        <v>1470</v>
      </c>
      <c r="B17" s="36">
        <f>(($F$3)*((B3/100))/6.4)*buf_scrap</f>
        <v>1.21875</v>
      </c>
      <c r="C17" s="32">
        <f>IF(H6="สีอบขาว/ดำ",VLOOKUP("E-04E",ราคาสี!$A:$D,4,0),IF(OR(H6="เทาซาฮาร่า",H6="สีดำซาฮาร่า"),VLOOKUP("E-04E",ราคาสี!$A:$D,4,0)+rate_grey*น้ำหนักโปรไฟล์!$C$310,VLOOKUP("E-04E",ราคาสี!$A:$D,4,0)+IF(H6="สีอบพิเศษ",rate_special,rate_woodbake)*น้ำหนักโปรไฟล์!$C$310))</f>
        <v>1680</v>
      </c>
      <c r="D17" s="32">
        <f t="shared" si="0"/>
        <v>2047.5</v>
      </c>
      <c r="E17" s="36" t="s">
        <v>1471</v>
      </c>
    </row>
    <row r="18" spans="1:6" ht="15" customHeight="1">
      <c r="A18" s="36" t="s">
        <v>1472</v>
      </c>
      <c r="B18" s="36">
        <f>((2*$F$4)*((B3/100))/6.4)*buf_scrap</f>
        <v>2.4375</v>
      </c>
      <c r="C18" s="32">
        <f>IF(H6="สีอบขาว/ดำ",VLOOKUP("E-05E",ราคาสี!$A:$D,4,0),IF(OR(H6="เทาซาฮาร่า",H6="สีดำซาฮาร่า"),VLOOKUP("E-05E",ราคาสี!$A:$D,4,0)+rate_grey*น้ำหนักโปรไฟล์!$C$311,VLOOKUP("E-05E",ราคาสี!$A:$D,4,0)+IF(H6="สีอบพิเศษ",rate_special,rate_woodbake)*น้ำหนักโปรไฟล์!$C$311))</f>
        <v>1667.556</v>
      </c>
      <c r="D18" s="32">
        <f t="shared" si="0"/>
        <v>4064.6677500000001</v>
      </c>
      <c r="E18" s="36" t="s">
        <v>1473</v>
      </c>
    </row>
    <row r="19" spans="1:6" ht="15" customHeight="1">
      <c r="A19" s="36" t="s">
        <v>1474</v>
      </c>
      <c r="B19" s="36">
        <f>((2*B4)*(((B2/100)/B4))/6.4)*buf_scrap</f>
        <v>2.4375</v>
      </c>
      <c r="C19" s="32">
        <f>IF(H6="สีอบขาว/ดำ",VLOOKUP("E-07E",ราคาสี!$A:$D,4,0),IF(OR(H6="เทาซาฮาร่า",H6="สีดำซาฮาร่า"),VLOOKUP("E-07E",ราคาสี!$A:$D,4,0)+rate_grey*น้ำหนักโปรไฟล์!$C$312,VLOOKUP("E-07E",ราคาสี!$A:$D,4,0)+IF(H6="สีอบพิเศษ",rate_special,rate_woodbake)*น้ำหนักโปรไฟล์!$C$312))</f>
        <v>1807.556</v>
      </c>
      <c r="D19" s="32">
        <f t="shared" si="0"/>
        <v>4405.9177500000005</v>
      </c>
      <c r="E19" s="36" t="s">
        <v>1475</v>
      </c>
    </row>
    <row r="20" spans="1:6" ht="15" customHeight="1">
      <c r="A20" s="36" t="s">
        <v>1476</v>
      </c>
      <c r="B20" s="36">
        <f>IF(AND(B5="อิสระ",B4=3),0,IF(B2&gt;300,2,1))</f>
        <v>0</v>
      </c>
      <c r="C20" s="32">
        <f>IF(H6="สีอบขาว/ดำ",VLOOKUP("E-01A",ราคาสี!$A:$D,4,0),IF(OR(H6="เทาซาฮาร่า",H6="สีดำซาฮาร่า"),VLOOKUP("E-01A",ราคาสี!$A:$D,4,0)+rate_grey*น้ำหนักโปรไฟล์!$C$313,VLOOKUP("E-01A",ราคาสี!$A:$D,4,0)+IF(H6="สีอบพิเศษ",rate_special,rate_woodbake)*น้ำหนักโปรไฟล์!$C$313))</f>
        <v>420</v>
      </c>
      <c r="D20" s="32">
        <f t="shared" si="0"/>
        <v>0</v>
      </c>
      <c r="E20" s="36" t="s">
        <v>1477</v>
      </c>
      <c r="F20" s="114"/>
    </row>
    <row r="21" spans="1:6" ht="15" customHeight="1">
      <c r="A21" s="36" t="s">
        <v>1478</v>
      </c>
      <c r="B21" s="36">
        <f>B20</f>
        <v>0</v>
      </c>
      <c r="C21" s="32">
        <f>IF(H6="สีอบขาว/ดำ",VLOOKUP("E-03C",ราคาสี!$A:$D,4,0),IF(OR(H6="เทาซาฮาร่า",H6="สีดำซาฮาร่า"),VLOOKUP("E-03C",ราคาสี!$A:$D,4,0)+rate_grey*น้ำหนักโปรไฟล์!$C$314,VLOOKUP("E-03C",ราคาสี!$A:$D,4,0)+IF(H6="สีอบพิเศษ",rate_special,rate_woodbake)*น้ำหนักโปรไฟล์!$C$314))</f>
        <v>700</v>
      </c>
      <c r="D21" s="32">
        <f t="shared" si="0"/>
        <v>0</v>
      </c>
      <c r="E21" s="32" t="s">
        <v>1479</v>
      </c>
    </row>
    <row r="22" spans="1:6" ht="15" customHeight="1">
      <c r="A22" s="36" t="s">
        <v>1128</v>
      </c>
      <c r="B22" s="36">
        <f>((B2/100)+(B4-1)*0.1)*(B3/100)</f>
        <v>18.600000000000001</v>
      </c>
      <c r="C22" s="32">
        <f>C7</f>
        <v>264</v>
      </c>
      <c r="D22" s="32">
        <f t="shared" ref="D22:D28" si="1">B22*C22</f>
        <v>4910.4000000000005</v>
      </c>
      <c r="E22" s="36" t="s">
        <v>1480</v>
      </c>
    </row>
    <row r="23" spans="1:6" ht="15" customHeight="1">
      <c r="A23" s="36" t="s">
        <v>1481</v>
      </c>
      <c r="B23" s="36">
        <f>2*$F$2</f>
        <v>6</v>
      </c>
      <c r="C23" s="32">
        <f>ชีทอุปกรณ์!$D$172</f>
        <v>135</v>
      </c>
      <c r="D23" s="32">
        <f t="shared" si="1"/>
        <v>810</v>
      </c>
    </row>
    <row r="24" spans="1:6" ht="15" customHeight="1">
      <c r="A24" s="36" t="s">
        <v>1482</v>
      </c>
      <c r="B24" s="36">
        <f>B8</f>
        <v>2</v>
      </c>
      <c r="C24" s="32">
        <f>ชีทอุปกรณ์!$D$173</f>
        <v>100</v>
      </c>
      <c r="D24" s="32">
        <f t="shared" si="1"/>
        <v>200</v>
      </c>
    </row>
    <row r="25" spans="1:6" ht="15" customHeight="1">
      <c r="A25" s="36" t="s">
        <v>1132</v>
      </c>
      <c r="B25" s="36">
        <f>6*(B3/100)+9*(B2/100)+2*($F$3+$F$4)*(B3/100)</f>
        <v>96</v>
      </c>
      <c r="C25" s="32">
        <f>ชีทอุปกรณ์!$D$174</f>
        <v>1.5</v>
      </c>
      <c r="D25" s="32">
        <f t="shared" si="1"/>
        <v>144</v>
      </c>
      <c r="E25" s="36" t="s">
        <v>1483</v>
      </c>
    </row>
    <row r="26" spans="1:6" ht="15" customHeight="1">
      <c r="A26" s="36" t="s">
        <v>1133</v>
      </c>
      <c r="B26" s="36">
        <f>8+4*B4</f>
        <v>20</v>
      </c>
      <c r="C26" s="32">
        <f>ชีทอุปกรณ์!$D$175</f>
        <v>1</v>
      </c>
      <c r="D26" s="32">
        <f t="shared" si="1"/>
        <v>20</v>
      </c>
      <c r="E26" s="36" t="s">
        <v>1484</v>
      </c>
    </row>
    <row r="27" spans="1:6" ht="15" customHeight="1">
      <c r="A27" s="36" t="s">
        <v>1134</v>
      </c>
      <c r="B27" s="36">
        <f>ROUNDUP(2*((B2/100)+(B3/100))*2/12.5,0)</f>
        <v>3</v>
      </c>
      <c r="C27" s="32">
        <f>B10</f>
        <v>90</v>
      </c>
      <c r="D27" s="32">
        <f t="shared" si="1"/>
        <v>270</v>
      </c>
    </row>
    <row r="28" spans="1:6" ht="15" customHeight="1">
      <c r="A28" s="36" t="s">
        <v>1135</v>
      </c>
      <c r="B28" s="36">
        <v>1</v>
      </c>
      <c r="C28" s="32">
        <f>อัปเดตราคาอลู!$B$17</f>
        <v>2000</v>
      </c>
      <c r="D28" s="32">
        <f t="shared" si="1"/>
        <v>2000</v>
      </c>
      <c r="E28" s="36" t="s">
        <v>1485</v>
      </c>
    </row>
    <row r="29" spans="1:6" ht="15" customHeight="1">
      <c r="A29" s="45" t="s">
        <v>1137</v>
      </c>
      <c r="D29" s="46">
        <f>SUM(D13:D28)+D46+D47+D48+D49</f>
        <v>32125.916375000004</v>
      </c>
    </row>
    <row r="30" spans="1:6" ht="15" customHeight="1">
      <c r="A30" s="45" t="s">
        <v>1045</v>
      </c>
      <c r="D30" s="46">
        <f>D29/B11</f>
        <v>1784.7731319444447</v>
      </c>
    </row>
    <row r="31" spans="1:6" ht="15" customHeight="1">
      <c r="A31" s="45" t="s">
        <v>1140</v>
      </c>
      <c r="D31" s="24">
        <f>ROUNDUP(D30*(1+B9/100)/100,0)*100</f>
        <v>2900</v>
      </c>
    </row>
    <row r="32" spans="1:6" ht="15" customHeight="1">
      <c r="A32" s="45" t="s">
        <v>1143</v>
      </c>
      <c r="D32" s="24">
        <f>B11*D31</f>
        <v>52200</v>
      </c>
    </row>
    <row r="35" spans="1:8">
      <c r="A35" s="21" t="s">
        <v>1157</v>
      </c>
    </row>
    <row r="36" spans="1:8">
      <c r="A36" s="40" t="s">
        <v>1158</v>
      </c>
      <c r="D36" s="22">
        <f>MAX(0,VLOOKUP("บานเลื่อน SMS",ค่าแรง!$A$12:$N$117,2,0)+VLOOKUP("บานเลื่อน SMS",ค่าแรง!$A$12:$N$117,3,0)*B11)</f>
        <v>1567.125</v>
      </c>
    </row>
    <row r="37" spans="1:8">
      <c r="A37" s="40" t="s">
        <v>1159</v>
      </c>
      <c r="D37" s="22">
        <f>MAX(0,VLOOKUP("บานเลื่อน SMS",ค่าแรง!$A$12:$N$117,4,0)+VLOOKUP("บานเลื่อน SMS",ค่าแรง!$A$12:$N$117,5,0)*B11)</f>
        <v>1760.5</v>
      </c>
    </row>
    <row r="39" spans="1:8">
      <c r="A39" s="21" t="s">
        <v>1160</v>
      </c>
      <c r="D39" s="24">
        <f>MAX(0,(ROUNDUP((ROUNDUP((ROUNDUP(D29*(1+B9/100)/100,0)*100+ROUNDUP((D36+D50)*(1+B68/100)/100,0)*100)*(1+$B$70/100)/100,0)*100)*1/100,0)*100)-$B$88)</f>
        <v>64600</v>
      </c>
    </row>
    <row r="40" spans="1:8">
      <c r="A40" s="21" t="s">
        <v>1161</v>
      </c>
      <c r="D40" s="24">
        <f>D39+ROUNDUP((ROUNDUP((ROUNDUP((D37+D51)*(1+B69/100)/100,0)*100)*(1+$B$70/100)/100,0)*100)*1/100,0)*100</f>
        <v>69300</v>
      </c>
    </row>
    <row r="43" spans="1:8">
      <c r="A43" s="172" t="s">
        <v>1145</v>
      </c>
    </row>
    <row r="44" spans="1:8">
      <c r="A44" s="21" t="s">
        <v>1147</v>
      </c>
      <c r="B44" s="610" t="s">
        <v>674</v>
      </c>
      <c r="C44" s="217" t="str">
        <f>IF(B44="ไม่มีมุ้ง","—",IF(H45=1,"✓ ใช้ได้","⚠ ใช้กับบานนี้ไม่ได้(ทุน=0)"))</f>
        <v>—</v>
      </c>
      <c r="D44" s="217" t="str">
        <f>IF(B44="ไม่มีมุ้ง","",H50&amp;" บาน")</f>
        <v/>
      </c>
      <c r="H44" s="218" t="str">
        <f>IFERROR(VLOOKUP(B44,ราคามุ้ง!$A$2:$K$15,3,0),"")</f>
        <v/>
      </c>
    </row>
    <row r="45" spans="1:8">
      <c r="A45" s="26" t="s">
        <v>1148</v>
      </c>
      <c r="B45" s="610" t="s">
        <v>682</v>
      </c>
      <c r="C45" s="610" t="s">
        <v>1149</v>
      </c>
      <c r="H45" s="218">
        <f>IF(B44="ไม่มีมุ้ง",0,IF(OR(IFERROR(VLOOKUP(B44,ราคามุ้ง!$A$2:$K$15,4,0),"ALL")="ALL",ISNUMBER(SEARCH("E-series",IFERROR(VLOOKUP(B44,ราคามุ้ง!$A$2:$K$15,4,0),"")))),1,0))</f>
        <v>0</v>
      </c>
    </row>
    <row r="46" spans="1:8">
      <c r="A46" s="26" t="s">
        <v>1150</v>
      </c>
      <c r="B46" s="219">
        <f>IF(AND(H45=1,H46=1),ROUND(H50*2*H49/6,2),0)</f>
        <v>0</v>
      </c>
      <c r="C46" s="220">
        <f>IF(B44="มุ้งเฟรมเล็ก",ราคามุ้ง!$B$19,IF(B44="มุ้งเฟรมใหญ่",0,IF(B44="มุ้งนิรภัย",ราคามุ้ง!$B$21,0)))</f>
        <v>0</v>
      </c>
      <c r="D46" s="221">
        <f>ROUND(B46*C46,0)</f>
        <v>0</v>
      </c>
      <c r="H46" s="218">
        <f>IF(OR(B44="มุ้งเฟรมเล็ก",B44="มุ้งเฟรมใหญ่",B44="มุ้งนิรภัย"),1,0)</f>
        <v>0</v>
      </c>
    </row>
    <row r="47" spans="1:8">
      <c r="A47" s="26" t="s">
        <v>1151</v>
      </c>
      <c r="B47" s="222">
        <f>IF(AND(H45=1,H46=1),ROUND(H50*2*H48/6,2),0)</f>
        <v>0</v>
      </c>
      <c r="C47" s="220">
        <f>IF(B44="มุ้งเฟรมเล็ก",ราคามุ้ง!$B$19,IF(B44="มุ้งเฟรมใหญ่",0,IF(B44="มุ้งนิรภัย",ราคามุ้ง!$B$21,0)))</f>
        <v>0</v>
      </c>
      <c r="D47" s="220">
        <f>ROUND(B47*C47,0)</f>
        <v>0</v>
      </c>
      <c r="H47" s="218">
        <f>IFERROR(VLOOKUP(B45,ราคามุ้ง!$I$2:$J$5,2,0),0)</f>
        <v>23</v>
      </c>
    </row>
    <row r="48" spans="1:8">
      <c r="A48" s="21" t="s">
        <v>1152</v>
      </c>
      <c r="B48" s="223">
        <f>IF(AND(H45=1,H46=1),ROUND(H50*2*(H48+H49),2),0)</f>
        <v>0</v>
      </c>
      <c r="C48" s="220">
        <f>ราคามุ้ง!$D$19</f>
        <v>5</v>
      </c>
      <c r="D48" s="221">
        <f>ROUND(B48*C48,0)</f>
        <v>0</v>
      </c>
      <c r="H48" s="224">
        <f>B2/(B4*100)</f>
        <v>2</v>
      </c>
    </row>
    <row r="49" spans="1:11">
      <c r="A49" s="21" t="s">
        <v>1153</v>
      </c>
      <c r="B49" s="223">
        <f>IF(H45=0,0,ROUND(H50*H48*H49,2))</f>
        <v>0</v>
      </c>
      <c r="C49" s="220">
        <f>IF(B44="มุ้งนิรภัย",650,IF(OR(B44="มุ้งเฟรมเล็ก",B44="มุ้งเฟรมใหญ่"),H47,IF(H44="ซื้อสำเร็จ",IFERROR(VLOOKUP(B44,ราคามุ้ง!$A$2:$K$15,2,0),0),0)))</f>
        <v>0</v>
      </c>
      <c r="D49" s="221">
        <f>ROUND(B49*C49,0)</f>
        <v>0</v>
      </c>
      <c r="H49" s="223">
        <f>B3/100</f>
        <v>3</v>
      </c>
    </row>
    <row r="50" spans="1:11">
      <c r="A50" s="21" t="s">
        <v>1154</v>
      </c>
      <c r="D50" s="221">
        <f>IF(H45=0,0,ROUND(H50*(VLOOKUP(B44,ค่าแรง!$A$12:$N$103,2,0)+VLOOKUP(B44,ค่าแรง!$A$12:$N$103,3,0)*H48*H49),0))</f>
        <v>0</v>
      </c>
      <c r="H50" s="217">
        <f>IF(AND(B5="อิสระ",B4=2),1,F2)</f>
        <v>3</v>
      </c>
    </row>
    <row r="51" spans="1:11">
      <c r="A51" s="217" t="s">
        <v>1155</v>
      </c>
      <c r="D51" s="220">
        <f>IF(H45=0,0,ROUND(H50*(VLOOKUP(B44,ค่าแรง!$A$12:$N$103,4,0)+VLOOKUP(B44,ค่าแรง!$A$12:$N$103,5,0)*H48*H49),0))</f>
        <v>0</v>
      </c>
    </row>
    <row r="52" spans="1:11">
      <c r="A52" s="253" t="s">
        <v>1194</v>
      </c>
      <c r="D52" s="254">
        <f>SUM(D46:D51)</f>
        <v>0</v>
      </c>
    </row>
    <row r="53" spans="1:1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</row>
    <row r="54" spans="1:11">
      <c r="A54" s="289"/>
      <c r="B54" s="117"/>
      <c r="C54" s="117"/>
      <c r="D54" s="117"/>
      <c r="E54" s="117"/>
      <c r="F54" s="117"/>
      <c r="G54" s="117"/>
      <c r="H54" s="117"/>
      <c r="I54" s="117"/>
      <c r="J54" s="117"/>
      <c r="K54" s="117"/>
    </row>
    <row r="55" spans="1:11">
      <c r="A55" s="290"/>
      <c r="B55" s="291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90"/>
      <c r="B56" s="291"/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1">
      <c r="A57" s="290"/>
      <c r="B57" s="291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1">
      <c r="A58" s="290"/>
      <c r="B58" s="292"/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1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83" t="s">
        <v>1138</v>
      </c>
    </row>
    <row r="61" spans="1:11">
      <c r="A61" s="284" t="s">
        <v>1139</v>
      </c>
      <c r="B61" s="285">
        <f>D13+D14+D15+D16+D17+D18+D19+D20+D21+D27</f>
        <v>24041.516375000003</v>
      </c>
    </row>
    <row r="62" spans="1:11">
      <c r="A62" s="286" t="s">
        <v>1141</v>
      </c>
      <c r="B62" s="287">
        <f>D22</f>
        <v>4910.4000000000005</v>
      </c>
    </row>
    <row r="63" spans="1:11">
      <c r="A63" s="286" t="s">
        <v>1142</v>
      </c>
      <c r="B63" s="287">
        <f>D23+D24+D25+D26+D28</f>
        <v>3174</v>
      </c>
    </row>
    <row r="64" spans="1:11">
      <c r="A64" s="286" t="s">
        <v>1144</v>
      </c>
      <c r="B64" s="288">
        <f>SUM(B61:B63)</f>
        <v>32125.916375000004</v>
      </c>
    </row>
    <row r="66" spans="1:6">
      <c r="A66" s="286" t="s">
        <v>3148</v>
      </c>
    </row>
    <row r="67" spans="1:6">
      <c r="A67" s="286" t="s">
        <v>1179</v>
      </c>
      <c r="B67" s="545">
        <f>ROUND(($B$74*$B$75-1)*100,0)</f>
        <v>62</v>
      </c>
      <c r="C67" s="286" t="s">
        <v>3149</v>
      </c>
    </row>
    <row r="68" spans="1:6">
      <c r="A68" s="286" t="s">
        <v>1180</v>
      </c>
      <c r="B68" s="545">
        <f>ROUND(($C$74*$B$75-1)*100,0)</f>
        <v>62</v>
      </c>
      <c r="C68" s="286" t="s">
        <v>3149</v>
      </c>
    </row>
    <row r="69" spans="1:6">
      <c r="A69" s="286" t="s">
        <v>1181</v>
      </c>
      <c r="B69" s="545">
        <f>ROUND(($D$74*$B$75-1)*100,0)</f>
        <v>102</v>
      </c>
      <c r="C69" s="286" t="s">
        <v>3149</v>
      </c>
    </row>
    <row r="70" spans="1:6">
      <c r="A70" s="286" t="s">
        <v>3122</v>
      </c>
      <c r="B70" s="540">
        <v>30</v>
      </c>
      <c r="C70" s="286" t="s">
        <v>3150</v>
      </c>
    </row>
    <row r="72" spans="1:6">
      <c r="A72" s="533" t="s">
        <v>3151</v>
      </c>
      <c r="B72" s="535"/>
      <c r="C72" s="533"/>
    </row>
    <row r="73" spans="1:6">
      <c r="A73" t="s">
        <v>3144</v>
      </c>
      <c r="B73" s="541">
        <v>30</v>
      </c>
      <c r="C73" t="s">
        <v>3152</v>
      </c>
    </row>
    <row r="74" spans="1:6">
      <c r="A74" t="s">
        <v>3153</v>
      </c>
      <c r="B74" s="542">
        <v>1.7230000000000001</v>
      </c>
      <c r="C74" s="542">
        <v>1.7230000000000001</v>
      </c>
      <c r="D74" s="542">
        <v>2.1539999999999999</v>
      </c>
      <c r="E74" s="542" t="s">
        <v>3154</v>
      </c>
      <c r="F74" s="542"/>
    </row>
    <row r="75" spans="1:6">
      <c r="A75" t="s">
        <v>3155</v>
      </c>
      <c r="B75" s="542">
        <f>IFERROR((((D29)+(D36+D50)+(D37+D51))/(100/(100+B70)-B73/100))/(((D29)*$B$74+(D36+D50)*$C$74+(D37+D51)*$D$74)*(1+B70/100)),1)</f>
        <v>0.93977437190804169</v>
      </c>
      <c r="C75" t="s">
        <v>3156</v>
      </c>
    </row>
    <row r="77" spans="1:6">
      <c r="A77" s="533" t="s">
        <v>3126</v>
      </c>
      <c r="B77" s="535"/>
      <c r="C77" s="533"/>
    </row>
    <row r="78" spans="1:6">
      <c r="A78" s="533" t="s">
        <v>3127</v>
      </c>
      <c r="B78" s="534">
        <f>IFERROR(ROUND(D40-D40/(1+B70/100),0),0)</f>
        <v>15992</v>
      </c>
      <c r="C78" s="533" t="s">
        <v>3128</v>
      </c>
    </row>
    <row r="79" spans="1:6">
      <c r="A79" s="533" t="s">
        <v>3129</v>
      </c>
      <c r="B79" s="534">
        <f>D29+D36+D50+D37+D51+B78</f>
        <v>51445.541375000001</v>
      </c>
      <c r="C79" s="533" t="s">
        <v>3130</v>
      </c>
    </row>
    <row r="80" spans="1:6">
      <c r="A80" s="536" t="s">
        <v>3131</v>
      </c>
      <c r="B80" s="537">
        <f>IFERROR((D40-B79)/D40,"")</f>
        <v>0.2576400955988456</v>
      </c>
      <c r="C80" s="536" t="s">
        <v>3157</v>
      </c>
    </row>
    <row r="84" spans="1:2">
      <c r="A84" t="s">
        <v>3258</v>
      </c>
    </row>
    <row r="85" spans="1:2">
      <c r="A85" t="s">
        <v>3259</v>
      </c>
      <c r="B85" s="212">
        <f>B61-D27</f>
        <v>23771.516375000003</v>
      </c>
    </row>
    <row r="86" spans="1:2">
      <c r="A86" t="s">
        <v>3260</v>
      </c>
      <c r="B86">
        <f>IF(H6="สีอบพิเศษ",rate_special,IF(H6="สีลายไม้อบพิเศษ",rate_woodbake,rate_grey))</f>
        <v>100</v>
      </c>
    </row>
    <row r="87" spans="1:2">
      <c r="A87" t="s">
        <v>3261</v>
      </c>
      <c r="B87">
        <f>ROUND(B85*B86/(180+B86)+D28,0)</f>
        <v>10490</v>
      </c>
    </row>
    <row r="88" spans="1:2">
      <c r="A88" t="s">
        <v>3262</v>
      </c>
      <c r="B88">
        <f>ROUND(B87*MAX(0,1/(100/(100+B70)-B73/100)-1.5)/100,0)*100</f>
        <v>6600</v>
      </c>
    </row>
  </sheetData>
  <sheetProtection sheet="1" objects="1" scenarios="1"/>
  <mergeCells count="1">
    <mergeCell ref="A1:F1"/>
  </mergeCells>
  <dataValidations count="7">
    <dataValidation type="list" sqref="B5" xr:uid="{00000000-0002-0000-1800-000000000000}">
      <formula1>"อิสระ,ลากจูง,เปิดคู่กลาง"</formula1>
      <formula2>0</formula2>
    </dataValidation>
    <dataValidation type="list" sqref="B7" xr:uid="{00000000-0002-0000-1800-000001000000}">
      <formula1>GlassNames</formula1>
      <formula2>0</formula2>
    </dataValidation>
    <dataValidation type="list" sqref="F6" xr:uid="{00000000-0002-0000-1800-000002000000}">
      <formula1>"ภายนอก,ภายใน"</formula1>
      <formula2>0</formula2>
    </dataValidation>
    <dataValidation type="list" allowBlank="1" sqref="B6" xr:uid="{00000000-0002-0000-1800-000003000000}">
      <formula1>"สีอบขาว/ดำ,เทาซาฮาร่า,สีดำซาฮาร่า,สีอบพิเศษ,สีลายไม้อบพิเศษ"</formula1>
    </dataValidation>
    <dataValidation type="list" allowBlank="1" sqref="B44" xr:uid="{00000000-0002-0000-1800-000004000000}">
      <formula1>MungList</formula1>
    </dataValidation>
    <dataValidation type="list" allowBlank="1" sqref="B45" xr:uid="{00000000-0002-0000-1800-000005000000}">
      <formula1>ClothList</formula1>
    </dataValidation>
    <dataValidation type="list" allowBlank="1" sqref="C45" xr:uid="{00000000-0002-0000-1800-000006000000}">
      <formula1>"เทา,ดำ"</formula1>
    </dataValidation>
  </dataValidations>
  <hyperlinks>
    <hyperlink ref="G1" location="'สารบัญ'!A1" display="🏠 สารบัญ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B9BD5"/>
  </sheetPr>
  <dimension ref="A1:K86"/>
  <sheetViews>
    <sheetView zoomScaleNormal="100" workbookViewId="0">
      <pane ySplit="17" topLeftCell="A18" activePane="bottomLeft" state="frozen"/>
      <selection pane="bottomLeft" sqref="A1:D1"/>
    </sheetView>
  </sheetViews>
  <sheetFormatPr defaultColWidth="8.6640625" defaultRowHeight="14.4"/>
  <cols>
    <col min="1" max="1" width="24" customWidth="1"/>
    <col min="2" max="2" width="20.109375" customWidth="1"/>
    <col min="3" max="3" width="42.6640625" customWidth="1"/>
    <col min="4" max="4" width="18" customWidth="1"/>
    <col min="5" max="5" width="24" customWidth="1"/>
    <col min="6" max="6" width="4.44140625" customWidth="1"/>
    <col min="7" max="7" width="8.5546875" customWidth="1"/>
  </cols>
  <sheetData>
    <row r="1" spans="1:8" ht="24" customHeight="1">
      <c r="A1" s="665" t="s">
        <v>1486</v>
      </c>
      <c r="B1" s="650"/>
      <c r="C1" s="650"/>
      <c r="D1" s="650"/>
      <c r="E1" s="243"/>
      <c r="G1" s="293" t="s">
        <v>68</v>
      </c>
      <c r="H1" s="294"/>
    </row>
    <row r="2" spans="1:8" ht="15" customHeight="1">
      <c r="A2" s="670"/>
      <c r="B2" s="650"/>
      <c r="C2" s="650"/>
      <c r="D2" s="650"/>
    </row>
    <row r="3" spans="1:8" ht="15" customHeight="1">
      <c r="A3" s="26" t="s">
        <v>1105</v>
      </c>
      <c r="B3" s="540">
        <v>150</v>
      </c>
    </row>
    <row r="4" spans="1:8" ht="15" customHeight="1">
      <c r="A4" s="26" t="s">
        <v>1107</v>
      </c>
      <c r="B4" s="540">
        <v>200</v>
      </c>
    </row>
    <row r="5" spans="1:8" ht="15" customHeight="1">
      <c r="A5" s="26" t="s">
        <v>1196</v>
      </c>
      <c r="B5" s="540" t="s">
        <v>1487</v>
      </c>
    </row>
    <row r="6" spans="1:8" ht="15" customHeight="1">
      <c r="A6" s="26" t="s">
        <v>1122</v>
      </c>
      <c r="B6" s="540" t="s">
        <v>1123</v>
      </c>
      <c r="F6" s="26"/>
    </row>
    <row r="7" spans="1:8" ht="15" customHeight="1">
      <c r="A7" s="26" t="s">
        <v>1120</v>
      </c>
      <c r="B7" s="540" t="s">
        <v>733</v>
      </c>
    </row>
    <row r="8" spans="1:8" ht="15" customHeight="1">
      <c r="A8" s="26" t="s">
        <v>1442</v>
      </c>
      <c r="B8" s="540" t="s">
        <v>1254</v>
      </c>
    </row>
    <row r="9" spans="1:8" ht="15" customHeight="1">
      <c r="A9" s="26" t="s">
        <v>1116</v>
      </c>
      <c r="B9" s="384">
        <f>$B$73</f>
        <v>82</v>
      </c>
      <c r="C9" s="588" t="s">
        <v>2702</v>
      </c>
    </row>
    <row r="10" spans="1:8" ht="15" customHeight="1">
      <c r="A10" s="26" t="s">
        <v>1488</v>
      </c>
      <c r="B10" s="540" t="s">
        <v>1489</v>
      </c>
      <c r="C10" s="26" t="s">
        <v>1490</v>
      </c>
      <c r="F10" t="s">
        <v>1123</v>
      </c>
    </row>
    <row r="11" spans="1:8" ht="15" customHeight="1">
      <c r="A11" s="26" t="s">
        <v>1491</v>
      </c>
      <c r="B11" s="540">
        <v>90</v>
      </c>
    </row>
    <row r="12" spans="1:8" ht="15" customHeight="1">
      <c r="A12" s="26" t="s">
        <v>1492</v>
      </c>
      <c r="B12" s="26">
        <f>IF(B5="แบ่ง 2",2,4)</f>
        <v>2</v>
      </c>
    </row>
    <row r="13" spans="1:8" ht="15" customHeight="1">
      <c r="A13" s="26" t="s">
        <v>1114</v>
      </c>
      <c r="B13" s="41">
        <f>(B3/100)*(B4/100)</f>
        <v>3</v>
      </c>
    </row>
    <row r="14" spans="1:8" ht="15" customHeight="1">
      <c r="A14" s="26" t="s">
        <v>1443</v>
      </c>
      <c r="B14" s="42">
        <f>INDEX(ราคากระจก!$B$3:$B$206,MATCH(B7,ราคากระจก!$A$3:$A$206,0))</f>
        <v>264</v>
      </c>
    </row>
    <row r="16" spans="1:8" ht="15" customHeight="1">
      <c r="A16" s="670"/>
      <c r="B16" s="650"/>
      <c r="C16" s="650"/>
      <c r="D16" s="650"/>
    </row>
    <row r="17" spans="1:5" ht="15" customHeight="1">
      <c r="A17" s="43" t="s">
        <v>606</v>
      </c>
      <c r="B17" s="43" t="s">
        <v>1124</v>
      </c>
      <c r="C17" s="43" t="s">
        <v>1493</v>
      </c>
      <c r="D17" s="43" t="s">
        <v>1242</v>
      </c>
    </row>
    <row r="18" spans="1:5" ht="15" customHeight="1">
      <c r="A18" s="36" t="s">
        <v>1255</v>
      </c>
      <c r="B18" s="36">
        <f>((B3+2*B4)/640)*buf_scrap</f>
        <v>1.1171875</v>
      </c>
      <c r="C18" s="32">
        <f>IF(B6="สีอบขาว/ดำ",IFERROR(VLOOKUP("F7859",ราคาสี!$A:$D,4,0),1100),IF(OR(B6="เทาซาฮาร่า",B6="สีดำซาฮาร่า"),VLOOKUP("F7859",ราคาสี!$A:$F,5,0),IF(B6="ลายไม้ stock",(VLOOKUP("F7859",ราคาสี!$A:$H,8,0)*mult_wood/mult_euro),IFERROR(VLOOKUP("F7859",ราคาสี!$A:$D,4,0),1100)+IF(B6="สีอบพิเศษ",rate_special,rate_woodbake)*น้ำหนักโปรไฟล์!$C$286)))</f>
        <v>1205</v>
      </c>
      <c r="D18" s="32">
        <f t="shared" ref="D18:D24" si="0">B18*C18*mult_euro</f>
        <v>1346.2109375</v>
      </c>
    </row>
    <row r="19" spans="1:5" ht="15" customHeight="1">
      <c r="A19" s="36" t="s">
        <v>1256</v>
      </c>
      <c r="B19" s="36">
        <f>IF(B8="มี",(B3/640)*buf_scrap,0)</f>
        <v>0.3046875</v>
      </c>
      <c r="C19" s="32">
        <f>IF(B6="สีอบขาว/ดำ",IFERROR(VLOOKUP("F7938B",ราคาสี!$A:$D,4,0),1400),IF(OR(B6="เทาซาฮาร่า",B6="สีดำซาฮาร่า"),VLOOKUP("F7938B",ราคาสี!$A:$F,5,0),IF(B6="ลายไม้ stock",(VLOOKUP("F7938B",ราคาสี!$A:$H,8,0)*mult_wood/mult_euro),IFERROR(VLOOKUP("F7938B",ราคาสี!$A:$D,4,0),1400)+IF(B6="สีอบพิเศษ",rate_special,rate_woodbake)*น้ำหนักโปรไฟล์!$C$287)))</f>
        <v>1520</v>
      </c>
      <c r="D19" s="32">
        <f t="shared" si="0"/>
        <v>463.125</v>
      </c>
    </row>
    <row r="20" spans="1:5" ht="15" customHeight="1">
      <c r="A20" s="36" t="s">
        <v>1257</v>
      </c>
      <c r="B20" s="36">
        <f>IF(B8="มี",(B3/640)*buf_scrap,0)</f>
        <v>0.3046875</v>
      </c>
      <c r="C20" s="32">
        <f>IF(B6="สีอบขาว/ดำ",IFERROR(VLOOKUP("F7960",ราคาสี!$A:$D,4,0),575),IF(OR(B6="เทาซาฮาร่า",B6="สีดำซาฮาร่า"),VLOOKUP("F7960",ราคาสี!$A:$F,5,0),IF(B6="ลายไม้ stock",(VLOOKUP("F7960",ราคาสี!$A:$H,8,0)*mult_wood/mult_euro),IFERROR(VLOOKUP("F7960",ราคาสี!$A:$D,4,0),575)+IF(B6="สีอบพิเศษ",rate_special,rate_woodbake)*น้ำหนักโปรไฟล์!$C$288)))</f>
        <v>610</v>
      </c>
      <c r="D20" s="32">
        <f t="shared" si="0"/>
        <v>185.859375</v>
      </c>
    </row>
    <row r="21" spans="1:5" ht="15" customHeight="1">
      <c r="A21" s="36" t="s">
        <v>1258</v>
      </c>
      <c r="B21" s="36">
        <f>IF(B8="ไม่มี",(B3/640)*buf_scrap,0)</f>
        <v>0</v>
      </c>
      <c r="C21" s="32">
        <f>IF(B6="สีอบขาว/ดำ",IFERROR(VLOOKUP("F7863",ราคาสี!$A:$D,4,0),435),IF(OR(B6="เทาซาฮาร่า",B6="สีดำซาฮาร่า"),IFERROR(VLOOKUP("F7863",ราคาสี!$A:$D,4,0),435)+rate_grey*น้ำหนักโปรไฟล์!$C$289,IF(B6="ลายไม้ stock",645,IFERROR(VLOOKUP("F7863",ราคาสี!$A:$D,4,0),435)+IF(B6="สีอบพิเศษ",rate_special,rate_woodbake)*น้ำหนักโปรไฟล์!$C$289)))</f>
        <v>435</v>
      </c>
      <c r="D21" s="32">
        <f t="shared" si="0"/>
        <v>0</v>
      </c>
    </row>
    <row r="22" spans="1:5" ht="15" customHeight="1">
      <c r="A22" s="36" t="s">
        <v>1259</v>
      </c>
      <c r="B22" s="36">
        <f>((2*B12*B4+2*B3)/640)*buf_scrap</f>
        <v>2.234375</v>
      </c>
      <c r="C22" s="32">
        <f>IF(B6="สีอบขาว/ดำ",IFERROR(VLOOKUP("F7864",ราคาสี!$A:$D,4,0),1995),IF(OR(B6="เทาซาฮาร่า",B6="สีดำซาฮาร่า"),IFERROR(VLOOKUP("F7864",ราคาสี!$A:$D,4,0),1995)+rate_grey*น้ำหนักโปรไฟล์!$C$290,IF(B6="ลายไม้ stock",3170,IFERROR(VLOOKUP("F7864",ราคาสี!$A:$D,4,0),1995)+IF(B6="สีอบพิเศษ",rate_special,rate_woodbake)*น้ำหนักโปรไฟล์!$C$290)))</f>
        <v>2165</v>
      </c>
      <c r="D22" s="32">
        <f t="shared" si="0"/>
        <v>4837.421875</v>
      </c>
    </row>
    <row r="23" spans="1:5" ht="15" customHeight="1">
      <c r="A23" s="36" t="s">
        <v>1260</v>
      </c>
      <c r="B23" s="36">
        <f>((2*B12*B4+2*B3)/640)*buf_scrap</f>
        <v>2.234375</v>
      </c>
      <c r="C23" s="32">
        <f>IF(B6="สีอบขาว/ดำ",IFERROR(VLOOKUP("F7935",ราคาสี!$A:$D,4,0),360),IF(OR(B6="เทาซาฮาร่า",B6="สีดำซาฮาร่า"),IFERROR(VLOOKUP("F7935",ราคาสี!$A:$D,4,0),360)+rate_grey*น้ำหนักโปรไฟล์!$C$291,IF(B6="ลายไม้ stock",570,IFERROR(VLOOKUP("F7935",ราคาสี!$A:$D,4,0),360)+IF(B6="สีอบพิเศษ",rate_special,rate_woodbake)*น้ำหนักโปรไฟล์!$C$291)))</f>
        <v>380</v>
      </c>
      <c r="D23" s="32">
        <f t="shared" si="0"/>
        <v>849.0625</v>
      </c>
    </row>
    <row r="24" spans="1:5" ht="15" customHeight="1">
      <c r="A24" s="36" t="s">
        <v>1261</v>
      </c>
      <c r="B24" s="36">
        <f>IF(B5="แบ่ง 4",1,0)</f>
        <v>0</v>
      </c>
      <c r="C24" s="32">
        <f>IF(B6="สีอบขาว/ดำ",IFERROR(VLOOKUP("F7945C",ราคาสี!$A:$D,4,0),775),IF(OR(B6="เทาซาฮาร่า",B6="สีดำซาฮาร่า"),IFERROR(VLOOKUP("F7945C",ราคาสี!$A:$D,4,0),775)+rate_grey*น้ำหนักโปรไฟล์!$C$292,IF(B6="ลายไม้ stock",1080,IFERROR(VLOOKUP("F7945C",ราคาสี!$A:$D,4,0),775)+IF(B6="สีอบพิเศษ",rate_special,rate_woodbake)*น้ำหนักโปรไฟล์!$C$292)))</f>
        <v>820</v>
      </c>
      <c r="D24" s="32">
        <f t="shared" si="0"/>
        <v>0</v>
      </c>
    </row>
    <row r="25" spans="1:5" ht="15" customHeight="1">
      <c r="A25" s="36" t="s">
        <v>1494</v>
      </c>
      <c r="B25" s="36">
        <f>IF(B5="แบ่ง 2",4,8)</f>
        <v>4</v>
      </c>
      <c r="C25" s="32">
        <f>ชีทอุปกรณ์!$D$196</f>
        <v>117</v>
      </c>
      <c r="D25" s="32">
        <f t="shared" ref="D25:D33" si="1">B25*C25</f>
        <v>468</v>
      </c>
      <c r="E25" s="36" t="s">
        <v>1495</v>
      </c>
    </row>
    <row r="26" spans="1:5" ht="15" customHeight="1">
      <c r="A26" s="36" t="s">
        <v>1496</v>
      </c>
      <c r="B26" s="36">
        <f>IF(B5="แบ่ง 2",1,2)</f>
        <v>1</v>
      </c>
      <c r="C26" s="32">
        <f>IF(B10="ใส่",ชีทอุปกรณ์!$D$195,0)</f>
        <v>1170</v>
      </c>
      <c r="D26" s="32">
        <f t="shared" si="1"/>
        <v>1170</v>
      </c>
      <c r="E26" s="36" t="s">
        <v>1497</v>
      </c>
    </row>
    <row r="27" spans="1:5" ht="15" customHeight="1">
      <c r="A27" s="36" t="s">
        <v>1498</v>
      </c>
      <c r="B27" s="36">
        <f>B12</f>
        <v>2</v>
      </c>
      <c r="C27" s="32">
        <f>ชีทอุปกรณ์!$D$203</f>
        <v>198</v>
      </c>
      <c r="D27" s="32">
        <f t="shared" si="1"/>
        <v>396</v>
      </c>
      <c r="E27" s="36" t="s">
        <v>1499</v>
      </c>
    </row>
    <row r="28" spans="1:5" ht="15" customHeight="1">
      <c r="A28" s="36" t="s">
        <v>1500</v>
      </c>
      <c r="B28" s="36">
        <v>1</v>
      </c>
      <c r="C28" s="32">
        <f>ชีทอุปกรณ์!$D$198</f>
        <v>450</v>
      </c>
      <c r="D28" s="32">
        <f t="shared" si="1"/>
        <v>450</v>
      </c>
      <c r="E28" s="36" t="s">
        <v>1501</v>
      </c>
    </row>
    <row r="29" spans="1:5" ht="15" customHeight="1">
      <c r="A29" s="36" t="s">
        <v>1502</v>
      </c>
      <c r="B29" s="36">
        <f>IF(B8="มี",8,6)</f>
        <v>8</v>
      </c>
      <c r="C29" s="32">
        <v>1</v>
      </c>
      <c r="D29" s="32">
        <f t="shared" si="1"/>
        <v>8</v>
      </c>
    </row>
    <row r="30" spans="1:5" ht="15" customHeight="1">
      <c r="A30" s="36" t="s">
        <v>1266</v>
      </c>
      <c r="B30" s="36">
        <f>ROUND(2*(B3+B4)/100*B12,0)</f>
        <v>14</v>
      </c>
      <c r="C30" s="32">
        <v>11</v>
      </c>
      <c r="D30" s="32">
        <f t="shared" si="1"/>
        <v>154</v>
      </c>
      <c r="E30" s="36" t="s">
        <v>1503</v>
      </c>
    </row>
    <row r="31" spans="1:5" ht="15" customHeight="1">
      <c r="A31" s="36" t="s">
        <v>1128</v>
      </c>
      <c r="B31" s="44">
        <f>B13</f>
        <v>3</v>
      </c>
      <c r="C31" s="32">
        <f>B14</f>
        <v>264</v>
      </c>
      <c r="D31" s="32">
        <f t="shared" si="1"/>
        <v>792</v>
      </c>
    </row>
    <row r="32" spans="1:5" ht="15" customHeight="1">
      <c r="A32" s="36" t="s">
        <v>1504</v>
      </c>
      <c r="B32" s="36">
        <f>ROUNDUP(2*(B3+B4)/100*2/12.5,0)</f>
        <v>2</v>
      </c>
      <c r="C32" s="32">
        <f>B11</f>
        <v>90</v>
      </c>
      <c r="D32" s="32">
        <f t="shared" si="1"/>
        <v>180</v>
      </c>
    </row>
    <row r="33" spans="1:5" ht="15" customHeight="1">
      <c r="A33" s="36" t="s">
        <v>1135</v>
      </c>
      <c r="B33" s="36">
        <f>IF(OR(B6="สีอบพิเศษ",B6="สีลายไม้อบพิเศษ"),1,0)</f>
        <v>0</v>
      </c>
      <c r="C33" s="32">
        <f>อัปเดตราคาอลู!$B$17</f>
        <v>2000</v>
      </c>
      <c r="D33" s="32">
        <f t="shared" si="1"/>
        <v>0</v>
      </c>
      <c r="E33" s="36" t="s">
        <v>1136</v>
      </c>
    </row>
    <row r="34" spans="1:5" ht="15" customHeight="1">
      <c r="A34" s="666" t="s">
        <v>1505</v>
      </c>
      <c r="B34" s="667"/>
      <c r="C34" s="667"/>
      <c r="D34" s="668"/>
    </row>
    <row r="35" spans="1:5" ht="15" customHeight="1">
      <c r="A35" s="45" t="s">
        <v>1506</v>
      </c>
      <c r="D35" s="46">
        <f>SUM(D18:D33)+D58</f>
        <v>11299.6796875</v>
      </c>
    </row>
    <row r="36" spans="1:5" ht="15" customHeight="1">
      <c r="A36" s="45" t="s">
        <v>1507</v>
      </c>
      <c r="D36" s="46">
        <f>D35/B13</f>
        <v>3766.5598958333335</v>
      </c>
    </row>
    <row r="37" spans="1:5" ht="15" customHeight="1">
      <c r="A37" s="45" t="s">
        <v>1508</v>
      </c>
      <c r="D37" s="24">
        <f>ROUNDUP(D36*(1+B9/100)/100,0)*100</f>
        <v>6900</v>
      </c>
    </row>
    <row r="38" spans="1:5" ht="15" customHeight="1">
      <c r="A38" s="45" t="s">
        <v>1509</v>
      </c>
      <c r="D38" s="24">
        <f>B13*D37</f>
        <v>20700</v>
      </c>
    </row>
    <row r="41" spans="1:5" ht="15" customHeight="1">
      <c r="A41" s="669" t="s">
        <v>1510</v>
      </c>
      <c r="B41" s="667"/>
      <c r="C41" s="667"/>
      <c r="D41" s="668"/>
    </row>
    <row r="42" spans="1:5" ht="15" customHeight="1">
      <c r="A42" s="36" t="s">
        <v>1511</v>
      </c>
      <c r="B42" s="47" t="str">
        <f>IF(B5="แบ่ง 2","ข้อ 12 (min 36,000)","ข้อ 13 (min 46,000)")</f>
        <v>ข้อ 12 (min 36,000)</v>
      </c>
    </row>
    <row r="43" spans="1:5" ht="15" customHeight="1">
      <c r="A43" s="36" t="s">
        <v>1512</v>
      </c>
      <c r="D43" s="48">
        <f>IF(B5="แบ่ง 2",IF(B13&lt;3.5,11000,IF(B13&lt;4,10000,IF(B13&lt;4.5,9500,IF(B13&lt;5,9200,9000)))),IF(MAX(4,B13)&lt;4.5,11500,IF(MAX(4,B13)&lt;5,11000,IF(MAX(4,B13)&lt;6,10500,IF(MAX(4,B13)&lt;7,10000,IF(MAX(4,B13)&lt;8,9500,IF(MAX(4,B13)&lt;9,9000,8500)))))))</f>
        <v>11000</v>
      </c>
    </row>
    <row r="44" spans="1:5" ht="15" customHeight="1">
      <c r="A44" s="45" t="s">
        <v>1513</v>
      </c>
      <c r="D44" s="24">
        <f>IF(B5="แบ่ง 2",MAX(36000,B13*D43),MAX(46000,MAX(4,B13)*D43))</f>
        <v>36000</v>
      </c>
    </row>
    <row r="47" spans="1:5" ht="15" customHeight="1">
      <c r="A47" s="664"/>
      <c r="B47" s="650"/>
      <c r="C47" s="650"/>
      <c r="D47" s="650"/>
    </row>
    <row r="49" spans="1:11">
      <c r="A49" s="21" t="s">
        <v>1157</v>
      </c>
    </row>
    <row r="50" spans="1:11">
      <c r="A50" s="40" t="s">
        <v>1158</v>
      </c>
      <c r="D50" s="22">
        <f>MAX(0,VLOOKUP("PC Door",ค่าแรง!$A$12:$N$117,2,0)+VLOOKUP("PC Door",ค่าแรง!$A$12:$N$117,3,0)*B13)</f>
        <v>1330</v>
      </c>
    </row>
    <row r="51" spans="1:11">
      <c r="A51" s="40" t="s">
        <v>1159</v>
      </c>
      <c r="D51" s="22">
        <f>MAX(0,VLOOKUP("PC Door",ค่าแรง!$A$12:$N$117,4,0)+VLOOKUP("PC Door",ค่าแรง!$A$12:$N$117,5,0)*B13)</f>
        <v>1557.5</v>
      </c>
    </row>
    <row r="53" spans="1:11">
      <c r="A53" s="21" t="s">
        <v>1160</v>
      </c>
      <c r="D53" s="24">
        <f>ROUNDUP((ROUNDUP((ROUNDUP(D35*(1+B9/100)/100,0)*100+ROUNDUP(D50*(1+B74/100)/100,0)*100)*(1+$B$76/100)/100,0)*100)*1/100,0)*100</f>
        <v>29800</v>
      </c>
    </row>
    <row r="54" spans="1:11">
      <c r="A54" s="21" t="s">
        <v>1161</v>
      </c>
      <c r="D54" s="24">
        <f>D53+ROUNDUP((ROUNDUP((ROUNDUP(D51*(1+B75/100)/100,0)*100)*(1+$B$76/100)/100,0)*100)*1/100,0)*100</f>
        <v>34100</v>
      </c>
    </row>
    <row r="56" spans="1:11">
      <c r="A56" s="245" t="s">
        <v>1514</v>
      </c>
    </row>
    <row r="57" spans="1:11">
      <c r="A57" t="s">
        <v>1147</v>
      </c>
      <c r="B57" s="601" t="s">
        <v>674</v>
      </c>
    </row>
    <row r="58" spans="1:11">
      <c r="A58" s="253" t="s">
        <v>1194</v>
      </c>
      <c r="D58" s="254">
        <f>IF(B57="ไม่มีมุ้ง",0,ROUND((VLOOKUP(B57,ราคามุ้ง!$A:$F,2,0)+VLOOKUP(B57,ราคามุ้ง!$A:$F,6,0))*B13,0))</f>
        <v>0</v>
      </c>
    </row>
    <row r="59" spans="1:1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89"/>
      <c r="B60" s="117"/>
      <c r="C60" s="117"/>
      <c r="D60" s="117"/>
      <c r="E60" s="117"/>
      <c r="F60" s="117"/>
      <c r="G60" s="117"/>
      <c r="H60" s="117"/>
      <c r="I60" s="117"/>
      <c r="J60" s="117"/>
      <c r="K60" s="117"/>
    </row>
    <row r="61" spans="1:11">
      <c r="A61" s="290"/>
      <c r="B61" s="291"/>
      <c r="C61" s="117"/>
      <c r="D61" s="117"/>
      <c r="E61" s="117"/>
      <c r="F61" s="117"/>
      <c r="G61" s="117"/>
      <c r="H61" s="117"/>
      <c r="I61" s="117"/>
      <c r="J61" s="117"/>
      <c r="K61" s="117"/>
    </row>
    <row r="62" spans="1:11">
      <c r="A62" s="290"/>
      <c r="B62" s="291"/>
      <c r="C62" s="117"/>
      <c r="D62" s="117"/>
      <c r="E62" s="117"/>
      <c r="F62" s="117"/>
      <c r="G62" s="117"/>
      <c r="H62" s="117"/>
      <c r="I62" s="117"/>
      <c r="J62" s="117"/>
      <c r="K62" s="117"/>
    </row>
    <row r="63" spans="1:11">
      <c r="A63" s="290"/>
      <c r="B63" s="291"/>
      <c r="C63" s="117"/>
      <c r="D63" s="117"/>
      <c r="E63" s="117"/>
      <c r="F63" s="117"/>
      <c r="G63" s="117"/>
      <c r="H63" s="117"/>
      <c r="I63" s="117"/>
      <c r="J63" s="117"/>
      <c r="K63" s="117"/>
    </row>
    <row r="64" spans="1:11">
      <c r="A64" s="290"/>
      <c r="B64" s="292"/>
      <c r="C64" s="117"/>
      <c r="D64" s="117"/>
      <c r="E64" s="117"/>
      <c r="F64" s="117"/>
      <c r="G64" s="117"/>
      <c r="H64" s="117"/>
      <c r="I64" s="117"/>
      <c r="J64" s="117"/>
      <c r="K64" s="117"/>
    </row>
    <row r="65" spans="1:1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</row>
    <row r="66" spans="1:11">
      <c r="A66" s="283" t="s">
        <v>1138</v>
      </c>
    </row>
    <row r="67" spans="1:11">
      <c r="A67" s="284" t="s">
        <v>1139</v>
      </c>
      <c r="B67" s="285">
        <f>D18+D19+D20+D21+D22+D23+D24+D29+D32</f>
        <v>7869.6796875</v>
      </c>
    </row>
    <row r="68" spans="1:11">
      <c r="A68" s="286" t="s">
        <v>1141</v>
      </c>
      <c r="B68" s="287">
        <f>D31</f>
        <v>792</v>
      </c>
    </row>
    <row r="69" spans="1:11">
      <c r="A69" s="286" t="s">
        <v>1142</v>
      </c>
      <c r="B69" s="287">
        <f>D25+D26+D27+D28+D30+D33</f>
        <v>2638</v>
      </c>
    </row>
    <row r="70" spans="1:11">
      <c r="A70" s="286" t="s">
        <v>1144</v>
      </c>
      <c r="B70" s="288">
        <f>SUM(B67:B69)</f>
        <v>11299.6796875</v>
      </c>
    </row>
    <row r="72" spans="1:11">
      <c r="A72" s="286" t="s">
        <v>3148</v>
      </c>
    </row>
    <row r="73" spans="1:11">
      <c r="A73" s="286" t="s">
        <v>1179</v>
      </c>
      <c r="B73" s="545">
        <f>ROUND(($B$80*$B$81-1)*100,0)</f>
        <v>82</v>
      </c>
      <c r="C73" s="286" t="s">
        <v>3149</v>
      </c>
    </row>
    <row r="74" spans="1:11">
      <c r="A74" s="286" t="s">
        <v>1180</v>
      </c>
      <c r="B74" s="545">
        <f>ROUND(($C$80*$B$81-1)*100,0)</f>
        <v>66</v>
      </c>
      <c r="C74" s="286" t="s">
        <v>3149</v>
      </c>
    </row>
    <row r="75" spans="1:11">
      <c r="A75" s="286" t="s">
        <v>1181</v>
      </c>
      <c r="B75" s="545">
        <f>ROUND(($D$80*$B$81-1)*100,0)</f>
        <v>107</v>
      </c>
      <c r="C75" s="286" t="s">
        <v>3149</v>
      </c>
    </row>
    <row r="76" spans="1:11">
      <c r="A76" s="286" t="s">
        <v>3122</v>
      </c>
      <c r="B76" s="540">
        <v>30</v>
      </c>
      <c r="C76" s="286" t="s">
        <v>3150</v>
      </c>
    </row>
    <row r="78" spans="1:11">
      <c r="A78" s="533" t="s">
        <v>3151</v>
      </c>
      <c r="B78" s="535"/>
      <c r="C78" s="533"/>
    </row>
    <row r="79" spans="1:11">
      <c r="A79" t="s">
        <v>3144</v>
      </c>
      <c r="B79" s="541">
        <v>35</v>
      </c>
      <c r="C79" t="s">
        <v>3152</v>
      </c>
    </row>
    <row r="80" spans="1:11">
      <c r="A80" t="s">
        <v>3153</v>
      </c>
      <c r="B80" s="542">
        <v>1.895</v>
      </c>
      <c r="C80" s="542">
        <v>1.7230000000000001</v>
      </c>
      <c r="D80" s="542">
        <v>2.1539999999999999</v>
      </c>
      <c r="E80" s="542" t="s">
        <v>3154</v>
      </c>
      <c r="F80" s="542"/>
    </row>
    <row r="81" spans="1:3">
      <c r="A81" t="s">
        <v>3155</v>
      </c>
      <c r="B81" s="542">
        <f>IFERROR((((D35)+(D50)+(D51))/(100/(100+B76)-B79/100))/(((D35)*$B$80+(D50)*$C$80+(D51)*$D$80)*(1+B76/100)),1)</f>
        <v>0.96201623095397093</v>
      </c>
      <c r="C81" t="s">
        <v>3156</v>
      </c>
    </row>
    <row r="83" spans="1:3">
      <c r="A83" s="533" t="s">
        <v>3126</v>
      </c>
      <c r="B83" s="535"/>
      <c r="C83" s="533"/>
    </row>
    <row r="84" spans="1:3">
      <c r="A84" s="533" t="s">
        <v>3127</v>
      </c>
      <c r="B84" s="534">
        <f>IFERROR(ROUND(D54-D54/(1+B76/100),0),0)</f>
        <v>7869</v>
      </c>
      <c r="C84" s="533" t="s">
        <v>3128</v>
      </c>
    </row>
    <row r="85" spans="1:3">
      <c r="A85" s="533" t="s">
        <v>3129</v>
      </c>
      <c r="B85" s="534">
        <f>D35+D50+D51+B84</f>
        <v>22056.1796875</v>
      </c>
      <c r="C85" s="533" t="s">
        <v>3130</v>
      </c>
    </row>
    <row r="86" spans="1:3">
      <c r="A86" s="536" t="s">
        <v>3131</v>
      </c>
      <c r="B86" s="537">
        <f>IFERROR((D54-B85)/D54,"")</f>
        <v>0.35319121151026395</v>
      </c>
      <c r="C86" s="536" t="s">
        <v>3157</v>
      </c>
    </row>
  </sheetData>
  <sheetProtection sheet="1" objects="1" scenarios="1"/>
  <mergeCells count="6">
    <mergeCell ref="A47:D47"/>
    <mergeCell ref="A1:D1"/>
    <mergeCell ref="A34:D34"/>
    <mergeCell ref="A41:D41"/>
    <mergeCell ref="A2:D2"/>
    <mergeCell ref="A16:D16"/>
  </mergeCells>
  <dataValidations count="6">
    <dataValidation type="list" sqref="B5" xr:uid="{00000000-0002-0000-1900-000000000000}">
      <formula1>"แบ่ง 2,แบ่ง 4"</formula1>
      <formula2>0</formula2>
    </dataValidation>
    <dataValidation type="list" sqref="B8" xr:uid="{00000000-0002-0000-1900-000001000000}">
      <formula1>"มี,ไม่มี"</formula1>
      <formula2>0</formula2>
    </dataValidation>
    <dataValidation type="list" sqref="B7" xr:uid="{00000000-0002-0000-1900-000002000000}">
      <formula1>GlassNames</formula1>
      <formula2>0</formula2>
    </dataValidation>
    <dataValidation type="list" sqref="B10" xr:uid="{00000000-0002-0000-1900-000003000000}">
      <formula1>"ใส่,ไม่ใส่"</formula1>
      <formula2>0</formula2>
    </dataValidation>
    <dataValidation type="list" sqref="B6" xr:uid="{00000000-0002-0000-1900-000004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57" xr:uid="{00000000-0002-0000-1900-000005000000}">
      <formula1>MungReady</formula1>
    </dataValidation>
  </dataValidations>
  <hyperlinks>
    <hyperlink ref="G1" location="'สารบัญ'!A1" display="🏠 สารบัญ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B9BD5"/>
  </sheetPr>
  <dimension ref="A1:K90"/>
  <sheetViews>
    <sheetView showGridLines="0" zoomScaleNormal="100" workbookViewId="0">
      <pane ySplit="11" topLeftCell="A12" activePane="bottomLeft" state="frozen"/>
      <selection pane="bottomLeft" sqref="A1:D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660" t="s">
        <v>1515</v>
      </c>
      <c r="B1" s="650"/>
      <c r="C1" s="650"/>
      <c r="D1" s="650"/>
      <c r="E1" s="243"/>
      <c r="G1" s="293" t="s">
        <v>68</v>
      </c>
      <c r="H1" s="294"/>
    </row>
    <row r="3" spans="1:8" ht="15" customHeight="1">
      <c r="A3" s="27" t="s">
        <v>1105</v>
      </c>
      <c r="B3" s="538">
        <v>100</v>
      </c>
    </row>
    <row r="4" spans="1:8" ht="15" customHeight="1">
      <c r="A4" s="27" t="s">
        <v>1107</v>
      </c>
      <c r="B4" s="538">
        <v>150</v>
      </c>
    </row>
    <row r="5" spans="1:8" ht="15" customHeight="1">
      <c r="A5" s="27" t="s">
        <v>3169</v>
      </c>
      <c r="B5" s="538">
        <v>2</v>
      </c>
      <c r="C5" t="s">
        <v>3170</v>
      </c>
    </row>
    <row r="6" spans="1:8" ht="15" customHeight="1">
      <c r="A6" s="27" t="s">
        <v>1516</v>
      </c>
      <c r="B6" s="539" t="s">
        <v>1517</v>
      </c>
    </row>
    <row r="7" spans="1:8" ht="15" customHeight="1">
      <c r="A7" s="30" t="s">
        <v>1114</v>
      </c>
      <c r="B7" s="31">
        <f>(B3/100)*(B4/100)</f>
        <v>1.5</v>
      </c>
    </row>
    <row r="8" spans="1:8" ht="15" customHeight="1">
      <c r="A8" s="27" t="s">
        <v>1116</v>
      </c>
      <c r="B8" s="383">
        <f>$B$77</f>
        <v>102</v>
      </c>
      <c r="C8" s="588" t="s">
        <v>2702</v>
      </c>
    </row>
    <row r="9" spans="1:8" ht="15" customHeight="1">
      <c r="A9" s="27" t="s">
        <v>1119</v>
      </c>
      <c r="B9" s="538">
        <v>90</v>
      </c>
    </row>
    <row r="10" spans="1:8" ht="15" customHeight="1">
      <c r="A10" s="26" t="s">
        <v>1120</v>
      </c>
      <c r="B10" s="540" t="s">
        <v>733</v>
      </c>
      <c r="C10" s="32">
        <f>INDEX(ราคากระจก!$B$3:$B$206,MATCH(B10,ราคากระจก!$A$3:$A$206,0))</f>
        <v>264</v>
      </c>
      <c r="D10" s="26" t="s">
        <v>1121</v>
      </c>
      <c r="E10" s="26" t="s">
        <v>1122</v>
      </c>
      <c r="F10" s="584" t="s">
        <v>1123</v>
      </c>
      <c r="G10" s="26"/>
    </row>
    <row r="11" spans="1:8" ht="15" customHeight="1">
      <c r="A11" s="33" t="s">
        <v>470</v>
      </c>
      <c r="B11" s="539" t="s">
        <v>1124</v>
      </c>
      <c r="C11" s="539" t="s">
        <v>1125</v>
      </c>
      <c r="D11" s="33" t="s">
        <v>1126</v>
      </c>
    </row>
    <row r="12" spans="1:8" ht="15" customHeight="1">
      <c r="A12" s="28" t="s">
        <v>1518</v>
      </c>
      <c r="B12" s="34">
        <f>(B3/640)*buf_scrap</f>
        <v>0.203125</v>
      </c>
      <c r="C12" s="35">
        <f>IF(F10="สีอบขาว/ดำ",ราคาสี!$D$206,IF(OR(F10="เทาซาฮาร่า",F10="สีดำซาฮาร่า"),ราคาสี!$D$206+rate_grey*น้ำหนักโปรไฟล์!$C$315,IF(F10="ลายไม้ stock",1592,ราคาสี!$D$206+IF(F10="สีอบพิเศษ",rate_special,rate_woodbake)*น้ำหนักโปรไฟล์!$C$315)))</f>
        <v>995</v>
      </c>
      <c r="D12" s="29">
        <f>B12*C12*mult_euro</f>
        <v>202.109375</v>
      </c>
    </row>
    <row r="13" spans="1:8" ht="15" customHeight="1">
      <c r="A13" s="28" t="s">
        <v>1048</v>
      </c>
      <c r="B13" s="34">
        <f>(B3/640)*buf_scrap</f>
        <v>0.203125</v>
      </c>
      <c r="C13" s="35">
        <f>IF(F10="สีอบขาว/ดำ",ราคาสี!$D$207,IF(OR(F10="เทาซาฮาร่า",F10="สีดำซาฮาร่า"),ราคาสี!$D$207+rate_grey*น้ำหนักโปรไฟล์!$C$316,IF(F10="ลายไม้ stock",1600,ราคาสี!$D$207+IF(F10="สีอบพิเศษ",rate_special,rate_woodbake)*น้ำหนักโปรไฟล์!$C$316)))</f>
        <v>1000</v>
      </c>
      <c r="D13" s="29">
        <f>B13*C13*mult_euro</f>
        <v>203.125</v>
      </c>
    </row>
    <row r="14" spans="1:8" ht="15" customHeight="1">
      <c r="A14" s="28" t="s">
        <v>1519</v>
      </c>
      <c r="B14" s="34">
        <f>(B3/640)*buf_scrap</f>
        <v>0.203125</v>
      </c>
      <c r="C14" s="35">
        <f>IF(F10="สีอบขาว/ดำ",ราคาสี!$D$208,IF(OR(F10="เทาซาฮาร่า",F10="สีดำซาฮาร่า"),ราคาสี!$D$208+rate_grey*น้ำหนักโปรไฟล์!$C$317,IF(F10="ลายไม้ stock",632,ราคาสี!$D$208+IF(F10="สีอบพิเศษ",rate_special,rate_woodbake)*น้ำหนักโปรไฟล์!$C$317)))</f>
        <v>395</v>
      </c>
      <c r="D14" s="29">
        <f>B14*C14*mult_euro</f>
        <v>80.234375</v>
      </c>
    </row>
    <row r="15" spans="1:8" ht="15" customHeight="1">
      <c r="A15" s="28" t="s">
        <v>1520</v>
      </c>
      <c r="B15" s="34">
        <f>(B3/640)*buf_scrap</f>
        <v>0.203125</v>
      </c>
      <c r="C15" s="35">
        <f>IF(F10="สีอบขาว/ดำ",ราคาสี!$D$209,IF(OR(F10="เทาซาฮาร่า",F10="สีดำซาฮาร่า"),ราคาสี!$D$209+rate_grey*น้ำหนักโปรไฟล์!$C$318,IF(F10="ลายไม้ stock",1344,ราคาสี!$D$209+IF(F10="สีอบพิเศษ",rate_special,rate_woodbake)*น้ำหนักโปรไฟล์!$C$318)))</f>
        <v>840</v>
      </c>
      <c r="D15" s="29">
        <f>B15*C15*mult_euro</f>
        <v>170.625</v>
      </c>
    </row>
    <row r="16" spans="1:8" ht="15" customHeight="1">
      <c r="A16" s="28" t="s">
        <v>1521</v>
      </c>
      <c r="B16" s="34">
        <f>(B3/640)*buf_scrap</f>
        <v>0.203125</v>
      </c>
      <c r="C16" s="35">
        <f>IF(F10="สีอบขาว/ดำ",ราคาสี!$D$213,IF(OR(F10="เทาซาฮาร่า",F10="สีดำซาฮาร่า"),ราคาสี!$D$213+rate_grey*น้ำหนักโปรไฟล์!$C$322,IF(F10="ลายไม้ stock",ราคาสี!$D$213+rate_woodstock*น้ำหนักโปรไฟล์!$C$322,ราคาสี!$D$213+IF(F10="สีอบพิเศษ",rate_special,rate_woodbake)*น้ำหนักโปรไฟล์!$C$322)))</f>
        <v>60</v>
      </c>
      <c r="D16" s="29">
        <f>B16*C16</f>
        <v>12.1875</v>
      </c>
    </row>
    <row r="17" spans="1:5" ht="15" customHeight="1">
      <c r="A17" s="28" t="s">
        <v>3171</v>
      </c>
      <c r="B17" s="34">
        <f>((2*(B3+B4/2))*2/640)*buf_scrap</f>
        <v>1.421875</v>
      </c>
      <c r="C17" s="35">
        <f>IF(F10="สีอบขาว/ดำ",ราคาสี!$D$210,IF(OR(F10="เทาซาฮาร่า",F10="สีดำซาฮาร่า"),ราคาสี!$D$210+rate_grey*น้ำหนักโปรไฟล์!$C$319,IF(F10="ลายไม้ stock",960,ราคาสี!$D$210+IF(F10="สีอบพิเศษ",rate_special,rate_woodbake)*น้ำหนักโปรไฟล์!$C$319)))</f>
        <v>600</v>
      </c>
      <c r="D17" s="29">
        <f>B17*C17*mult_euro</f>
        <v>853.125</v>
      </c>
    </row>
    <row r="18" spans="1:5" ht="15" customHeight="1">
      <c r="A18" s="28" t="s">
        <v>3172</v>
      </c>
      <c r="B18" s="34">
        <f>((2*B3)/640)*buf_scrap</f>
        <v>0.40625</v>
      </c>
      <c r="C18" s="35">
        <f>IF(F10="สีอบขาว/ดำ",ราคาสี!$D$211,IF(OR(F10="เทาซาฮาร่า",F10="สีดำซาฮาร่า"),ราคาสี!$D$211+rate_grey*น้ำหนักโปรไฟล์!$C$323,IF(F10="ลายไม้ stock",ราคาสี!$D$211+rate_woodstock*น้ำหนักโปรไฟล์!$C$323,ราคาสี!$D$211+IF(F10="สีอบพิเศษ",rate_special,rate_woodbake)*น้ำหนักโปรไฟล์!$C$323)))</f>
        <v>195</v>
      </c>
      <c r="D18" s="29">
        <f>B18*C18</f>
        <v>79.21875</v>
      </c>
    </row>
    <row r="19" spans="1:5" ht="15" customHeight="1">
      <c r="A19" s="28" t="s">
        <v>3173</v>
      </c>
      <c r="B19" s="34">
        <f>((2*B4)/640)*buf_scrap</f>
        <v>0.609375</v>
      </c>
      <c r="C19" s="35">
        <f>IF(F10="สีอบขาว/ดำ",ราคาสี!$D$212,IF(OR(F10="เทาซาฮาร่า",F10="สีดำซาฮาร่า"),ราคาสี!$D$212+rate_grey*น้ำหนักโปรไฟล์!$C$320,IF(F10="ลายไม้ stock",1880,ราคาสี!$D$212+IF(F10="สีอบพิเศษ",rate_special,rate_woodbake)*น้ำหนักโปรไฟล์!$C$320)))</f>
        <v>1175</v>
      </c>
      <c r="D19" s="29">
        <f>B19*C19*mult_euro</f>
        <v>716.015625</v>
      </c>
    </row>
    <row r="20" spans="1:5" ht="15" customHeight="1">
      <c r="A20" s="28" t="s">
        <v>1522</v>
      </c>
      <c r="B20" s="34">
        <f>1</f>
        <v>1</v>
      </c>
      <c r="C20" s="35">
        <f>IF(B6="ถ่วง",ชีทอุปกรณ์!$D$177,ชีทอุปกรณ์!$D$178)</f>
        <v>1350</v>
      </c>
      <c r="D20" s="29">
        <f t="shared" ref="D20:D30" si="0">B20*C20</f>
        <v>1350</v>
      </c>
    </row>
    <row r="21" spans="1:5" ht="15" customHeight="1">
      <c r="A21" s="28" t="s">
        <v>1213</v>
      </c>
      <c r="B21" s="34">
        <f>1</f>
        <v>1</v>
      </c>
      <c r="C21" s="35">
        <f>ชีทอุปกรณ์!$D$179</f>
        <v>60</v>
      </c>
      <c r="D21" s="29">
        <f t="shared" si="0"/>
        <v>60</v>
      </c>
    </row>
    <row r="22" spans="1:5" ht="15" customHeight="1">
      <c r="A22" s="28" t="s">
        <v>1523</v>
      </c>
      <c r="B22" s="34">
        <f>1</f>
        <v>1</v>
      </c>
      <c r="C22" s="35">
        <f>ชีทอุปกรณ์!$D$180</f>
        <v>70</v>
      </c>
      <c r="D22" s="29">
        <f t="shared" si="0"/>
        <v>70</v>
      </c>
    </row>
    <row r="23" spans="1:5" ht="15" customHeight="1">
      <c r="A23" s="28" t="s">
        <v>1524</v>
      </c>
      <c r="B23" s="34">
        <f>IF(B6="ถ่วง",0,2)</f>
        <v>2</v>
      </c>
      <c r="C23" s="35">
        <f>ชีทอุปกรณ์!$D$181</f>
        <v>160</v>
      </c>
      <c r="D23" s="29">
        <f t="shared" si="0"/>
        <v>320</v>
      </c>
    </row>
    <row r="24" spans="1:5" ht="15" customHeight="1">
      <c r="A24" s="28" t="s">
        <v>1525</v>
      </c>
      <c r="B24" s="34">
        <f>IF(B6="ถ่วง",0,2)</f>
        <v>2</v>
      </c>
      <c r="C24" s="35">
        <f>ชีทอุปกรณ์!$D$182</f>
        <v>10</v>
      </c>
      <c r="D24" s="29">
        <f t="shared" si="0"/>
        <v>20</v>
      </c>
    </row>
    <row r="25" spans="1:5" ht="15" customHeight="1">
      <c r="A25" s="28" t="s">
        <v>1526</v>
      </c>
      <c r="B25" s="34">
        <f>IF(B6="ถ่วง",0,4)</f>
        <v>4</v>
      </c>
      <c r="C25" s="35">
        <f>ชีทอุปกรณ์!$D$183</f>
        <v>130</v>
      </c>
      <c r="D25" s="29">
        <f t="shared" si="0"/>
        <v>520</v>
      </c>
    </row>
    <row r="26" spans="1:5" ht="15" customHeight="1">
      <c r="A26" s="28" t="s">
        <v>1527</v>
      </c>
      <c r="B26" s="34">
        <f>IF(B6="ถ่วง",0,4)</f>
        <v>4</v>
      </c>
      <c r="C26" s="35">
        <f>ชีทอุปกรณ์!$D$184</f>
        <v>20</v>
      </c>
      <c r="D26" s="29">
        <f t="shared" si="0"/>
        <v>80</v>
      </c>
    </row>
    <row r="27" spans="1:5" ht="15" customHeight="1">
      <c r="A27" s="28" t="s">
        <v>1528</v>
      </c>
      <c r="B27" s="34">
        <f>IF(B6="ถ่วง",0,2)</f>
        <v>2</v>
      </c>
      <c r="C27" s="35">
        <f>ชีทอุปกรณ์!$D$185</f>
        <v>30</v>
      </c>
      <c r="D27" s="29">
        <f t="shared" si="0"/>
        <v>60</v>
      </c>
    </row>
    <row r="28" spans="1:5" ht="15" customHeight="1">
      <c r="A28" s="28" t="s">
        <v>1128</v>
      </c>
      <c r="B28" s="34">
        <f>B7</f>
        <v>1.5</v>
      </c>
      <c r="C28" s="35">
        <f>INDEX(ราคากระจก!$B$3:$B$206,MATCH(B10,ราคากระจก!$A$3:$A$206,0))</f>
        <v>264</v>
      </c>
      <c r="D28" s="29">
        <f t="shared" si="0"/>
        <v>396</v>
      </c>
    </row>
    <row r="29" spans="1:5" ht="15" customHeight="1">
      <c r="A29" s="28" t="s">
        <v>1134</v>
      </c>
      <c r="B29" s="34">
        <f>ROUNDUP(2*(B3+B4)/100*2/12.5,0)</f>
        <v>1</v>
      </c>
      <c r="C29" s="35">
        <f>B9</f>
        <v>90</v>
      </c>
      <c r="D29" s="29">
        <f t="shared" si="0"/>
        <v>90</v>
      </c>
    </row>
    <row r="30" spans="1:5" ht="15" customHeight="1">
      <c r="A30" s="36" t="s">
        <v>1135</v>
      </c>
      <c r="B30" s="36">
        <f>IF(OR(F10="สีอบพิเศษ",F10="สีลายไม้อบพิเศษ"),1,0)</f>
        <v>0</v>
      </c>
      <c r="C30" s="32">
        <f>อัปเดตราคาอลู!$B$17</f>
        <v>2000</v>
      </c>
      <c r="D30" s="32">
        <f t="shared" si="0"/>
        <v>0</v>
      </c>
      <c r="E30" s="36" t="s">
        <v>1136</v>
      </c>
    </row>
    <row r="31" spans="1:5" ht="15" customHeight="1">
      <c r="A31" s="607" t="s">
        <v>1137</v>
      </c>
      <c r="D31" s="37">
        <f>SUM(D12:D30)+D51+D56+D57+D58+D59</f>
        <v>5282.640625</v>
      </c>
    </row>
    <row r="32" spans="1:5" ht="15" customHeight="1">
      <c r="A32" s="607" t="s">
        <v>1045</v>
      </c>
      <c r="D32" s="37">
        <f>IFERROR(D31/B7,0)</f>
        <v>3521.7604166666665</v>
      </c>
    </row>
    <row r="33" spans="1:4" ht="15" customHeight="1">
      <c r="A33" s="38" t="s">
        <v>1140</v>
      </c>
      <c r="D33" s="39">
        <f>ROUNDUP(D31*(1+B8/100)/100,0)*100</f>
        <v>10700</v>
      </c>
    </row>
    <row r="34" spans="1:4" ht="15" customHeight="1">
      <c r="A34" s="38" t="s">
        <v>1143</v>
      </c>
      <c r="D34" s="39">
        <f>D33</f>
        <v>10700</v>
      </c>
    </row>
    <row r="36" spans="1:4" ht="15" customHeight="1">
      <c r="A36" s="662"/>
      <c r="B36" s="650"/>
      <c r="C36" s="650"/>
      <c r="D36" s="662"/>
    </row>
    <row r="37" spans="1:4" ht="15" customHeight="1">
      <c r="A37" s="650"/>
      <c r="B37" s="650"/>
      <c r="C37" s="650"/>
      <c r="D37" s="662"/>
    </row>
    <row r="38" spans="1:4" ht="15" customHeight="1">
      <c r="A38" s="3"/>
      <c r="B38" s="4"/>
      <c r="C38" s="4"/>
      <c r="D38" s="5"/>
    </row>
    <row r="39" spans="1:4">
      <c r="A39" s="21" t="s">
        <v>1157</v>
      </c>
    </row>
    <row r="40" spans="1:4">
      <c r="A40" s="40" t="s">
        <v>1158</v>
      </c>
      <c r="D40" s="22">
        <f>MAX(0,VLOOKUP("บานยก (เซมิ)",ค่าแรง!$A$12:$N$117,2,0)+VLOOKUP("บานยก (เซมิ)",ค่าแรง!$A$12:$N$117,3,0)*B7)</f>
        <v>2153.15625</v>
      </c>
    </row>
    <row r="41" spans="1:4">
      <c r="A41" s="40" t="s">
        <v>1159</v>
      </c>
      <c r="D41" s="22">
        <f>MAX(0,VLOOKUP("บานยก (เซมิ)",ค่าแรง!$A$12:$N$117,4,0)+VLOOKUP("บานยก (เซมิ)",ค่าแรง!$A$12:$N$117,5,0)*B7)</f>
        <v>1131.59375</v>
      </c>
    </row>
    <row r="43" spans="1:4">
      <c r="A43" s="21" t="s">
        <v>1160</v>
      </c>
      <c r="D43" s="24">
        <f>ROUNDUP((ROUNDUP((ROUNDUP(D31*(1+B8/100)/100,0)*100+ROUNDUP((D40+D60)*(1+B78/100)/100,0)*100)*(1+$B$80/100)/100,0)*100)*1/100,0)*100</f>
        <v>19700</v>
      </c>
    </row>
    <row r="44" spans="1:4">
      <c r="A44" s="21" t="s">
        <v>1161</v>
      </c>
      <c r="D44" s="24">
        <f>D43+ROUNDUP((ROUNDUP((ROUNDUP((D41+D61)*(1+B79/100)/100,0)*100)*(1+$B$80/100)/100,0)*100)*1/100,0)*100</f>
        <v>23500</v>
      </c>
    </row>
    <row r="47" spans="1:4">
      <c r="A47" s="118" t="s">
        <v>1193</v>
      </c>
      <c r="B47" s="119"/>
      <c r="C47" s="119"/>
      <c r="D47" s="119"/>
    </row>
    <row r="48" spans="1:4">
      <c r="A48" s="16" t="s">
        <v>1163</v>
      </c>
      <c r="B48" s="609" t="s">
        <v>1164</v>
      </c>
      <c r="C48" s="119"/>
      <c r="D48" s="119"/>
    </row>
    <row r="49" spans="1:11">
      <c r="A49" s="16" t="s">
        <v>1166</v>
      </c>
      <c r="B49" s="609" t="s">
        <v>525</v>
      </c>
      <c r="C49" s="119"/>
      <c r="D49" s="119"/>
    </row>
    <row r="50" spans="1:11">
      <c r="A50" s="119"/>
      <c r="B50" s="119"/>
      <c r="C50" s="119"/>
      <c r="D50" s="119"/>
    </row>
    <row r="51" spans="1:11">
      <c r="A51" s="120" t="s">
        <v>1175</v>
      </c>
      <c r="B51" s="119"/>
      <c r="C51" s="119"/>
      <c r="D51" s="121">
        <f>IF(B48="ไม่มี",0,INDEX(ราคาออโต้!$C:$C,MATCH(B49,ราคาออโต้!$B:$B,0))+INDEX(ราคาออโต้!$D:$D,MATCH(B49,ราคาออโต้!$B:$B,0)))</f>
        <v>0</v>
      </c>
    </row>
    <row r="53" spans="1:11">
      <c r="A53" s="172" t="s">
        <v>1145</v>
      </c>
    </row>
    <row r="54" spans="1:11">
      <c r="A54" s="21" t="s">
        <v>1147</v>
      </c>
      <c r="B54" s="610" t="s">
        <v>674</v>
      </c>
      <c r="C54" t="str">
        <f>IF(B54="ไม่มีมุ้ง","—",IF(H55=1,"✓ ใช้ได้","⚠ ใช้กับบานนี้ไม่ได้(ทุน=0)"))</f>
        <v>—</v>
      </c>
      <c r="D54" t="str">
        <f>IF(B54="ไม่มีมุ้ง","",H60&amp;" บาน")</f>
        <v/>
      </c>
      <c r="H54" s="161" t="str">
        <f>IFERROR(VLOOKUP(B54,ราคามุ้ง!$A$2:$K$15,3,0),"")</f>
        <v/>
      </c>
    </row>
    <row r="55" spans="1:11">
      <c r="A55" s="26" t="s">
        <v>1148</v>
      </c>
      <c r="B55" s="610" t="s">
        <v>682</v>
      </c>
      <c r="C55" s="610" t="s">
        <v>1149</v>
      </c>
      <c r="H55" s="161">
        <f>IF(B54="ไม่มีมุ้ง",0,IF(OR(IFERROR(VLOOKUP(B54,ราคามุ้ง!$A$2:$K$15,4,0),"ALL")="ALL",ISNUMBER(SEARCH("ยก",IFERROR(VLOOKUP(B54,ราคามุ้ง!$A$2:$K$15,4,0),"")))),1,0))</f>
        <v>0</v>
      </c>
    </row>
    <row r="56" spans="1:11">
      <c r="A56" s="26" t="s">
        <v>1150</v>
      </c>
      <c r="B56" s="223">
        <f>IF(AND(H55=1,H56=1),ROUND(H60*2*H59/6,2),0)</f>
        <v>0</v>
      </c>
      <c r="C56" s="220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6" s="94">
        <f>ROUND(B56*C56,0)</f>
        <v>0</v>
      </c>
      <c r="H56" s="161">
        <f>IF(OR(B54="มุ้งเฟรมเล็ก",B54="มุ้งเฟรมใหญ่",B54="มุ้งนิรภัย"),1,0)</f>
        <v>0</v>
      </c>
    </row>
    <row r="57" spans="1:11">
      <c r="A57" s="26" t="s">
        <v>1151</v>
      </c>
      <c r="B57" s="223">
        <f>IF(AND(H55=1,H56=1),ROUND(H60*2*H58/6,2),0)</f>
        <v>0</v>
      </c>
      <c r="C57" s="220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7" s="94">
        <f>ROUND(B57*C57,0)</f>
        <v>0</v>
      </c>
      <c r="H57" s="161">
        <f>IFERROR(VLOOKUP(B55,ราคามุ้ง!$I$2:$J$5,2,0),0)</f>
        <v>23</v>
      </c>
    </row>
    <row r="58" spans="1:11">
      <c r="A58" s="26" t="s">
        <v>1152</v>
      </c>
      <c r="B58" s="223">
        <f>IF(AND(H55=1,H56=1),ROUND(H60*2*(H58+H59),2),0)</f>
        <v>0</v>
      </c>
      <c r="C58" s="220">
        <f>ราคามุ้ง!$D$19</f>
        <v>5</v>
      </c>
      <c r="D58" s="94">
        <f>ROUND(B58*C58,0)</f>
        <v>0</v>
      </c>
      <c r="H58" s="161">
        <f>B3/(B5*100)</f>
        <v>0.5</v>
      </c>
    </row>
    <row r="59" spans="1:11">
      <c r="A59" s="26" t="s">
        <v>1153</v>
      </c>
      <c r="B59" s="223">
        <f>IF(H55=0,0,ROUND(H60*H58*H59,2))</f>
        <v>0</v>
      </c>
      <c r="C59" s="220">
        <f>IF(B54="มุ้งนิรภัย",650,IF(OR(B54="มุ้งเฟรมเล็ก",B54="มุ้งเฟรมใหญ่"),H57,IF(H54="ซื้อสำเร็จ",IFERROR(VLOOKUP(B54,ราคามุ้ง!$A$2:$K$15,2,0),0),0)))</f>
        <v>0</v>
      </c>
      <c r="D59" s="94">
        <f>ROUND(B59*C59,0)</f>
        <v>0</v>
      </c>
      <c r="H59" s="161">
        <f>B4/100</f>
        <v>1.5</v>
      </c>
    </row>
    <row r="60" spans="1:11">
      <c r="A60" s="26" t="s">
        <v>1154</v>
      </c>
      <c r="D60" s="94">
        <f>IF(H55=0,0,ROUND(H60*(VLOOKUP(B54,ค่าแรง!$A$12:$N$103,2,0)+VLOOKUP(B54,ค่าแรง!$A$12:$N$103,3,0)*H58*H59),0))</f>
        <v>0</v>
      </c>
      <c r="H60" s="161">
        <f>B5</f>
        <v>2</v>
      </c>
    </row>
    <row r="61" spans="1:11">
      <c r="A61" s="26" t="s">
        <v>1155</v>
      </c>
      <c r="D61" s="94">
        <f>IF(H55=0,0,ROUND(H60*(VLOOKUP(B54,ค่าแรง!$A$12:$N$103,4,0)+VLOOKUP(B54,ค่าแรง!$A$12:$N$103,5,0)*H58*H59),0))</f>
        <v>0</v>
      </c>
    </row>
    <row r="62" spans="1:11">
      <c r="A62" s="253" t="s">
        <v>1194</v>
      </c>
      <c r="D62" s="254">
        <f>SUM(D56:D61)</f>
        <v>0</v>
      </c>
    </row>
    <row r="63" spans="1:1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</row>
    <row r="64" spans="1:11">
      <c r="A64" s="289"/>
      <c r="B64" s="117"/>
      <c r="C64" s="117"/>
      <c r="D64" s="117"/>
      <c r="E64" s="117"/>
      <c r="F64" s="117"/>
      <c r="G64" s="117"/>
      <c r="H64" s="117"/>
      <c r="I64" s="117"/>
      <c r="J64" s="117"/>
      <c r="K64" s="117"/>
    </row>
    <row r="65" spans="1:11">
      <c r="A65" s="290"/>
      <c r="B65" s="291"/>
      <c r="C65" s="117"/>
      <c r="D65" s="117"/>
      <c r="E65" s="117"/>
      <c r="F65" s="117"/>
      <c r="G65" s="117"/>
      <c r="H65" s="117"/>
      <c r="I65" s="117"/>
      <c r="J65" s="117"/>
      <c r="K65" s="117"/>
    </row>
    <row r="66" spans="1:11">
      <c r="A66" s="290"/>
      <c r="B66" s="291"/>
      <c r="C66" s="117"/>
      <c r="D66" s="117"/>
      <c r="E66" s="117"/>
      <c r="F66" s="117"/>
      <c r="G66" s="117"/>
      <c r="H66" s="117"/>
      <c r="I66" s="117"/>
      <c r="J66" s="117"/>
      <c r="K66" s="117"/>
    </row>
    <row r="67" spans="1:11">
      <c r="A67" s="290"/>
      <c r="B67" s="291"/>
      <c r="C67" s="117"/>
      <c r="D67" s="117"/>
      <c r="E67" s="117"/>
      <c r="F67" s="117"/>
      <c r="G67" s="117"/>
      <c r="H67" s="117"/>
      <c r="I67" s="117"/>
      <c r="J67" s="117"/>
      <c r="K67" s="117"/>
    </row>
    <row r="68" spans="1:11">
      <c r="A68" s="290"/>
      <c r="B68" s="292"/>
      <c r="C68" s="117"/>
      <c r="D68" s="117"/>
      <c r="E68" s="117"/>
      <c r="F68" s="117"/>
      <c r="G68" s="117"/>
      <c r="H68" s="117"/>
      <c r="I68" s="117"/>
      <c r="J68" s="117"/>
      <c r="K68" s="117"/>
    </row>
    <row r="69" spans="1:1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</row>
    <row r="70" spans="1:11">
      <c r="A70" s="283" t="s">
        <v>1138</v>
      </c>
    </row>
    <row r="71" spans="1:11">
      <c r="A71" s="284" t="s">
        <v>1139</v>
      </c>
      <c r="B71" s="285">
        <f>D12+D13+D14+D15+D17+D18+D19+D20+D27+D29</f>
        <v>3804.453125</v>
      </c>
    </row>
    <row r="72" spans="1:11">
      <c r="A72" s="286" t="s">
        <v>1141</v>
      </c>
      <c r="B72" s="287">
        <f>D28</f>
        <v>396</v>
      </c>
    </row>
    <row r="73" spans="1:11">
      <c r="A73" s="286" t="s">
        <v>1142</v>
      </c>
      <c r="B73" s="287">
        <f>D16+D21+D22+D23+D24+D25+D26+D30</f>
        <v>1082.1875</v>
      </c>
    </row>
    <row r="74" spans="1:11">
      <c r="A74" s="286" t="s">
        <v>1144</v>
      </c>
      <c r="B74" s="288">
        <f>SUM(B71:B73)</f>
        <v>5282.640625</v>
      </c>
    </row>
    <row r="76" spans="1:11">
      <c r="A76" s="286" t="s">
        <v>3148</v>
      </c>
    </row>
    <row r="77" spans="1:11">
      <c r="A77" s="286" t="s">
        <v>1179</v>
      </c>
      <c r="B77" s="543">
        <f>ROUND(($B$84*$B$85-1)*100,0)</f>
        <v>102</v>
      </c>
      <c r="C77" s="286" t="s">
        <v>3149</v>
      </c>
    </row>
    <row r="78" spans="1:11">
      <c r="A78" s="286" t="s">
        <v>1180</v>
      </c>
      <c r="B78" s="543">
        <f>ROUND(($C$84*$B$85-1)*100,0)</f>
        <v>102</v>
      </c>
      <c r="C78" s="286" t="s">
        <v>3149</v>
      </c>
    </row>
    <row r="79" spans="1:11">
      <c r="A79" s="286" t="s">
        <v>1181</v>
      </c>
      <c r="B79" s="543">
        <f>ROUND(($D$84*$B$85-1)*100,0)</f>
        <v>152</v>
      </c>
      <c r="C79" s="286" t="s">
        <v>3149</v>
      </c>
    </row>
    <row r="80" spans="1:11">
      <c r="A80" s="286" t="s">
        <v>3122</v>
      </c>
      <c r="B80" s="539">
        <v>30</v>
      </c>
      <c r="C80" s="286" t="s">
        <v>3150</v>
      </c>
    </row>
    <row r="82" spans="1:6">
      <c r="A82" s="533" t="s">
        <v>3151</v>
      </c>
      <c r="B82" s="535"/>
      <c r="C82" s="533"/>
    </row>
    <row r="83" spans="1:6">
      <c r="A83" t="s">
        <v>3144</v>
      </c>
      <c r="B83" s="541">
        <v>40</v>
      </c>
      <c r="C83" t="s">
        <v>3152</v>
      </c>
    </row>
    <row r="84" spans="1:6">
      <c r="A84" t="s">
        <v>3153</v>
      </c>
      <c r="B84" s="542">
        <v>1.5389999999999999</v>
      </c>
      <c r="C84" s="542">
        <v>1.5389999999999999</v>
      </c>
      <c r="D84" s="542">
        <v>1.9239999999999999</v>
      </c>
      <c r="E84" s="542" t="s">
        <v>3154</v>
      </c>
      <c r="F84" s="542"/>
    </row>
    <row r="85" spans="1:6">
      <c r="A85" t="s">
        <v>3155</v>
      </c>
      <c r="B85" s="542">
        <f>IFERROR((((D31)+(D40+D60)+(D41+D61))/(100/(100+B80)-B83/100))/(((D31)*$B$84+(D40+D60)*$C$84+(D41+D61)*$D$84)*(1+B80/100)),1)</f>
        <v>1.3103950256271171</v>
      </c>
      <c r="C85" t="s">
        <v>3156</v>
      </c>
    </row>
    <row r="87" spans="1:6">
      <c r="A87" s="533" t="s">
        <v>3126</v>
      </c>
      <c r="B87" s="535"/>
      <c r="C87" s="533"/>
    </row>
    <row r="88" spans="1:6">
      <c r="A88" s="533" t="s">
        <v>3127</v>
      </c>
      <c r="B88" s="534">
        <f>IFERROR(ROUND(D44-D44/(1+B80/100),0),0)</f>
        <v>5423</v>
      </c>
      <c r="C88" s="533" t="s">
        <v>3128</v>
      </c>
    </row>
    <row r="89" spans="1:6">
      <c r="A89" s="533" t="s">
        <v>3129</v>
      </c>
      <c r="B89" s="534">
        <f>D31+D40+D60+D41+D61+B88</f>
        <v>13990.390625</v>
      </c>
      <c r="C89" s="533" t="s">
        <v>3130</v>
      </c>
    </row>
    <row r="90" spans="1:6">
      <c r="A90" s="536" t="s">
        <v>3131</v>
      </c>
      <c r="B90" s="537">
        <f>IFERROR((D44-B89)/D44,"")</f>
        <v>0.40466422872340424</v>
      </c>
      <c r="C90" s="536" t="s">
        <v>3157</v>
      </c>
    </row>
  </sheetData>
  <sheetProtection sheet="1" objects="1" scenarios="1"/>
  <mergeCells count="2">
    <mergeCell ref="A1:D1"/>
    <mergeCell ref="A36:D37"/>
  </mergeCells>
  <dataValidations count="8">
    <dataValidation type="list" sqref="B6" xr:uid="{00000000-0002-0000-1A00-000000000000}">
      <formula1>"เดี่ยว,ถ่วง"</formula1>
      <formula2>0</formula2>
    </dataValidation>
    <dataValidation type="list" sqref="B10" xr:uid="{00000000-0002-0000-1A00-000001000000}">
      <formula1>GlassNames</formula1>
      <formula2>0</formula2>
    </dataValidation>
    <dataValidation type="list" sqref="F10" xr:uid="{00000000-0002-0000-1A00-000002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48" xr:uid="{00000000-0002-0000-1A00-000003000000}">
      <formula1>"มี,ไม่มี"</formula1>
    </dataValidation>
    <dataValidation type="list" allowBlank="1" sqref="B49" xr:uid="{00000000-0002-0000-1A00-000004000000}">
      <formula1>"ยก 80 กก.,ยก 300 กก."</formula1>
    </dataValidation>
    <dataValidation type="list" allowBlank="1" sqref="B54" xr:uid="{00000000-0002-0000-1A00-000005000000}">
      <formula1>MungList</formula1>
    </dataValidation>
    <dataValidation type="list" allowBlank="1" sqref="B55" xr:uid="{00000000-0002-0000-1A00-000006000000}">
      <formula1>ClothList</formula1>
    </dataValidation>
    <dataValidation type="list" allowBlank="1" sqref="C55" xr:uid="{00000000-0002-0000-1A00-000007000000}">
      <formula1>"เทา,ดำ"</formula1>
    </dataValidation>
  </dataValidations>
  <hyperlinks>
    <hyperlink ref="G1" location="'สารบัญ'!A1" display="🏠 สารบัญ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B9BD5"/>
  </sheetPr>
  <dimension ref="A1:R82"/>
  <sheetViews>
    <sheetView zoomScaleNormal="100" workbookViewId="0">
      <pane ySplit="11" topLeftCell="A12" activePane="bottomLeft" state="frozen"/>
      <selection pane="bottomLeft" sqref="A1:E1"/>
    </sheetView>
  </sheetViews>
  <sheetFormatPr defaultColWidth="8.6640625" defaultRowHeight="14.4"/>
  <cols>
    <col min="1" max="1" width="24" customWidth="1"/>
    <col min="2" max="2" width="21.109375" customWidth="1"/>
    <col min="3" max="3" width="42.6640625" customWidth="1"/>
    <col min="4" max="4" width="19.109375" customWidth="1"/>
    <col min="5" max="5" width="18" customWidth="1"/>
    <col min="6" max="6" width="10.6640625" customWidth="1"/>
    <col min="7" max="7" width="8.5546875" customWidth="1"/>
    <col min="10" max="10" width="23.21875" customWidth="1"/>
    <col min="11" max="12" width="4.44140625" customWidth="1"/>
    <col min="13" max="13" width="6.44140625" customWidth="1"/>
    <col min="14" max="14" width="4.44140625" customWidth="1"/>
    <col min="15" max="15" width="6.44140625" customWidth="1"/>
    <col min="16" max="16" width="4.44140625" customWidth="1"/>
    <col min="17" max="17" width="6.44140625" customWidth="1"/>
    <col min="18" max="18" width="4.44140625" customWidth="1"/>
  </cols>
  <sheetData>
    <row r="1" spans="1:18" ht="24" customHeight="1">
      <c r="A1" s="660" t="s">
        <v>1529</v>
      </c>
      <c r="B1" s="650"/>
      <c r="C1" s="650"/>
      <c r="D1" s="650"/>
      <c r="E1" s="650"/>
      <c r="F1" s="243"/>
      <c r="G1" s="293" t="s">
        <v>68</v>
      </c>
      <c r="H1" s="294"/>
      <c r="J1" s="40" t="s">
        <v>1530</v>
      </c>
    </row>
    <row r="2" spans="1:18" ht="15" customHeight="1">
      <c r="A2" s="26" t="s">
        <v>1105</v>
      </c>
      <c r="B2" s="540">
        <v>180</v>
      </c>
      <c r="D2" s="26" t="s">
        <v>1531</v>
      </c>
      <c r="E2" s="26">
        <f>VLOOKUP(B5,$J$2:$R$38,3,0)</f>
        <v>1</v>
      </c>
      <c r="G2">
        <v>80</v>
      </c>
      <c r="J2" s="40" t="s">
        <v>1286</v>
      </c>
      <c r="K2" s="40">
        <v>2</v>
      </c>
      <c r="L2" s="40">
        <v>1</v>
      </c>
      <c r="M2" s="102">
        <v>2700</v>
      </c>
      <c r="N2" s="102">
        <v>7</v>
      </c>
      <c r="O2" s="102">
        <v>9999</v>
      </c>
      <c r="P2" s="102">
        <v>10</v>
      </c>
      <c r="Q2" s="102">
        <v>9999</v>
      </c>
      <c r="R2" s="102">
        <v>10</v>
      </c>
    </row>
    <row r="3" spans="1:18" ht="15" customHeight="1">
      <c r="A3" s="26" t="s">
        <v>1107</v>
      </c>
      <c r="B3" s="540">
        <v>280</v>
      </c>
      <c r="D3" s="26" t="s">
        <v>1532</v>
      </c>
      <c r="E3" s="26">
        <f>IF(B3*10&lt;=VLOOKUP(B5,$J$2:$R$38,4,0),VLOOKUP(B5,$J$2:$R$38,5,0),IF(B3*10&lt;=VLOOKUP(B5,$J$2:$R$38,6,0),VLOOKUP(B5,$J$2:$R$38,7,0),VLOOKUP(B5,$J$2:$R$38,9,0)))</f>
        <v>10</v>
      </c>
      <c r="G3">
        <f>IF(B4&gt;0,ROUND(B2/B4,0),0)</f>
        <v>90</v>
      </c>
      <c r="J3" s="40" t="s">
        <v>1291</v>
      </c>
      <c r="K3" s="40">
        <v>3</v>
      </c>
      <c r="L3" s="40">
        <v>0</v>
      </c>
      <c r="M3" s="102">
        <v>2500</v>
      </c>
      <c r="N3" s="102">
        <v>7</v>
      </c>
      <c r="O3" s="102">
        <v>3000</v>
      </c>
      <c r="P3" s="102">
        <v>10</v>
      </c>
      <c r="Q3" s="102">
        <v>9999</v>
      </c>
      <c r="R3" s="102">
        <v>13</v>
      </c>
    </row>
    <row r="4" spans="1:18" ht="15" customHeight="1">
      <c r="A4" s="26" t="s">
        <v>1288</v>
      </c>
      <c r="B4" s="23">
        <f>IFERROR(VALUE(LEFT(B5,FIND("บาน",B5)-1)),2)</f>
        <v>2</v>
      </c>
      <c r="D4" s="590" t="s">
        <v>1533</v>
      </c>
      <c r="E4" s="26">
        <f>IFERROR(MATCH(F10,{"สีอบขาว/ดำ","เทาซาฮาร่า","สีดำซาฮาร่า","แอทแทคเกรย์","ลายไม้สักทอง","ลายไม้มะฮอกกานี","ลายไม้ไวท์โอ๊ค","สีอบพิเศษ","สีลายไม้อบพิเศษ"},0),0)</f>
        <v>1</v>
      </c>
      <c r="G4" t="str">
        <f>IF($B$4&lt;=0,"—",IF(G3&lt;=G2,"OK ใช้ได้","!! กว้าง/บาน "&amp;G3&amp;" ซม. เกิน "&amp;G2&amp;" — ควรใช้ "&amp;ROUNDUP($B$2/G2,0)&amp;" บานขึ้นไป"))</f>
        <v>!! กว้าง/บาน 90 ซม. เกิน 80 — ควรใช้ 3 บานขึ้นไป</v>
      </c>
      <c r="J4" s="40" t="s">
        <v>1293</v>
      </c>
      <c r="K4" s="40">
        <v>3</v>
      </c>
      <c r="L4" s="40">
        <v>0</v>
      </c>
      <c r="M4" s="102">
        <v>2700</v>
      </c>
      <c r="N4" s="102">
        <v>9</v>
      </c>
      <c r="O4" s="102">
        <v>9999</v>
      </c>
      <c r="P4" s="102">
        <v>12</v>
      </c>
      <c r="Q4" s="102">
        <v>9999</v>
      </c>
      <c r="R4" s="102">
        <v>12</v>
      </c>
    </row>
    <row r="5" spans="1:18" ht="15" customHeight="1">
      <c r="A5" s="26" t="s">
        <v>1290</v>
      </c>
      <c r="B5" s="540" t="s">
        <v>1286</v>
      </c>
      <c r="D5" s="26" t="s">
        <v>1534</v>
      </c>
      <c r="E5" s="26">
        <f>(B2*10-110)/B4</f>
        <v>845</v>
      </c>
      <c r="J5" s="40" t="s">
        <v>1296</v>
      </c>
      <c r="K5" s="40">
        <v>4</v>
      </c>
      <c r="L5" s="40">
        <v>1</v>
      </c>
      <c r="M5" s="102">
        <v>2700</v>
      </c>
      <c r="N5" s="102">
        <v>11</v>
      </c>
      <c r="O5" s="102">
        <v>9999</v>
      </c>
      <c r="P5" s="102">
        <v>16</v>
      </c>
      <c r="Q5" s="102">
        <v>9999</v>
      </c>
      <c r="R5" s="102">
        <v>16</v>
      </c>
    </row>
    <row r="6" spans="1:18" ht="15" customHeight="1">
      <c r="A6" s="26" t="s">
        <v>1117</v>
      </c>
      <c r="B6" s="540" t="s">
        <v>1535</v>
      </c>
      <c r="D6" s="26" t="s">
        <v>1536</v>
      </c>
      <c r="E6" s="26">
        <f>B2*10</f>
        <v>1800</v>
      </c>
      <c r="J6" s="40" t="s">
        <v>1297</v>
      </c>
      <c r="K6" s="40">
        <v>4</v>
      </c>
      <c r="L6" s="40">
        <v>0</v>
      </c>
      <c r="M6" s="102">
        <v>2700</v>
      </c>
      <c r="N6" s="102">
        <v>7</v>
      </c>
      <c r="O6" s="102">
        <v>9999</v>
      </c>
      <c r="P6" s="102">
        <v>10</v>
      </c>
      <c r="Q6" s="102">
        <v>9999</v>
      </c>
      <c r="R6" s="102">
        <v>10</v>
      </c>
    </row>
    <row r="7" spans="1:18" ht="15" customHeight="1">
      <c r="A7" s="26" t="s">
        <v>1114</v>
      </c>
      <c r="B7" s="26">
        <f>(B2/100)*(B3/100)</f>
        <v>5.04</v>
      </c>
      <c r="D7" s="26" t="s">
        <v>1537</v>
      </c>
      <c r="E7" s="26">
        <f>B3*10</f>
        <v>2800</v>
      </c>
      <c r="J7" s="40" t="s">
        <v>1298</v>
      </c>
      <c r="K7" s="40">
        <v>4</v>
      </c>
      <c r="L7" s="40">
        <v>2</v>
      </c>
      <c r="M7" s="102">
        <v>2500</v>
      </c>
      <c r="N7" s="102">
        <v>14</v>
      </c>
      <c r="O7" s="102">
        <v>3000</v>
      </c>
      <c r="P7" s="102">
        <v>20</v>
      </c>
      <c r="Q7" s="102">
        <v>9999</v>
      </c>
      <c r="R7" s="102">
        <v>26</v>
      </c>
    </row>
    <row r="8" spans="1:18" ht="15" customHeight="1">
      <c r="A8" s="26" t="s">
        <v>1116</v>
      </c>
      <c r="B8" s="384">
        <f>$B$69</f>
        <v>81</v>
      </c>
      <c r="C8" s="588" t="s">
        <v>2702</v>
      </c>
      <c r="J8" s="40" t="s">
        <v>1304</v>
      </c>
      <c r="K8" s="40">
        <v>5</v>
      </c>
      <c r="L8" s="40">
        <v>0</v>
      </c>
      <c r="M8" s="102">
        <v>2700</v>
      </c>
      <c r="N8" s="102">
        <v>11</v>
      </c>
      <c r="O8" s="102">
        <v>9999</v>
      </c>
      <c r="P8" s="102">
        <v>16</v>
      </c>
      <c r="Q8" s="102">
        <v>9999</v>
      </c>
      <c r="R8" s="102">
        <v>16</v>
      </c>
    </row>
    <row r="9" spans="1:18" ht="15" customHeight="1">
      <c r="J9" s="40" t="s">
        <v>1307</v>
      </c>
      <c r="K9" s="40">
        <v>5</v>
      </c>
      <c r="L9" s="40">
        <v>0</v>
      </c>
      <c r="M9" s="102">
        <v>2700</v>
      </c>
      <c r="N9" s="102">
        <v>14</v>
      </c>
      <c r="O9" s="102">
        <v>9999</v>
      </c>
      <c r="P9" s="102">
        <v>20</v>
      </c>
      <c r="Q9" s="102">
        <v>9999</v>
      </c>
      <c r="R9" s="102">
        <v>20</v>
      </c>
    </row>
    <row r="10" spans="1:18" ht="15" customHeight="1">
      <c r="A10" s="26" t="s">
        <v>1120</v>
      </c>
      <c r="B10" s="540" t="s">
        <v>733</v>
      </c>
      <c r="C10" s="26">
        <f>INDEX(ราคากระจก!$B$3:$B$206,MATCH(B10,ราคากระจก!$A$3:$A$206,0))</f>
        <v>264</v>
      </c>
      <c r="D10" s="26" t="s">
        <v>1538</v>
      </c>
      <c r="E10" s="26" t="s">
        <v>1122</v>
      </c>
      <c r="F10" s="584" t="s">
        <v>1123</v>
      </c>
      <c r="J10" s="40" t="s">
        <v>1309</v>
      </c>
      <c r="K10" s="40">
        <v>5</v>
      </c>
      <c r="L10" s="40">
        <v>0</v>
      </c>
      <c r="M10" s="102">
        <v>2700</v>
      </c>
      <c r="N10" s="102">
        <v>14</v>
      </c>
      <c r="O10" s="102">
        <v>9999</v>
      </c>
      <c r="P10" s="102">
        <v>20</v>
      </c>
      <c r="Q10" s="102">
        <v>9999</v>
      </c>
      <c r="R10" s="102">
        <v>20</v>
      </c>
    </row>
    <row r="11" spans="1:18" ht="15" customHeight="1">
      <c r="A11" s="62" t="s">
        <v>1539</v>
      </c>
      <c r="B11" s="551" t="s">
        <v>1540</v>
      </c>
      <c r="C11" s="551" t="s">
        <v>477</v>
      </c>
      <c r="D11" s="62" t="s">
        <v>1541</v>
      </c>
      <c r="E11" s="62" t="s">
        <v>1126</v>
      </c>
      <c r="J11" s="40" t="s">
        <v>1317</v>
      </c>
      <c r="K11" s="40">
        <v>6</v>
      </c>
      <c r="L11" s="40">
        <v>1</v>
      </c>
      <c r="M11" s="102">
        <v>2700</v>
      </c>
      <c r="N11" s="102">
        <v>15</v>
      </c>
      <c r="O11" s="102">
        <v>9999</v>
      </c>
      <c r="P11" s="102">
        <v>22</v>
      </c>
      <c r="Q11" s="102">
        <v>9999</v>
      </c>
      <c r="R11" s="102">
        <v>22</v>
      </c>
    </row>
    <row r="12" spans="1:18" ht="15" customHeight="1">
      <c r="A12" s="36" t="s">
        <v>1542</v>
      </c>
      <c r="B12" s="32">
        <f>(E6-36)*1</f>
        <v>1764</v>
      </c>
      <c r="C12" s="32">
        <f t="shared" ref="C12:C20" si="0">ROUNDUP(B12/6400,0)</f>
        <v>1</v>
      </c>
      <c r="D12" s="32">
        <f>IF(F10="สีอบขาว/ดำ",VLOOKUP("F7968",ราคาสี!$A:$F,4,0),IF(OR(F10="เทาซาฮาร่า",F10="สีดำซาฮาร่า"),VLOOKUP("F7968",ราคาสี!$A:$F,5,0),IF(F10="แอทแทคเกรย์",VLOOKUP("F7968",ราคาสี!$A:$J,7,0),IF(F10="ลายไม้สักทอง",(VLOOKUP("F7968",ราคาสี!$A:$H,8,0)*mult_wood/mult_euro),IF(F10="ลายไม้มะฮอกกานี",(VLOOKUP("F7968",ราคาสี!$A:$J,9,0)*mult_wood/mult_euro),IF(F10="ลายไม้ไวท์โอ๊ค",(VLOOKUP("F7968",ราคาสี!$A:$J,10,0)*mult_wood/mult_euro),IF(F10="สีอบพิเศษ",6076,6365)))))))</f>
        <v>3415</v>
      </c>
      <c r="E12" s="32">
        <f t="shared" ref="E12:E20" si="1">C12*D12*mult_euro</f>
        <v>3415</v>
      </c>
      <c r="J12" s="40" t="s">
        <v>1318</v>
      </c>
      <c r="K12" s="40">
        <v>6</v>
      </c>
      <c r="L12" s="40">
        <v>0</v>
      </c>
      <c r="M12" s="102">
        <v>2700</v>
      </c>
      <c r="N12" s="102">
        <v>11</v>
      </c>
      <c r="O12" s="102">
        <v>9999</v>
      </c>
      <c r="P12" s="102">
        <v>16</v>
      </c>
      <c r="Q12" s="102">
        <v>9999</v>
      </c>
      <c r="R12" s="102">
        <v>16</v>
      </c>
    </row>
    <row r="13" spans="1:18" ht="15" customHeight="1">
      <c r="A13" s="36" t="s">
        <v>1543</v>
      </c>
      <c r="B13" s="32">
        <f>(E6-36)*1</f>
        <v>1764</v>
      </c>
      <c r="C13" s="32">
        <f t="shared" si="0"/>
        <v>1</v>
      </c>
      <c r="D13" s="32">
        <f>IF(F10="สีอบขาว/ดำ",VLOOKUP("F7969",ราคาสี!$A:$F,4,0),IF(OR(F10="เทาซาฮาร่า",F10="สีดำซาฮาร่า"),VLOOKUP("F7969",ราคาสี!$A:$F,5,0),IF(F10="แอทแทคเกรย์",VLOOKUP("F7969",ราคาสี!$A:$J,7,0),IF(F10="ลายไม้สักทอง",(VLOOKUP("F7969",ราคาสี!$A:$H,8,0)*mult_wood/mult_euro),IF(F10="ลายไม้มะฮอกกานี",(VLOOKUP("F7969",ราคาสี!$A:$J,9,0)*mult_wood/mult_euro),IF(F10="ลายไม้ไวท์โอ๊ค",(VLOOKUP("F7969",ราคาสี!$A:$J,10,0)*mult_wood/mult_euro),IF(F10="สีอบพิเศษ",3348,3507)))))))</f>
        <v>1895</v>
      </c>
      <c r="E13" s="32">
        <f t="shared" si="1"/>
        <v>1895</v>
      </c>
      <c r="J13" s="40" t="s">
        <v>1319</v>
      </c>
      <c r="K13" s="40">
        <v>6</v>
      </c>
      <c r="L13" s="40">
        <v>2</v>
      </c>
      <c r="M13" s="102">
        <v>2700</v>
      </c>
      <c r="N13" s="102">
        <v>16</v>
      </c>
      <c r="O13" s="102">
        <v>9999</v>
      </c>
      <c r="P13" s="102">
        <v>24</v>
      </c>
      <c r="Q13" s="102">
        <v>9999</v>
      </c>
      <c r="R13" s="102">
        <v>24</v>
      </c>
    </row>
    <row r="14" spans="1:18" ht="15" customHeight="1">
      <c r="A14" s="36" t="s">
        <v>1544</v>
      </c>
      <c r="B14" s="32">
        <f>E7*2</f>
        <v>5600</v>
      </c>
      <c r="C14" s="32">
        <f t="shared" si="0"/>
        <v>1</v>
      </c>
      <c r="D14" s="32">
        <f>IF(F10="สีอบขาว/ดำ",VLOOKUP("F7970",ราคาสี!$A:$F,4,0),IF(OR(F10="เทาซาฮาร่า",F10="สีดำซาฮาร่า"),VLOOKUP("F7970",ราคาสี!$A:$F,5,0),IF(F10="แอทแทคเกรย์",VLOOKUP("F7970",ราคาสี!$A:$J,7,0),IF(F10="ลายไม้สักทอง",(VLOOKUP("F7970",ราคาสี!$A:$H,8,0)*mult_wood/mult_euro),IF(F10="ลายไม้มะฮอกกานี",(VLOOKUP("F7970",ราคาสี!$A:$J,9,0)*mult_wood/mult_euro),IF(F10="ลายไม้ไวท์โอ๊ค",(VLOOKUP("F7970",ราคาสี!$A:$J,10,0)*mult_wood/mult_euro),IF(F10="สีอบพิเศษ",2061,2159)))))))</f>
        <v>1120</v>
      </c>
      <c r="E14" s="32">
        <f t="shared" si="1"/>
        <v>1120</v>
      </c>
      <c r="J14" s="40" t="s">
        <v>1322</v>
      </c>
      <c r="K14" s="40">
        <v>6</v>
      </c>
      <c r="L14" s="40">
        <v>0</v>
      </c>
      <c r="M14" s="102">
        <v>2500</v>
      </c>
      <c r="N14" s="102">
        <v>14</v>
      </c>
      <c r="O14" s="102">
        <v>3000</v>
      </c>
      <c r="P14" s="102">
        <v>18</v>
      </c>
      <c r="Q14" s="102">
        <v>9999</v>
      </c>
      <c r="R14" s="102">
        <v>22</v>
      </c>
    </row>
    <row r="15" spans="1:18" ht="15" customHeight="1">
      <c r="A15" s="36" t="s">
        <v>1545</v>
      </c>
      <c r="B15" s="32">
        <f>(E7-120)*2</f>
        <v>5360</v>
      </c>
      <c r="C15" s="32">
        <f t="shared" si="0"/>
        <v>1</v>
      </c>
      <c r="D15" s="32">
        <f>IF(F10="สีอบขาว/ดำ",VLOOKUP("F7971",ราคาสี!$A:$F,4,0),IF(OR(F10="เทาซาฮาร่า",F10="สีดำซาฮาร่า"),VLOOKUP("F7971",ราคาสี!$A:$F,5,0),IF(F10="แอทแทคเกรย์",VLOOKUP("F7971",ราคาสี!$A:$J,7,0),IF(F10="ลายไม้สักทอง",(VLOOKUP("F7971",ราคาสี!$A:$H,8,0)*mult_wood/mult_euro),IF(F10="ลายไม้มะฮอกกานี",(VLOOKUP("F7971",ราคาสี!$A:$J,9,0)*mult_wood/mult_euro),IF(F10="ลายไม้ไวท์โอ๊ค",(VLOOKUP("F7971",ราคาสี!$A:$J,10,0)*mult_wood/mult_euro),IF(F10="สีอบพิเศษ",919,963)))))))</f>
        <v>520</v>
      </c>
      <c r="E15" s="32">
        <f t="shared" si="1"/>
        <v>520</v>
      </c>
      <c r="J15" s="40" t="s">
        <v>1326</v>
      </c>
      <c r="K15" s="40">
        <v>7</v>
      </c>
      <c r="L15" s="40">
        <v>0</v>
      </c>
      <c r="M15" s="102">
        <v>2700</v>
      </c>
      <c r="N15" s="102">
        <v>15</v>
      </c>
      <c r="O15" s="102">
        <v>9999</v>
      </c>
      <c r="P15" s="102">
        <v>22</v>
      </c>
      <c r="Q15" s="102">
        <v>9999</v>
      </c>
      <c r="R15" s="102">
        <v>22</v>
      </c>
    </row>
    <row r="16" spans="1:18" ht="15" customHeight="1">
      <c r="A16" s="36" t="s">
        <v>1546</v>
      </c>
      <c r="B16" s="32">
        <f>(E6-36)*1</f>
        <v>1764</v>
      </c>
      <c r="C16" s="32">
        <f t="shared" si="0"/>
        <v>1</v>
      </c>
      <c r="D16" s="32">
        <f>IF(F10="สีอบขาว/ดำ",VLOOKUP("F7973",ราคาสี!$A:$F,4,0),IF(OR(F10="เทาซาฮาร่า",F10="สีดำซาฮาร่า"),VLOOKUP("F7973",ราคาสี!$A:$F,5,0),IF(F10="แอทแทคเกรย์",VLOOKUP("F7973",ราคาสี!$A:$J,7,0),IF(F10="ลายไม้สักทอง",(VLOOKUP("F7973",ราคาสี!$A:$H,8,0)*mult_wood/mult_euro),IF(F10="ลายไม้มะฮอกกานี",(VLOOKUP("F7973",ราคาสี!$A:$J,9,0)*mult_wood/mult_euro),IF(F10="ลายไม้ไวท์โอ๊ค",(VLOOKUP("F7973",ราคาสี!$A:$J,10,0)*mult_wood/mult_euro),IF(F10="สีอบพิเศษ",445,466)))))))</f>
        <v>245</v>
      </c>
      <c r="E16" s="32">
        <f t="shared" si="1"/>
        <v>245</v>
      </c>
      <c r="J16" s="40" t="s">
        <v>1327</v>
      </c>
      <c r="K16" s="40">
        <v>7</v>
      </c>
      <c r="L16" s="40">
        <v>0</v>
      </c>
      <c r="M16" s="102">
        <v>2700</v>
      </c>
      <c r="N16" s="102">
        <v>17</v>
      </c>
      <c r="O16" s="102">
        <v>9999</v>
      </c>
      <c r="P16" s="102">
        <v>24</v>
      </c>
      <c r="Q16" s="102">
        <v>9999</v>
      </c>
      <c r="R16" s="102">
        <v>24</v>
      </c>
    </row>
    <row r="17" spans="1:18" ht="15" customHeight="1">
      <c r="A17" s="36" t="s">
        <v>1547</v>
      </c>
      <c r="B17" s="32">
        <f>(E7-94)*(2*B4)+E5*(2*B4)</f>
        <v>14204</v>
      </c>
      <c r="C17" s="32">
        <f t="shared" si="0"/>
        <v>3</v>
      </c>
      <c r="D17" s="32">
        <f>IF(F10="สีอบขาว/ดำ",VLOOKUP("F7972",ราคาสี!$A:$F,4,0),IF(OR(F10="เทาซาฮาร่า",F10="สีดำซาฮาร่า"),VLOOKUP("F7972",ราคาสี!$A:$F,5,0),IF(F10="แอทแทคเกรย์",VLOOKUP("F7972",ราคาสี!$A:$J,7,0),IF(F10="ลายไม้สักทอง",(VLOOKUP("F7972",ราคาสี!$A:$H,8,0)*mult_wood/mult_euro),IF(F10="ลายไม้มะฮอกกานี",(VLOOKUP("F7972",ราคาสี!$A:$J,9,0)*mult_wood/mult_euro),IF(F10="ลายไม้ไวท์โอ๊ค",(VLOOKUP("F7972",ราคาสี!$A:$J,10,0)*mult_wood/mult_euro),IF(F10="สีอบพิเศษ",3232,3385)))))))</f>
        <v>1885</v>
      </c>
      <c r="E17" s="32">
        <f t="shared" si="1"/>
        <v>5655</v>
      </c>
      <c r="J17" s="40" t="s">
        <v>1328</v>
      </c>
      <c r="K17" s="40">
        <v>7</v>
      </c>
      <c r="L17" s="40">
        <v>0</v>
      </c>
      <c r="M17" s="102">
        <v>2700</v>
      </c>
      <c r="N17" s="102">
        <v>18</v>
      </c>
      <c r="O17" s="102">
        <v>9999</v>
      </c>
      <c r="P17" s="102">
        <v>26</v>
      </c>
      <c r="Q17" s="102">
        <v>9999</v>
      </c>
      <c r="R17" s="102">
        <v>26</v>
      </c>
    </row>
    <row r="18" spans="1:18" ht="15" customHeight="1">
      <c r="A18" s="36" t="s">
        <v>1548</v>
      </c>
      <c r="B18" s="32">
        <f>IF(ISNUMBER(SEARCH("เปิดกลาง",B5)),(E7-94)*E2,0)</f>
        <v>0</v>
      </c>
      <c r="C18" s="32">
        <f t="shared" si="0"/>
        <v>0</v>
      </c>
      <c r="D18" s="32">
        <f>IF(F10="สีอบขาว/ดำ",VLOOKUP("F7974",ราคาสี!$A:$F,4,0),IF(OR(F10="เทาซาฮาร่า",F10="สีดำซาฮาร่า"),VLOOKUP("F7974",ราคาสี!$A:$F,5,0),IF(F10="แอทแทคเกรย์",VLOOKUP("F7974",ราคาสี!$A:$J,7,0),IF(F10="ลายไม้สักทอง",(VLOOKUP("F7974",ราคาสี!$A:$H,8,0)*mult_wood/mult_euro),IF(F10="ลายไม้มะฮอกกานี",(VLOOKUP("F7974",ราคาสี!$A:$J,9,0)*mult_wood/mult_euro),IF(F10="ลายไม้ไวท์โอ๊ค",(VLOOKUP("F7974",ราคาสี!$A:$J,10,0)*mult_wood/mult_euro),IF(F10="สีอบพิเศษ",1045,1095)))))))</f>
        <v>1000</v>
      </c>
      <c r="E18" s="32">
        <f t="shared" si="1"/>
        <v>0</v>
      </c>
      <c r="J18" s="40" t="s">
        <v>1330</v>
      </c>
      <c r="K18" s="40">
        <v>7</v>
      </c>
      <c r="L18" s="40">
        <v>0</v>
      </c>
      <c r="M18" s="102">
        <v>2500</v>
      </c>
      <c r="N18" s="102">
        <v>18</v>
      </c>
      <c r="O18" s="102">
        <v>3000</v>
      </c>
      <c r="P18" s="102">
        <v>26</v>
      </c>
      <c r="Q18" s="102">
        <v>9999</v>
      </c>
      <c r="R18" s="102">
        <v>34</v>
      </c>
    </row>
    <row r="19" spans="1:18" ht="15" customHeight="1">
      <c r="A19" s="36" t="s">
        <v>1549</v>
      </c>
      <c r="B19" s="32">
        <f>(E7-80)*1</f>
        <v>2720</v>
      </c>
      <c r="C19" s="32">
        <f t="shared" si="0"/>
        <v>1</v>
      </c>
      <c r="D19" s="32">
        <f>IF(F10="สีอบขาว/ดำ",VLOOKUP("F7962",ราคาสี!$A:$F,4,0),IF(OR(F10="เทาซาฮาร่า",F10="สีดำซาฮาร่า"),VLOOKUP("F7962",ราคาสี!$A:$F,5,0),IF(F10="แอทแทคเกรย์",VLOOKUP("F7962",ราคาสี!$A:$J,7,0),IF(F10="ลายไม้สักทอง",(VLOOKUP("F7962",ราคาสี!$A:$H,8,0)*mult_wood/mult_euro),IF(F10="ลายไม้มะฮอกกานี",(VLOOKUP("F7962",ราคาสี!$A:$J,9,0)*mult_wood/mult_euro),IF(F10="ลายไม้ไวท์โอ๊ค",(VLOOKUP("F7962",ราคาสี!$A:$J,10,0)*mult_wood/mult_euro),IF(F10="สีอบพิเศษ",1867,1956)))))))</f>
        <v>1035</v>
      </c>
      <c r="E19" s="32">
        <f t="shared" si="1"/>
        <v>1035</v>
      </c>
      <c r="J19" s="40" t="s">
        <v>1339</v>
      </c>
      <c r="K19" s="40">
        <v>8</v>
      </c>
      <c r="L19" s="40">
        <v>1</v>
      </c>
      <c r="M19" s="102">
        <v>2700</v>
      </c>
      <c r="N19" s="102">
        <v>19</v>
      </c>
      <c r="O19" s="102">
        <v>9999</v>
      </c>
      <c r="P19" s="102">
        <v>28</v>
      </c>
      <c r="Q19" s="102">
        <v>9999</v>
      </c>
      <c r="R19" s="102">
        <v>28</v>
      </c>
    </row>
    <row r="20" spans="1:18" ht="15" customHeight="1">
      <c r="A20" s="36" t="s">
        <v>1550</v>
      </c>
      <c r="B20" s="32">
        <f>(E7-254)*(2*B4)+(E5-120)*(2*B4)</f>
        <v>13084</v>
      </c>
      <c r="C20" s="32">
        <f t="shared" si="0"/>
        <v>3</v>
      </c>
      <c r="D20" s="32">
        <f>IF(F10="สีอบขาว/ดำ",VLOOKUP("F7935",ราคาสี!$A:$F,4,0),IF(OR(F10="เทาซาฮาร่า",F10="สีดำซาฮาร่า"),VLOOKUP("F7935",ราคาสี!$A:$F,5,0),IF(F10="แอทแทคเกรย์",VLOOKUP("F7935",ราคาสี!$A:$J,7,0),IF(F10="ลายไม้สักทอง",(VLOOKUP("F7935",ราคาสี!$A:$H,8,0)*mult_wood/mult_euro),IF(F10="ลายไม้มะฮอกกานี",(VLOOKUP("F7935",ราคาสี!$A:$J,9,0)*mult_wood/mult_euro),IF(F10="ลายไม้ไวท์โอ๊ค",(VLOOKUP("F7935",ราคาสี!$A:$J,10,0)*mult_wood/mult_euro),IF(F10="สีอบพิเศษ",658,689)))))))</f>
        <v>380</v>
      </c>
      <c r="E20" s="32">
        <f t="shared" si="1"/>
        <v>1140</v>
      </c>
      <c r="J20" s="40" t="s">
        <v>1341</v>
      </c>
      <c r="K20" s="40">
        <v>8</v>
      </c>
      <c r="L20" s="40">
        <v>0</v>
      </c>
      <c r="M20" s="102">
        <v>2700</v>
      </c>
      <c r="N20" s="102">
        <v>15</v>
      </c>
      <c r="O20" s="102">
        <v>9999</v>
      </c>
      <c r="P20" s="102">
        <v>22</v>
      </c>
      <c r="Q20" s="102">
        <v>9999</v>
      </c>
      <c r="R20" s="102">
        <v>22</v>
      </c>
    </row>
    <row r="21" spans="1:18" ht="15" customHeight="1">
      <c r="A21" s="36" t="s">
        <v>1551</v>
      </c>
      <c r="J21" s="40" t="s">
        <v>1343</v>
      </c>
      <c r="K21" s="40">
        <v>8</v>
      </c>
      <c r="L21" s="40">
        <v>2</v>
      </c>
      <c r="M21" s="102">
        <v>2700</v>
      </c>
      <c r="N21" s="102">
        <v>22</v>
      </c>
      <c r="O21" s="102">
        <v>9999</v>
      </c>
      <c r="P21" s="102">
        <v>32</v>
      </c>
      <c r="Q21" s="102">
        <v>9999</v>
      </c>
      <c r="R21" s="102">
        <v>32</v>
      </c>
    </row>
    <row r="22" spans="1:18" ht="15" customHeight="1">
      <c r="A22" s="36" t="s">
        <v>1552</v>
      </c>
      <c r="C22" s="32">
        <f>INT(B4/2)</f>
        <v>1</v>
      </c>
      <c r="D22" s="32">
        <f>ชีทอุปกรณ์!$D$204</f>
        <v>299</v>
      </c>
      <c r="E22" s="32">
        <f t="shared" ref="E22:E30" si="2">C22*D22</f>
        <v>299</v>
      </c>
      <c r="J22" s="40" t="s">
        <v>1345</v>
      </c>
      <c r="K22" s="40">
        <v>8</v>
      </c>
      <c r="L22" s="40">
        <v>0</v>
      </c>
      <c r="M22" s="102">
        <v>2700</v>
      </c>
      <c r="N22" s="102">
        <v>18</v>
      </c>
      <c r="O22" s="102">
        <v>9999</v>
      </c>
      <c r="P22" s="102">
        <v>26</v>
      </c>
      <c r="Q22" s="102">
        <v>9999</v>
      </c>
      <c r="R22" s="102">
        <v>26</v>
      </c>
    </row>
    <row r="23" spans="1:18" ht="15" customHeight="1">
      <c r="A23" s="36" t="s">
        <v>1553</v>
      </c>
      <c r="C23" s="32">
        <f>$E$3</f>
        <v>10</v>
      </c>
      <c r="D23" s="32">
        <v>72</v>
      </c>
      <c r="E23" s="32">
        <f t="shared" si="2"/>
        <v>720</v>
      </c>
      <c r="J23" s="40" t="s">
        <v>1347</v>
      </c>
      <c r="K23" s="40">
        <v>8</v>
      </c>
      <c r="L23" s="40">
        <v>2</v>
      </c>
      <c r="M23" s="102">
        <v>2700</v>
      </c>
      <c r="N23" s="102">
        <v>22</v>
      </c>
      <c r="O23" s="102">
        <v>9999</v>
      </c>
      <c r="P23" s="102">
        <v>32</v>
      </c>
      <c r="Q23" s="102">
        <v>9999</v>
      </c>
      <c r="R23" s="102">
        <v>32</v>
      </c>
    </row>
    <row r="24" spans="1:18" ht="15" customHeight="1">
      <c r="A24" s="36" t="s">
        <v>1554</v>
      </c>
      <c r="C24" s="32">
        <f>INT(B4/2)</f>
        <v>1</v>
      </c>
      <c r="D24" s="32">
        <f>ชีทอุปกรณ์!$D$205</f>
        <v>109</v>
      </c>
      <c r="E24" s="32">
        <f t="shared" si="2"/>
        <v>109</v>
      </c>
      <c r="J24" s="40" t="s">
        <v>1357</v>
      </c>
      <c r="K24" s="40">
        <v>9</v>
      </c>
      <c r="L24" s="40">
        <v>0</v>
      </c>
      <c r="M24" s="102">
        <v>2700</v>
      </c>
      <c r="N24" s="102">
        <v>19</v>
      </c>
      <c r="O24" s="102">
        <v>9999</v>
      </c>
      <c r="P24" s="102">
        <v>28</v>
      </c>
      <c r="Q24" s="102">
        <v>9999</v>
      </c>
      <c r="R24" s="102">
        <v>28</v>
      </c>
    </row>
    <row r="25" spans="1:18" ht="15" customHeight="1">
      <c r="A25" s="36" t="s">
        <v>1555</v>
      </c>
      <c r="C25" s="32">
        <f>INT(B4/2)</f>
        <v>1</v>
      </c>
      <c r="D25" s="32">
        <f>ชีทอุปกรณ์!$D$206</f>
        <v>199</v>
      </c>
      <c r="E25" s="32">
        <f t="shared" si="2"/>
        <v>199</v>
      </c>
      <c r="J25" s="40" t="s">
        <v>1359</v>
      </c>
      <c r="K25" s="40">
        <v>9</v>
      </c>
      <c r="L25" s="40">
        <v>0</v>
      </c>
      <c r="M25" s="102">
        <v>2700</v>
      </c>
      <c r="N25" s="102">
        <v>21</v>
      </c>
      <c r="O25" s="102">
        <v>9999</v>
      </c>
      <c r="P25" s="102">
        <v>30</v>
      </c>
      <c r="Q25" s="102">
        <v>9999</v>
      </c>
      <c r="R25" s="102">
        <v>30</v>
      </c>
    </row>
    <row r="26" spans="1:18" ht="15" customHeight="1">
      <c r="A26" s="36" t="s">
        <v>1556</v>
      </c>
      <c r="C26" s="32">
        <f>INT(B4/2)</f>
        <v>1</v>
      </c>
      <c r="D26" s="32">
        <v>85</v>
      </c>
      <c r="E26" s="32">
        <f t="shared" si="2"/>
        <v>85</v>
      </c>
      <c r="J26" s="40" t="s">
        <v>1361</v>
      </c>
      <c r="K26" s="40">
        <v>9</v>
      </c>
      <c r="L26" s="40">
        <v>0</v>
      </c>
      <c r="M26" s="102">
        <v>2700</v>
      </c>
      <c r="N26" s="102">
        <v>22</v>
      </c>
      <c r="O26" s="102">
        <v>9999</v>
      </c>
      <c r="P26" s="102">
        <v>32</v>
      </c>
      <c r="Q26" s="102">
        <v>9999</v>
      </c>
      <c r="R26" s="102">
        <v>32</v>
      </c>
    </row>
    <row r="27" spans="1:18" ht="15" customHeight="1">
      <c r="A27" s="36" t="s">
        <v>1557</v>
      </c>
      <c r="C27" s="32">
        <f>INT(B4/2)</f>
        <v>1</v>
      </c>
      <c r="D27" s="32">
        <v>88</v>
      </c>
      <c r="E27" s="32">
        <f t="shared" si="2"/>
        <v>88</v>
      </c>
      <c r="J27" s="40" t="s">
        <v>1362</v>
      </c>
      <c r="K27" s="40">
        <v>9</v>
      </c>
      <c r="L27" s="40">
        <v>0</v>
      </c>
      <c r="M27" s="102">
        <v>2700</v>
      </c>
      <c r="N27" s="102">
        <v>22</v>
      </c>
      <c r="O27" s="102">
        <v>9999</v>
      </c>
      <c r="P27" s="102">
        <v>32</v>
      </c>
      <c r="Q27" s="102">
        <v>9999</v>
      </c>
      <c r="R27" s="102">
        <v>32</v>
      </c>
    </row>
    <row r="28" spans="1:18" ht="15" customHeight="1">
      <c r="A28" s="36" t="s">
        <v>1558</v>
      </c>
      <c r="C28" s="32">
        <f>2*INT(B4/2)</f>
        <v>2</v>
      </c>
      <c r="D28" s="32">
        <v>73</v>
      </c>
      <c r="E28" s="32">
        <f t="shared" si="2"/>
        <v>146</v>
      </c>
      <c r="J28" s="40" t="s">
        <v>1363</v>
      </c>
      <c r="K28" s="40">
        <v>9</v>
      </c>
      <c r="L28" s="40">
        <v>0</v>
      </c>
      <c r="M28" s="102">
        <v>2700</v>
      </c>
      <c r="N28" s="102">
        <v>22</v>
      </c>
      <c r="O28" s="102">
        <v>9999</v>
      </c>
      <c r="P28" s="102">
        <v>32</v>
      </c>
      <c r="Q28" s="102">
        <v>9999</v>
      </c>
      <c r="R28" s="102">
        <v>32</v>
      </c>
    </row>
    <row r="29" spans="1:18" ht="15" customHeight="1">
      <c r="A29" s="36" t="s">
        <v>1559</v>
      </c>
      <c r="C29" s="32">
        <f>4*B4</f>
        <v>8</v>
      </c>
      <c r="D29" s="32">
        <v>15</v>
      </c>
      <c r="E29" s="32">
        <f t="shared" si="2"/>
        <v>120</v>
      </c>
      <c r="J29" s="40" t="s">
        <v>1373</v>
      </c>
      <c r="K29" s="40">
        <v>10</v>
      </c>
      <c r="L29" s="40">
        <v>1</v>
      </c>
      <c r="M29" s="102">
        <v>2700</v>
      </c>
      <c r="N29" s="102">
        <v>23</v>
      </c>
      <c r="O29" s="102">
        <v>9999</v>
      </c>
      <c r="P29" s="102">
        <v>34</v>
      </c>
      <c r="Q29" s="102">
        <v>9999</v>
      </c>
      <c r="R29" s="102">
        <v>34</v>
      </c>
    </row>
    <row r="30" spans="1:18" ht="15" customHeight="1">
      <c r="A30" s="36" t="s">
        <v>1560</v>
      </c>
      <c r="C30" s="32">
        <f>12*B4</f>
        <v>24</v>
      </c>
      <c r="D30" s="32">
        <v>1.5</v>
      </c>
      <c r="E30" s="32">
        <f t="shared" si="2"/>
        <v>36</v>
      </c>
      <c r="J30" s="40" t="s">
        <v>1375</v>
      </c>
      <c r="K30" s="40">
        <v>10</v>
      </c>
      <c r="L30" s="40">
        <v>0</v>
      </c>
      <c r="M30" s="102">
        <v>2700</v>
      </c>
      <c r="N30" s="102">
        <v>20</v>
      </c>
      <c r="O30" s="102">
        <v>9999</v>
      </c>
      <c r="P30" s="102">
        <v>30</v>
      </c>
      <c r="Q30" s="102">
        <v>9999</v>
      </c>
      <c r="R30" s="102">
        <v>30</v>
      </c>
    </row>
    <row r="31" spans="1:18" ht="15" customHeight="1">
      <c r="A31" s="36" t="s">
        <v>1561</v>
      </c>
      <c r="J31" s="40" t="s">
        <v>1377</v>
      </c>
      <c r="K31" s="40">
        <v>10</v>
      </c>
      <c r="L31" s="40">
        <v>2</v>
      </c>
      <c r="M31" s="102">
        <v>2700</v>
      </c>
      <c r="N31" s="102">
        <v>26</v>
      </c>
      <c r="O31" s="102">
        <v>9999</v>
      </c>
      <c r="P31" s="102">
        <v>38</v>
      </c>
      <c r="Q31" s="102">
        <v>9999</v>
      </c>
      <c r="R31" s="102">
        <v>38</v>
      </c>
    </row>
    <row r="32" spans="1:18" ht="15" customHeight="1">
      <c r="A32" s="36" t="s">
        <v>1562</v>
      </c>
      <c r="B32" s="32">
        <f>((E6-36)+(E6-36)+E7+(E7-120)*2+(E7-94)*(2*B4)*2+(E7-94)*(2*B4)*2+E5*3+(E7-80))/1000</f>
        <v>60.238999999999997</v>
      </c>
      <c r="C32" s="32">
        <f>ROUND(B32,1)</f>
        <v>60.2</v>
      </c>
      <c r="D32" s="32">
        <v>7</v>
      </c>
      <c r="E32" s="32">
        <f>C32*D32</f>
        <v>421.40000000000003</v>
      </c>
      <c r="J32" s="40" t="s">
        <v>1378</v>
      </c>
      <c r="K32" s="40">
        <v>10</v>
      </c>
      <c r="L32" s="40">
        <v>0</v>
      </c>
      <c r="M32" s="102">
        <v>2700</v>
      </c>
      <c r="N32" s="102">
        <v>22</v>
      </c>
      <c r="O32" s="102">
        <v>9999</v>
      </c>
      <c r="P32" s="102">
        <v>28</v>
      </c>
      <c r="Q32" s="102">
        <v>9999</v>
      </c>
      <c r="R32" s="102">
        <v>28</v>
      </c>
    </row>
    <row r="33" spans="1:18" ht="15" customHeight="1">
      <c r="A33" s="36" t="s">
        <v>1563</v>
      </c>
      <c r="B33" s="32">
        <f>((E7-94)*2+(E7-80)*2)/1000</f>
        <v>10.852</v>
      </c>
      <c r="C33" s="32">
        <f>ROUND(B33,1)</f>
        <v>10.9</v>
      </c>
      <c r="D33" s="32">
        <v>1.22</v>
      </c>
      <c r="E33" s="32">
        <f>C33*D33</f>
        <v>13.298</v>
      </c>
      <c r="J33" s="40" t="s">
        <v>1380</v>
      </c>
      <c r="K33" s="40">
        <v>10</v>
      </c>
      <c r="L33" s="40">
        <v>2</v>
      </c>
      <c r="M33" s="102">
        <v>2700</v>
      </c>
      <c r="N33" s="102">
        <v>26</v>
      </c>
      <c r="O33" s="102">
        <v>9999</v>
      </c>
      <c r="P33" s="102">
        <v>38</v>
      </c>
      <c r="Q33" s="102">
        <v>9999</v>
      </c>
      <c r="R33" s="102">
        <v>38</v>
      </c>
    </row>
    <row r="34" spans="1:18" ht="15" customHeight="1">
      <c r="A34" s="36" t="s">
        <v>1564</v>
      </c>
      <c r="B34" s="32">
        <f>(((E7-224)+(E5-130))*2)*B4/1000</f>
        <v>13.164</v>
      </c>
      <c r="C34" s="32">
        <f>ROUND(B34,1)</f>
        <v>13.2</v>
      </c>
      <c r="D34" s="32">
        <v>8</v>
      </c>
      <c r="E34" s="32">
        <f>C34*D34</f>
        <v>105.6</v>
      </c>
      <c r="J34" s="40" t="s">
        <v>1382</v>
      </c>
      <c r="K34" s="40">
        <v>10</v>
      </c>
      <c r="L34" s="40">
        <v>0</v>
      </c>
      <c r="M34" s="102">
        <v>2700</v>
      </c>
      <c r="N34" s="102">
        <v>22</v>
      </c>
      <c r="O34" s="102">
        <v>9999</v>
      </c>
      <c r="P34" s="102">
        <v>28</v>
      </c>
      <c r="Q34" s="102">
        <v>9999</v>
      </c>
      <c r="R34" s="102">
        <v>28</v>
      </c>
    </row>
    <row r="35" spans="1:18" ht="15" customHeight="1">
      <c r="A35" s="36" t="s">
        <v>1565</v>
      </c>
      <c r="B35" s="32">
        <f>(((E7-224)+(E5-130))*2)*B4/1000</f>
        <v>13.164</v>
      </c>
      <c r="C35" s="32">
        <f>ROUND(B35,1)</f>
        <v>13.2</v>
      </c>
      <c r="D35" s="32">
        <v>8</v>
      </c>
      <c r="E35" s="32">
        <f>C35*D35</f>
        <v>105.6</v>
      </c>
    </row>
    <row r="36" spans="1:18" ht="15" customHeight="1">
      <c r="A36" s="36" t="s">
        <v>1128</v>
      </c>
      <c r="B36" s="32">
        <f>B7</f>
        <v>5.04</v>
      </c>
      <c r="C36" s="32">
        <f>B36</f>
        <v>5.04</v>
      </c>
      <c r="D36" s="32">
        <f>C10</f>
        <v>264</v>
      </c>
      <c r="E36" s="32">
        <f>B7*C10</f>
        <v>1330.56</v>
      </c>
    </row>
    <row r="37" spans="1:18" ht="15" customHeight="1">
      <c r="A37" s="36" t="s">
        <v>1566</v>
      </c>
      <c r="E37" s="32">
        <f>IF(B6="รางยู",(B2/640)*buf_scrap*(IF(F10="สีอบขาว/ดำ",IFERROR(VLOOKUP("B24017",ราคาสี!$A:$D,4,0),305),IF(OR(F10="เทาซาฮาร่า",F10="สีดำซาฮาร่า"),VLOOKUP("B24017",ราคาสี!$A:$F,5,0),IF(F10="แอทแทคเกรย์",VLOOKUP("B24017",ราคาสี!$A:$J,7,0),IF(F10="ลายไม้สักทอง",(VLOOKUP("B24017",ราคาสี!$A:$H,8,0)*mult_wood/mult_euro),IF(F10="ลายไม้มะฮอกกานี",(VLOOKUP("B24017",ราคาสี!$A:$J,9,0)*mult_wood/mult_euro),IF(F10="ลายไม้ไวท์โอ๊ค",(VLOOKUP("B24017",ราคาสี!$A:$J,10,0)*mult_wood/mult_euro),IFERROR(VLOOKUP("B24017",ราคาสี!$A:$D,4,0),305)+IF(F10="สีอบพิเศษ",rate_special,rate_woodbake)*น้ำหนักโปรไฟล์!$C$321)))))))+ROUND(200*B2/100,0),0)</f>
        <v>0</v>
      </c>
    </row>
    <row r="38" spans="1:18">
      <c r="A38" t="s">
        <v>1250</v>
      </c>
      <c r="E38">
        <f>IF(OR(F10="สีอบพิเศษ",F10="สีลายไม้อบพิเศษ"),อัปเดตราคาอลู!$B$17,0)</f>
        <v>0</v>
      </c>
    </row>
    <row r="39" spans="1:18" ht="15" customHeight="1">
      <c r="A39" s="45" t="s">
        <v>1137</v>
      </c>
      <c r="E39" s="46">
        <f>SUM(E12:E38)+E54</f>
        <v>18803.457999999999</v>
      </c>
    </row>
    <row r="40" spans="1:18" ht="15" customHeight="1">
      <c r="A40" s="45" t="s">
        <v>1045</v>
      </c>
      <c r="E40" s="46">
        <f>E39/B7</f>
        <v>3730.8448412698408</v>
      </c>
    </row>
    <row r="41" spans="1:18" ht="15" customHeight="1">
      <c r="A41" s="45" t="s">
        <v>1567</v>
      </c>
      <c r="E41" s="24">
        <f>ROUNDUP(E40*(1+B8/100)/100,0)*100</f>
        <v>6800</v>
      </c>
    </row>
    <row r="42" spans="1:18" ht="15" customHeight="1">
      <c r="A42" s="45" t="s">
        <v>1143</v>
      </c>
      <c r="E42" s="24">
        <f>B7*E41</f>
        <v>34272</v>
      </c>
    </row>
    <row r="45" spans="1:18">
      <c r="A45" s="21" t="s">
        <v>1157</v>
      </c>
    </row>
    <row r="46" spans="1:18">
      <c r="A46" s="40" t="s">
        <v>1158</v>
      </c>
      <c r="E46" s="22">
        <f>ROUND(VLOOKUP("บานเฟี้ยมยูโร",ค่าแรง!$A$12:$N$117,2,0)*B4,0)</f>
        <v>1050</v>
      </c>
    </row>
    <row r="47" spans="1:18">
      <c r="A47" s="40" t="s">
        <v>1159</v>
      </c>
      <c r="E47" s="22">
        <f>ROUND(VLOOKUP("บานเฟี้ยมยูโร",ค่าแรง!$A$12:$N$117,4,0)*B4,0)</f>
        <v>1050</v>
      </c>
    </row>
    <row r="49" spans="1:11">
      <c r="A49" s="21" t="s">
        <v>1160</v>
      </c>
      <c r="E49" s="24">
        <f>ROUNDUP((ROUNDUP((ROUNDUP(E39*(1+B8/100)/100,0)*100+ROUNDUP(E46*(1+B70/100)/100,0)*100)*(1+$B$72/100)/100,0)*100)*1/100,0)*100</f>
        <v>47000</v>
      </c>
    </row>
    <row r="50" spans="1:11">
      <c r="A50" s="21" t="s">
        <v>1161</v>
      </c>
      <c r="E50" s="24">
        <f>E49+ROUNDUP((ROUNDUP((ROUNDUP(E47*(1+B71/100)/100,0)*100)*(1+$B$72/100)/100,0)*100)*1/100,0)*100</f>
        <v>50200</v>
      </c>
    </row>
    <row r="52" spans="1:11">
      <c r="A52" s="245" t="s">
        <v>1514</v>
      </c>
    </row>
    <row r="53" spans="1:11">
      <c r="A53" t="s">
        <v>1147</v>
      </c>
      <c r="B53" s="601" t="s">
        <v>674</v>
      </c>
    </row>
    <row r="54" spans="1:11">
      <c r="A54" s="253" t="s">
        <v>1194</v>
      </c>
      <c r="E54" s="254">
        <f>IF(B53="ไม่มีมุ้ง",0,ROUND((VLOOKUP(B53,ราคามุ้ง!$A:$F,2,0)+VLOOKUP(B53,ราคามุ้ง!$A:$F,6,0))*B7,0))</f>
        <v>0</v>
      </c>
    </row>
    <row r="55" spans="1:1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89"/>
      <c r="B56" s="117"/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1">
      <c r="A57" s="290"/>
      <c r="B57" s="291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1">
      <c r="A58" s="290"/>
      <c r="B58" s="291"/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11">
      <c r="A59" s="290"/>
      <c r="B59" s="291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90"/>
      <c r="B60" s="292"/>
      <c r="C60" s="117"/>
      <c r="D60" s="117"/>
      <c r="E60" s="117"/>
      <c r="F60" s="117"/>
      <c r="G60" s="117"/>
      <c r="H60" s="117"/>
      <c r="I60" s="117"/>
      <c r="J60" s="117"/>
      <c r="K60" s="117"/>
    </row>
    <row r="61" spans="1:1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</row>
    <row r="62" spans="1:11">
      <c r="A62" s="283" t="s">
        <v>1138</v>
      </c>
    </row>
    <row r="63" spans="1:11">
      <c r="A63" s="284" t="s">
        <v>1139</v>
      </c>
      <c r="B63" s="285">
        <f>E12+E13+E14+E15+E16+E17+E18+E19+E29+E30+E37</f>
        <v>14041</v>
      </c>
    </row>
    <row r="64" spans="1:11">
      <c r="A64" s="286" t="s">
        <v>1141</v>
      </c>
      <c r="B64" s="287">
        <f>E20+E36</f>
        <v>2470.56</v>
      </c>
    </row>
    <row r="65" spans="1:6">
      <c r="A65" s="286" t="s">
        <v>1142</v>
      </c>
      <c r="B65" s="287">
        <f>E22+E23+E24+E25+E26+E27+E28+E32+E33+E34+E35+E38</f>
        <v>2291.8979999999997</v>
      </c>
    </row>
    <row r="66" spans="1:6">
      <c r="A66" s="286" t="s">
        <v>1144</v>
      </c>
      <c r="B66" s="288">
        <f>SUM(B63:B65)</f>
        <v>18803.458000000002</v>
      </c>
    </row>
    <row r="68" spans="1:6">
      <c r="A68" s="286" t="s">
        <v>3148</v>
      </c>
    </row>
    <row r="69" spans="1:6">
      <c r="A69" s="286" t="s">
        <v>1179</v>
      </c>
      <c r="B69" s="545">
        <f>ROUND(($B$76*$B$77-1)*100,0)</f>
        <v>81</v>
      </c>
      <c r="C69" s="286" t="s">
        <v>3149</v>
      </c>
    </row>
    <row r="70" spans="1:6">
      <c r="A70" s="286" t="s">
        <v>1180</v>
      </c>
      <c r="B70" s="545">
        <f>ROUND(($C$76*$B$77-1)*100,0)</f>
        <v>81</v>
      </c>
      <c r="C70" s="286" t="s">
        <v>3149</v>
      </c>
    </row>
    <row r="71" spans="1:6">
      <c r="A71" s="286" t="s">
        <v>1181</v>
      </c>
      <c r="B71" s="545">
        <f>ROUND(($D$76*$B$77-1)*100,0)</f>
        <v>127</v>
      </c>
      <c r="C71" s="286" t="s">
        <v>3149</v>
      </c>
    </row>
    <row r="72" spans="1:6">
      <c r="A72" s="286" t="s">
        <v>3122</v>
      </c>
      <c r="B72" s="540">
        <v>30</v>
      </c>
      <c r="C72" s="286" t="s">
        <v>3150</v>
      </c>
    </row>
    <row r="74" spans="1:6">
      <c r="A74" s="533" t="s">
        <v>3151</v>
      </c>
      <c r="B74" s="535"/>
      <c r="C74" s="533"/>
    </row>
    <row r="75" spans="1:6">
      <c r="A75" t="s">
        <v>3144</v>
      </c>
      <c r="B75" s="541">
        <v>35</v>
      </c>
      <c r="C75" t="s">
        <v>3152</v>
      </c>
    </row>
    <row r="76" spans="1:6">
      <c r="A76" t="s">
        <v>3153</v>
      </c>
      <c r="B76" s="542">
        <v>1.7230000000000001</v>
      </c>
      <c r="C76" s="542">
        <v>1.7230000000000001</v>
      </c>
      <c r="D76" s="542">
        <v>2.1539999999999999</v>
      </c>
      <c r="E76" s="542" t="s">
        <v>3154</v>
      </c>
      <c r="F76" s="542"/>
    </row>
    <row r="77" spans="1:6">
      <c r="A77" t="s">
        <v>3155</v>
      </c>
      <c r="B77" s="542">
        <f>IFERROR((((E39)+(E46)+(E47))/(100/(100+B72)-B75/100))/(((E39)*$B$76+(E46)*$C$76+(E47)*$D$76)*(1+B72/100)),1)</f>
        <v>1.0517082977620609</v>
      </c>
      <c r="C77" t="s">
        <v>3156</v>
      </c>
    </row>
    <row r="79" spans="1:6">
      <c r="A79" s="533" t="s">
        <v>3126</v>
      </c>
      <c r="B79" s="535"/>
      <c r="C79" s="533"/>
    </row>
    <row r="80" spans="1:6">
      <c r="A80" s="533" t="s">
        <v>3127</v>
      </c>
      <c r="B80" s="534">
        <f>IFERROR(ROUND(E50-E50/(1+B72/100),0),0)</f>
        <v>11585</v>
      </c>
      <c r="C80" s="533" t="s">
        <v>3128</v>
      </c>
    </row>
    <row r="81" spans="1:3">
      <c r="A81" s="533" t="s">
        <v>3129</v>
      </c>
      <c r="B81" s="534">
        <f>E39+E46+E47+B80</f>
        <v>32488.457999999999</v>
      </c>
      <c r="C81" s="533" t="s">
        <v>3130</v>
      </c>
    </row>
    <row r="82" spans="1:3">
      <c r="A82" s="536" t="s">
        <v>3131</v>
      </c>
      <c r="B82" s="537">
        <f>IFERROR((E50-B81)/E50,"")</f>
        <v>0.35281956175298806</v>
      </c>
      <c r="C82" s="536" t="s">
        <v>3157</v>
      </c>
    </row>
  </sheetData>
  <sheetProtection sheet="1" objects="1" scenarios="1"/>
  <mergeCells count="1">
    <mergeCell ref="A1:E1"/>
  </mergeCells>
  <dataValidations count="5">
    <dataValidation type="list" sqref="B5" xr:uid="{00000000-0002-0000-1B00-000000000000}">
      <formula1>$J$2:$J$38</formula1>
      <formula2>0</formula2>
    </dataValidation>
    <dataValidation type="list" sqref="B6" xr:uid="{00000000-0002-0000-1B00-000001000000}">
      <formula1>"ปกติ,รางยู"</formula1>
      <formula2>0</formula2>
    </dataValidation>
    <dataValidation type="list" sqref="B10" xr:uid="{00000000-0002-0000-1B00-000002000000}">
      <formula1>GlassNames</formula1>
      <formula2>0</formula2>
    </dataValidation>
    <dataValidation type="list" allowBlank="1" sqref="F10" xr:uid="{00000000-0002-0000-1B00-000003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type="list" allowBlank="1" sqref="B53" xr:uid="{00000000-0002-0000-1B00-000004000000}">
      <formula1>MungReady</formula1>
    </dataValidation>
  </dataValidations>
  <hyperlinks>
    <hyperlink ref="G1" location="'สารบัญ'!A1" display="🏠 สารบัญ" xr:uid="{00000000-0004-0000-1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B9BD5"/>
  </sheetPr>
  <dimension ref="A1:K53"/>
  <sheetViews>
    <sheetView zoomScaleNormal="100" workbookViewId="0">
      <selection sqref="A1:E1"/>
    </sheetView>
  </sheetViews>
  <sheetFormatPr defaultColWidth="8.6640625" defaultRowHeight="14.4"/>
  <cols>
    <col min="1" max="1" width="24" customWidth="1"/>
    <col min="2" max="2" width="12.6640625" customWidth="1"/>
    <col min="3" max="3" width="42.6640625" customWidth="1"/>
    <col min="4" max="4" width="18" customWidth="1"/>
    <col min="5" max="5" width="11.6640625" customWidth="1"/>
    <col min="7" max="7" width="8.5546875" customWidth="1"/>
  </cols>
  <sheetData>
    <row r="1" spans="1:8" ht="24" customHeight="1">
      <c r="A1" s="660" t="s">
        <v>1568</v>
      </c>
      <c r="B1" s="650"/>
      <c r="C1" s="650"/>
      <c r="D1" s="650"/>
      <c r="E1" s="650"/>
      <c r="F1" s="243"/>
      <c r="G1" s="293" t="s">
        <v>68</v>
      </c>
      <c r="H1" s="294"/>
    </row>
    <row r="2" spans="1:8" ht="15" customHeight="1">
      <c r="A2" s="26" t="s">
        <v>1569</v>
      </c>
      <c r="B2" s="540">
        <v>100</v>
      </c>
    </row>
    <row r="3" spans="1:8" ht="15" customHeight="1">
      <c r="A3" s="26" t="s">
        <v>1107</v>
      </c>
      <c r="B3" s="540">
        <v>50</v>
      </c>
    </row>
    <row r="4" spans="1:8" ht="15" customHeight="1">
      <c r="A4" s="26" t="s">
        <v>1419</v>
      </c>
      <c r="B4" s="540" t="s">
        <v>733</v>
      </c>
    </row>
    <row r="5" spans="1:8" ht="15" customHeight="1">
      <c r="A5" s="26" t="s">
        <v>1570</v>
      </c>
      <c r="B5" s="23">
        <f>INDEX(ราคากระจก!$B$3:$B$206,MATCH(B4,ราคากระจก!$A$3:$A$206,0))</f>
        <v>264</v>
      </c>
    </row>
    <row r="6" spans="1:8" ht="15" customHeight="1">
      <c r="A6" s="26" t="s">
        <v>1114</v>
      </c>
      <c r="B6" s="40">
        <f>(B2/100)*(B3/100)</f>
        <v>0.5</v>
      </c>
    </row>
    <row r="7" spans="1:8" ht="15" customHeight="1">
      <c r="A7" s="26" t="s">
        <v>1116</v>
      </c>
      <c r="B7" s="384">
        <f>$B$40</f>
        <v>67</v>
      </c>
      <c r="C7" s="588" t="s">
        <v>2702</v>
      </c>
    </row>
    <row r="8" spans="1:8" ht="15" customHeight="1">
      <c r="A8" s="26" t="s">
        <v>1119</v>
      </c>
      <c r="B8" s="540">
        <v>90</v>
      </c>
    </row>
    <row r="9" spans="1:8">
      <c r="A9" t="s">
        <v>1571</v>
      </c>
      <c r="B9" s="541">
        <v>1</v>
      </c>
    </row>
    <row r="10" spans="1:8" ht="15" customHeight="1">
      <c r="A10" s="51" t="s">
        <v>470</v>
      </c>
      <c r="B10" s="540" t="s">
        <v>1124</v>
      </c>
      <c r="C10" s="540" t="s">
        <v>1125</v>
      </c>
      <c r="D10" s="51" t="s">
        <v>1126</v>
      </c>
      <c r="E10" s="51" t="s">
        <v>569</v>
      </c>
    </row>
    <row r="11" spans="1:8" ht="15" customHeight="1">
      <c r="A11" s="36" t="s">
        <v>1572</v>
      </c>
      <c r="D11" s="32">
        <f>(ROUNDUP(((B2/100)+(B3/100)+0.4)*1.4*220+1500,0))*B9</f>
        <v>2086</v>
      </c>
      <c r="E11" s="36"/>
    </row>
    <row r="12" spans="1:8" ht="15" customHeight="1">
      <c r="A12" s="36" t="s">
        <v>1128</v>
      </c>
      <c r="B12" s="36">
        <f>B6</f>
        <v>0.5</v>
      </c>
      <c r="C12" s="32">
        <f>B5</f>
        <v>264</v>
      </c>
      <c r="D12" s="32">
        <f>B12*C12</f>
        <v>132</v>
      </c>
    </row>
    <row r="13" spans="1:8" ht="15" customHeight="1">
      <c r="A13" s="36" t="s">
        <v>1134</v>
      </c>
      <c r="B13" s="36">
        <f>ROUNDUP(2*(B2+B3)/100*2/12.5,0)</f>
        <v>1</v>
      </c>
      <c r="C13" s="32">
        <f>B8</f>
        <v>90</v>
      </c>
      <c r="D13" s="32">
        <f>B13*C13</f>
        <v>90</v>
      </c>
    </row>
    <row r="14" spans="1:8">
      <c r="A14" s="26" t="s">
        <v>1573</v>
      </c>
      <c r="D14" s="42">
        <f>(B2/600)*buf_scrap*(1267+582)</f>
        <v>400.61666666666667</v>
      </c>
    </row>
    <row r="15" spans="1:8" ht="15" customHeight="1">
      <c r="A15" s="21" t="s">
        <v>1137</v>
      </c>
      <c r="D15" s="46">
        <f>ROUNDUP(SUM(D11:D14)/100,0)*100</f>
        <v>2800</v>
      </c>
      <c r="E15" s="40" t="s">
        <v>1574</v>
      </c>
    </row>
    <row r="16" spans="1:8" ht="15" customHeight="1">
      <c r="A16" s="21" t="s">
        <v>1045</v>
      </c>
      <c r="D16" s="46">
        <f>IF(B6&gt;0,ROUNDUP(D15/B6,0),0)</f>
        <v>5600</v>
      </c>
    </row>
    <row r="17" spans="1:11" ht="15" customHeight="1">
      <c r="A17" s="21" t="s">
        <v>1216</v>
      </c>
      <c r="D17" s="24">
        <f>ROUNDUP(D16*(1+B7/100)/100,0)*100</f>
        <v>9400</v>
      </c>
    </row>
    <row r="18" spans="1:11" ht="15" customHeight="1">
      <c r="A18" s="21" t="s">
        <v>1143</v>
      </c>
      <c r="D18" s="24">
        <f>B6*D17</f>
        <v>4700</v>
      </c>
    </row>
    <row r="21" spans="1:11">
      <c r="A21" s="26" t="s">
        <v>1575</v>
      </c>
      <c r="D21" s="42">
        <f>ROUND(VLOOKUP("ตายดัดโค้ง",ค่าแรง!$A$12:$N$117,2,0)+VLOOKUP("ตายดัดโค้ง",ค่าแรง!$A$12:$N$117,3,0)*B6,0)</f>
        <v>1076</v>
      </c>
    </row>
    <row r="22" spans="1:11">
      <c r="A22" s="26" t="s">
        <v>1576</v>
      </c>
      <c r="D22" s="42">
        <f>ROUND(VLOOKUP("ตายดัดโค้ง",ค่าแรง!$A$12:$N$117,4,0)+VLOOKUP("ตายดัดโค้ง",ค่าแรง!$A$12:$N$117,5,0)*B6,0)</f>
        <v>2519</v>
      </c>
    </row>
    <row r="23" spans="1:11">
      <c r="A23" s="21" t="s">
        <v>1428</v>
      </c>
      <c r="D23" s="94">
        <f>ROUNDUP((ROUNDUP((ROUNDUP(D15*(1+B7/100)/100,0)*100+ROUNDUP(D21*(1+B41/100)/100,0)*100)*(1+$B$43/100)/100,0)*100)*1/100,0)*100</f>
        <v>8500</v>
      </c>
    </row>
    <row r="24" spans="1:11">
      <c r="A24" s="21" t="s">
        <v>1429</v>
      </c>
      <c r="D24" s="94">
        <f>D23+ROUNDUP((ROUNDUP((ROUNDUP(D22*(1+B42/100)/100,0)*100)*(1+$B$43/100)/100,0)*100)*1/100,0)*100</f>
        <v>15400</v>
      </c>
    </row>
    <row r="26" spans="1:1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</row>
    <row r="27" spans="1:11">
      <c r="A27" s="289"/>
      <c r="B27" s="117"/>
      <c r="C27" s="117"/>
      <c r="D27" s="117"/>
      <c r="E27" s="117"/>
      <c r="F27" s="117"/>
      <c r="G27" s="117"/>
      <c r="H27" s="117"/>
      <c r="I27" s="117"/>
      <c r="J27" s="117"/>
      <c r="K27" s="117"/>
    </row>
    <row r="28" spans="1:11">
      <c r="A28" s="290"/>
      <c r="B28" s="291"/>
      <c r="C28" s="117"/>
      <c r="D28" s="117"/>
      <c r="E28" s="117"/>
      <c r="F28" s="117"/>
      <c r="G28" s="117"/>
      <c r="H28" s="117"/>
      <c r="I28" s="117"/>
      <c r="J28" s="117"/>
      <c r="K28" s="117"/>
    </row>
    <row r="29" spans="1:11">
      <c r="A29" s="290"/>
      <c r="B29" s="291"/>
      <c r="C29" s="117"/>
      <c r="D29" s="117"/>
      <c r="E29" s="117"/>
      <c r="F29" s="117"/>
      <c r="G29" s="117"/>
      <c r="H29" s="117"/>
      <c r="I29" s="117"/>
      <c r="J29" s="117"/>
      <c r="K29" s="117"/>
    </row>
    <row r="30" spans="1:11">
      <c r="A30" s="290"/>
      <c r="B30" s="291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1:11">
      <c r="A31" s="290"/>
      <c r="B31" s="292"/>
      <c r="C31" s="117"/>
      <c r="D31" s="117"/>
      <c r="E31" s="117"/>
      <c r="F31" s="117"/>
      <c r="G31" s="117"/>
      <c r="H31" s="117"/>
      <c r="I31" s="117"/>
      <c r="J31" s="117"/>
      <c r="K31" s="117"/>
    </row>
    <row r="32" spans="1:1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</row>
    <row r="33" spans="1:6">
      <c r="A33" s="283" t="s">
        <v>1138</v>
      </c>
    </row>
    <row r="34" spans="1:6">
      <c r="A34" s="284" t="s">
        <v>1139</v>
      </c>
      <c r="B34" s="285">
        <f>D11+D13+D14</f>
        <v>2576.6166666666668</v>
      </c>
    </row>
    <row r="35" spans="1:6">
      <c r="A35" s="286" t="s">
        <v>1141</v>
      </c>
      <c r="B35" s="287">
        <f>D12</f>
        <v>132</v>
      </c>
    </row>
    <row r="36" spans="1:6">
      <c r="A36" s="286" t="s">
        <v>1142</v>
      </c>
      <c r="B36" s="287">
        <f>0</f>
        <v>0</v>
      </c>
    </row>
    <row r="37" spans="1:6">
      <c r="A37" s="286" t="s">
        <v>1144</v>
      </c>
      <c r="B37" s="288">
        <f>SUM(B34:B36)</f>
        <v>2708.6166666666668</v>
      </c>
    </row>
    <row r="39" spans="1:6">
      <c r="A39" s="286" t="s">
        <v>3148</v>
      </c>
    </row>
    <row r="40" spans="1:6">
      <c r="A40" s="286" t="s">
        <v>1179</v>
      </c>
      <c r="B40" s="545">
        <f>ROUND(($B$47*$B$48-1)*100,0)</f>
        <v>67</v>
      </c>
      <c r="C40" s="286" t="s">
        <v>3149</v>
      </c>
    </row>
    <row r="41" spans="1:6">
      <c r="A41" s="286" t="s">
        <v>1180</v>
      </c>
      <c r="B41" s="545">
        <f>ROUND(($C$47*$B$48-1)*100,0)</f>
        <v>67</v>
      </c>
      <c r="C41" s="286" t="s">
        <v>3149</v>
      </c>
    </row>
    <row r="42" spans="1:6">
      <c r="A42" s="286" t="s">
        <v>1181</v>
      </c>
      <c r="B42" s="545">
        <f>ROUND(($D$47*$B$48-1)*100,0)</f>
        <v>109</v>
      </c>
      <c r="C42" s="286" t="s">
        <v>3149</v>
      </c>
    </row>
    <row r="43" spans="1:6">
      <c r="A43" s="286" t="s">
        <v>3122</v>
      </c>
      <c r="B43" s="540">
        <v>30</v>
      </c>
      <c r="C43" s="286" t="s">
        <v>3150</v>
      </c>
    </row>
    <row r="45" spans="1:6">
      <c r="A45" s="533" t="s">
        <v>3151</v>
      </c>
      <c r="B45" s="535"/>
      <c r="C45" s="533"/>
    </row>
    <row r="46" spans="1:6">
      <c r="A46" t="s">
        <v>3144</v>
      </c>
      <c r="B46" s="541">
        <v>35</v>
      </c>
      <c r="C46" t="s">
        <v>3152</v>
      </c>
    </row>
    <row r="47" spans="1:6">
      <c r="A47" t="s">
        <v>3153</v>
      </c>
      <c r="B47" s="542">
        <v>1.5389999999999999</v>
      </c>
      <c r="C47" s="542">
        <v>1.5389999999999999</v>
      </c>
      <c r="D47" s="542">
        <v>1.9239999999999999</v>
      </c>
      <c r="E47" s="542" t="s">
        <v>3154</v>
      </c>
      <c r="F47" s="542"/>
    </row>
    <row r="48" spans="1:6">
      <c r="A48" t="s">
        <v>3155</v>
      </c>
      <c r="B48" s="542">
        <f>IFERROR((((D15)+(D21)+(D22))/(100/(100+B43)-B46/100))/(((D15)*$B$47+(D21)*$C$47+(D22)*$D$47)*(1+B43/100)),1)</f>
        <v>1.0852986346417073</v>
      </c>
      <c r="C48" t="s">
        <v>3156</v>
      </c>
    </row>
    <row r="50" spans="1:3">
      <c r="A50" s="533" t="s">
        <v>3126</v>
      </c>
      <c r="B50" s="535"/>
      <c r="C50" s="533"/>
    </row>
    <row r="51" spans="1:3">
      <c r="A51" s="533" t="s">
        <v>3127</v>
      </c>
      <c r="B51" s="534">
        <f>IFERROR(ROUND(D24-D24/(1+B43/100),0),0)</f>
        <v>3554</v>
      </c>
      <c r="C51" s="533" t="s">
        <v>3128</v>
      </c>
    </row>
    <row r="52" spans="1:3">
      <c r="A52" s="533" t="s">
        <v>3129</v>
      </c>
      <c r="B52" s="534">
        <f>D15+D21+D22+B51</f>
        <v>9949</v>
      </c>
      <c r="C52" s="533" t="s">
        <v>3130</v>
      </c>
    </row>
    <row r="53" spans="1:3">
      <c r="A53" s="536" t="s">
        <v>3131</v>
      </c>
      <c r="B53" s="537">
        <f>IFERROR((D24-B52)/D24,"")</f>
        <v>0.35396103896103898</v>
      </c>
      <c r="C53" s="536" t="s">
        <v>3157</v>
      </c>
    </row>
  </sheetData>
  <sheetProtection sheet="1" objects="1" scenarios="1"/>
  <mergeCells count="1">
    <mergeCell ref="A1:E1"/>
  </mergeCells>
  <dataValidations count="1">
    <dataValidation type="list" sqref="B4" xr:uid="{00000000-0002-0000-1C00-000000000000}">
      <formula1>GlassNames</formula1>
      <formula2>0</formula2>
    </dataValidation>
  </dataValidations>
  <hyperlinks>
    <hyperlink ref="G1" location="'สารบัญ'!A1" display="🏠 สารบัญ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B9BD5"/>
  </sheetPr>
  <dimension ref="A1:M55"/>
  <sheetViews>
    <sheetView zoomScaleNormal="100" workbookViewId="0">
      <selection sqref="A1:D1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4" width="19.109375" customWidth="1"/>
    <col min="5" max="5" width="8.5546875" customWidth="1"/>
    <col min="6" max="6" width="14.77734375" customWidth="1"/>
    <col min="7" max="7" width="6.44140625" customWidth="1"/>
    <col min="10" max="10" width="24" customWidth="1"/>
    <col min="11" max="13" width="7.44140625" customWidth="1"/>
  </cols>
  <sheetData>
    <row r="1" spans="1:13" ht="24" customHeight="1">
      <c r="A1" s="660" t="s">
        <v>1577</v>
      </c>
      <c r="B1" s="650"/>
      <c r="C1" s="650"/>
      <c r="D1" s="650"/>
      <c r="E1" s="293" t="s">
        <v>68</v>
      </c>
      <c r="F1" s="294" t="s">
        <v>1578</v>
      </c>
      <c r="G1">
        <f>ROUNDUP((B2+2*B3)/640,0)*น้ำหนักโปรไฟล์!$C$286+ROUNDUP(B2/640,0)*น้ำหนักโปรไฟล์!$C$287+ROUNDUP(B2/640,0)*น้ำหนักโปรไฟล์!$C$288+ROUNDUP((2*B4*B3+2*B2)/640,0)*น้ำหนักโปรไฟล์!$C$290+ROUNDUP((2*B4*B3+2*B2)/640,0)*น้ำหนักโปรไฟล์!$C$291+IF(B4&gt;1,1,0)*น้ำหนักโปรไฟล์!$C$292</f>
        <v>43.686</v>
      </c>
      <c r="H1" s="256"/>
      <c r="J1" s="40" t="s">
        <v>1579</v>
      </c>
    </row>
    <row r="2" spans="1:13" ht="15" customHeight="1">
      <c r="A2" s="26" t="s">
        <v>1569</v>
      </c>
      <c r="B2" s="540">
        <v>90</v>
      </c>
      <c r="D2" s="40" t="s">
        <v>1533</v>
      </c>
      <c r="E2" s="40">
        <f>MATCH(B6,{"ขาว/ดำ","เทาซาฮาร่า","ลายไม้","สีอบพิเศษ","สีลายไม้อบพิเศษ"},0)</f>
        <v>1</v>
      </c>
      <c r="J2" s="40" t="s">
        <v>1580</v>
      </c>
      <c r="K2" s="40">
        <v>16000</v>
      </c>
      <c r="L2" s="40">
        <v>16500</v>
      </c>
      <c r="M2" s="102">
        <v>21000</v>
      </c>
    </row>
    <row r="3" spans="1:13" ht="15" customHeight="1">
      <c r="A3" s="26" t="s">
        <v>1581</v>
      </c>
      <c r="B3" s="540">
        <v>240</v>
      </c>
      <c r="D3" s="40" t="s">
        <v>1582</v>
      </c>
      <c r="E3" s="40" t="str">
        <f>B4&amp;"|"&amp;IF(B3/100&lt;=2.4,"2.4",IF(B3/100&lt;=2.6,"2.6",IF(B3/100&lt;=2.7,"2.7",IF(B3/100&lt;=2.8,"2.8","X"))))</f>
        <v>1|2.4</v>
      </c>
      <c r="J3" s="40" t="s">
        <v>1583</v>
      </c>
      <c r="K3" s="40">
        <v>16500</v>
      </c>
      <c r="L3" s="40">
        <v>17000</v>
      </c>
      <c r="M3" s="102">
        <v>21500</v>
      </c>
    </row>
    <row r="4" spans="1:13" ht="15" customHeight="1">
      <c r="A4" s="26" t="s">
        <v>1109</v>
      </c>
      <c r="B4" s="540">
        <v>1</v>
      </c>
      <c r="J4" s="40" t="s">
        <v>1584</v>
      </c>
      <c r="K4" s="40">
        <v>17000</v>
      </c>
      <c r="L4" s="40">
        <v>17500</v>
      </c>
      <c r="M4" s="102">
        <v>22000</v>
      </c>
    </row>
    <row r="5" spans="1:13" ht="15" customHeight="1">
      <c r="A5" s="26" t="s">
        <v>1585</v>
      </c>
      <c r="B5" s="540">
        <v>40</v>
      </c>
      <c r="J5" s="40" t="s">
        <v>1586</v>
      </c>
      <c r="K5" s="40">
        <v>17000</v>
      </c>
      <c r="L5" s="40">
        <v>17500</v>
      </c>
      <c r="M5" s="102">
        <v>22000</v>
      </c>
    </row>
    <row r="6" spans="1:13" ht="15" customHeight="1">
      <c r="A6" s="26" t="s">
        <v>1236</v>
      </c>
      <c r="B6" s="540" t="s">
        <v>100</v>
      </c>
      <c r="J6" s="40" t="s">
        <v>1587</v>
      </c>
      <c r="K6" s="40">
        <v>26000</v>
      </c>
      <c r="L6" s="40">
        <v>26500</v>
      </c>
      <c r="M6" s="102">
        <v>34500</v>
      </c>
    </row>
    <row r="7" spans="1:13" ht="15" customHeight="1">
      <c r="A7" s="26" t="s">
        <v>1419</v>
      </c>
      <c r="B7" s="540" t="s">
        <v>737</v>
      </c>
      <c r="J7" s="40" t="s">
        <v>1588</v>
      </c>
      <c r="K7" s="40">
        <v>26500</v>
      </c>
      <c r="L7" s="40">
        <v>27000</v>
      </c>
      <c r="M7" s="102">
        <v>35000</v>
      </c>
    </row>
    <row r="8" spans="1:13" ht="15" customHeight="1">
      <c r="A8" s="26" t="s">
        <v>1570</v>
      </c>
      <c r="B8" s="23">
        <f>INDEX(ราคากระจก!$B$3:$B$206,MATCH(B7,ราคากระจก!$A$3:$A$206,0))</f>
        <v>403</v>
      </c>
      <c r="J8" s="591" t="s">
        <v>1589</v>
      </c>
      <c r="K8" s="40">
        <v>27000</v>
      </c>
      <c r="L8" s="40">
        <v>27500</v>
      </c>
      <c r="M8" s="102">
        <v>35000</v>
      </c>
    </row>
    <row r="9" spans="1:13" ht="15" customHeight="1">
      <c r="A9" s="26" t="s">
        <v>1116</v>
      </c>
      <c r="B9" s="384">
        <f>$B$42</f>
        <v>80</v>
      </c>
      <c r="C9" s="588" t="s">
        <v>2702</v>
      </c>
      <c r="J9" s="40" t="s">
        <v>1590</v>
      </c>
      <c r="K9" s="40">
        <v>28000</v>
      </c>
      <c r="L9" s="40">
        <v>28500</v>
      </c>
      <c r="M9" s="102">
        <v>36000</v>
      </c>
    </row>
    <row r="10" spans="1:13" ht="15" customHeight="1">
      <c r="A10" s="26" t="s">
        <v>1591</v>
      </c>
      <c r="B10" s="540">
        <v>90</v>
      </c>
    </row>
    <row r="11" spans="1:13" ht="15" customHeight="1">
      <c r="A11" s="26" t="s">
        <v>1114</v>
      </c>
      <c r="B11" s="40">
        <f>(B2/100)*(B3/100)</f>
        <v>2.16</v>
      </c>
    </row>
    <row r="12" spans="1:13" ht="15" customHeight="1">
      <c r="A12" s="26" t="s">
        <v>1592</v>
      </c>
      <c r="B12" s="114"/>
      <c r="C12" s="546" t="s">
        <v>1593</v>
      </c>
      <c r="D12" s="21" t="str">
        <f>IF(B5&gt;B2/2,"⚠ โค้งเกินกว้าง÷2","✅ OK")</f>
        <v>✅ OK</v>
      </c>
    </row>
    <row r="13" spans="1:13" ht="15" customHeight="1">
      <c r="A13" s="51" t="s">
        <v>470</v>
      </c>
      <c r="C13" s="540" t="s">
        <v>569</v>
      </c>
      <c r="D13" s="51" t="s">
        <v>1126</v>
      </c>
    </row>
    <row r="14" spans="1:13" ht="15" customHeight="1">
      <c r="A14" s="36" t="s">
        <v>1594</v>
      </c>
      <c r="C14" s="36" t="str">
        <f>IF(ISNUMBER(B12),"กรอกเอง",IF(ISNA(MATCH($E$3,$J$2:$J$9,0)),"⚠ นอกตาราง — กรอกราคาร้านช่องบน","ตาราง: บาน+สูง+สี"))</f>
        <v>ตาราง: บาน+สูง+สี</v>
      </c>
      <c r="D14" s="32">
        <f>IF(ISNUMBER(B12),B12,IFERROR(INDEX($K$2:$M$9,MATCH($E$3,$J$2:$J$9,0),IF($E$2&lt;=3,$E$2,1)),0))+IF(OR(B6="สีอบพิเศษ",B6="สีลายไม้อบพิเศษ"),ROUND(IF(B6="สีอบพิเศษ",rate_special,rate_woodbake)*G1,0)+2000,0)</f>
        <v>16000</v>
      </c>
    </row>
    <row r="15" spans="1:13" ht="15" customHeight="1">
      <c r="A15" s="36" t="s">
        <v>1595</v>
      </c>
      <c r="C15" s="552" t="s">
        <v>1596</v>
      </c>
      <c r="D15" s="32">
        <f>ROUND(B11*B8,0)</f>
        <v>870</v>
      </c>
    </row>
    <row r="16" spans="1:13" ht="15" customHeight="1">
      <c r="A16" s="36" t="s">
        <v>1597</v>
      </c>
      <c r="C16" s="552" t="s">
        <v>1598</v>
      </c>
      <c r="D16" s="32">
        <f>ROUNDUP(2*(B2+B3)/100*2/12.5,0)*B10</f>
        <v>180</v>
      </c>
    </row>
    <row r="17" spans="1:11" ht="15" customHeight="1">
      <c r="A17" s="36" t="s">
        <v>1599</v>
      </c>
      <c r="D17" s="32">
        <f>ROUND(VLOOKUP("เปิดดัดโค้ง",ค่าแรง!$A$12:$N$117,2,0)+VLOOKUP("เปิดดัดโค้ง",ค่าแรง!$A$12:$N$117,3,0)*B11,0)</f>
        <v>113</v>
      </c>
    </row>
    <row r="18" spans="1:11" ht="15" customHeight="1">
      <c r="A18" s="36" t="s">
        <v>1600</v>
      </c>
      <c r="D18" s="32">
        <f>ROUND(VLOOKUP("เปิดดัดโค้ง",ค่าแรง!$A$12:$N$117,4,0)+VLOOKUP("เปิดดัดโค้ง",ค่าแรง!$A$12:$N$117,5,0)*B11,0)</f>
        <v>1263</v>
      </c>
    </row>
    <row r="20" spans="1:11" ht="15" customHeight="1">
      <c r="A20" s="21" t="s">
        <v>1137</v>
      </c>
      <c r="D20" s="46">
        <f>SUM(D14:D18)</f>
        <v>18426</v>
      </c>
    </row>
    <row r="21" spans="1:11" ht="15" customHeight="1">
      <c r="A21" s="21" t="s">
        <v>1045</v>
      </c>
      <c r="D21" s="46">
        <f>IF(B11&gt;0,ROUND(D20/B11,0),0)</f>
        <v>8531</v>
      </c>
    </row>
    <row r="22" spans="1:11" ht="15" customHeight="1">
      <c r="A22" s="21" t="s">
        <v>1601</v>
      </c>
      <c r="D22" s="24">
        <f>ROUNDUP(D20*(1+B9/100)/100,0)*100</f>
        <v>33200</v>
      </c>
    </row>
    <row r="25" spans="1:11">
      <c r="A25" s="21" t="s">
        <v>1428</v>
      </c>
      <c r="D25" s="94">
        <f>ROUNDUP((ROUNDUP((ROUNDUP(SUM(D14:D16)*(1+B9/100)/100,0)*100+ROUNDUP(D17*(1+B43/100)/100,0)*100)*(1+$B$45/100)/100,0)*100)*1/100,0)*100</f>
        <v>40300</v>
      </c>
    </row>
    <row r="26" spans="1:11">
      <c r="A26" s="21" t="s">
        <v>1429</v>
      </c>
      <c r="D26" s="94">
        <f>D25+ROUNDUP((ROUNDUP((ROUNDUP(D18*(1+B44/100)/100,0)*100)*(1+$B$45/100)/100,0)*100)*1/100,0)*100</f>
        <v>44100</v>
      </c>
    </row>
    <row r="28" spans="1:1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</row>
    <row r="29" spans="1:11">
      <c r="A29" s="289"/>
      <c r="B29" s="117"/>
      <c r="C29" s="117"/>
      <c r="D29" s="117"/>
      <c r="E29" s="117"/>
      <c r="F29" s="117"/>
      <c r="G29" s="117"/>
      <c r="H29" s="117"/>
      <c r="I29" s="117"/>
      <c r="J29" s="117"/>
      <c r="K29" s="117"/>
    </row>
    <row r="30" spans="1:11">
      <c r="A30" s="290"/>
      <c r="B30" s="291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1:11">
      <c r="A31" s="290"/>
      <c r="B31" s="291"/>
      <c r="C31" s="117"/>
      <c r="D31" s="117"/>
      <c r="E31" s="117"/>
      <c r="F31" s="117"/>
      <c r="G31" s="117"/>
      <c r="H31" s="117"/>
      <c r="I31" s="117"/>
      <c r="J31" s="117"/>
      <c r="K31" s="117"/>
    </row>
    <row r="32" spans="1:11">
      <c r="A32" s="290"/>
      <c r="B32" s="291"/>
      <c r="C32" s="117"/>
      <c r="D32" s="117"/>
      <c r="E32" s="117"/>
      <c r="F32" s="117"/>
      <c r="G32" s="117"/>
      <c r="H32" s="117"/>
      <c r="I32" s="117"/>
      <c r="J32" s="117"/>
      <c r="K32" s="117"/>
    </row>
    <row r="33" spans="1:11">
      <c r="A33" s="290"/>
      <c r="B33" s="292"/>
      <c r="C33" s="117"/>
      <c r="D33" s="117"/>
      <c r="E33" s="117"/>
      <c r="F33" s="117"/>
      <c r="G33" s="117"/>
      <c r="H33" s="117"/>
      <c r="I33" s="117"/>
      <c r="J33" s="117"/>
      <c r="K33" s="117"/>
    </row>
    <row r="34" spans="1:1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</row>
    <row r="35" spans="1:11">
      <c r="A35" s="283" t="s">
        <v>1138</v>
      </c>
    </row>
    <row r="36" spans="1:11">
      <c r="A36" s="284" t="s">
        <v>1139</v>
      </c>
      <c r="B36" s="285">
        <f>D16</f>
        <v>180</v>
      </c>
    </row>
    <row r="37" spans="1:11">
      <c r="A37" s="286" t="s">
        <v>1141</v>
      </c>
      <c r="B37" s="287">
        <f>D15</f>
        <v>870</v>
      </c>
    </row>
    <row r="38" spans="1:11">
      <c r="A38" s="286" t="s">
        <v>1142</v>
      </c>
      <c r="B38" s="287">
        <f>D14+D17+D18</f>
        <v>17376</v>
      </c>
    </row>
    <row r="39" spans="1:11">
      <c r="A39" s="286" t="s">
        <v>1144</v>
      </c>
      <c r="B39" s="288">
        <f>SUM(B36:B38)</f>
        <v>18426</v>
      </c>
    </row>
    <row r="41" spans="1:11">
      <c r="A41" s="286" t="s">
        <v>3148</v>
      </c>
    </row>
    <row r="42" spans="1:11">
      <c r="A42" s="286" t="s">
        <v>1179</v>
      </c>
      <c r="B42" s="545">
        <f>ROUND(($B$49*$B$50-1)*100,0)</f>
        <v>80</v>
      </c>
      <c r="C42" s="286" t="s">
        <v>3149</v>
      </c>
    </row>
    <row r="43" spans="1:11">
      <c r="A43" s="286" t="s">
        <v>1180</v>
      </c>
      <c r="B43" s="545">
        <f>ROUND(($C$49*$B$50-1)*100,0)</f>
        <v>80</v>
      </c>
      <c r="C43" s="286" t="s">
        <v>3149</v>
      </c>
    </row>
    <row r="44" spans="1:11">
      <c r="A44" s="286" t="s">
        <v>1181</v>
      </c>
      <c r="B44" s="545">
        <f>ROUND(($D$49*$B$50-1)*100,0)</f>
        <v>126</v>
      </c>
      <c r="C44" s="286" t="s">
        <v>3149</v>
      </c>
    </row>
    <row r="45" spans="1:11">
      <c r="A45" s="286" t="s">
        <v>3122</v>
      </c>
      <c r="B45" s="540">
        <v>30</v>
      </c>
      <c r="C45" s="286" t="s">
        <v>3150</v>
      </c>
    </row>
    <row r="47" spans="1:11">
      <c r="A47" s="533" t="s">
        <v>3151</v>
      </c>
      <c r="B47" s="535"/>
      <c r="C47" s="533"/>
    </row>
    <row r="48" spans="1:11">
      <c r="A48" t="s">
        <v>3144</v>
      </c>
      <c r="B48" s="541">
        <v>35</v>
      </c>
      <c r="C48" t="s">
        <v>3152</v>
      </c>
    </row>
    <row r="49" spans="1:6">
      <c r="A49" t="s">
        <v>3153</v>
      </c>
      <c r="B49" s="542">
        <v>1.7230000000000001</v>
      </c>
      <c r="C49" s="542">
        <v>1.7230000000000001</v>
      </c>
      <c r="D49" s="542">
        <v>2.1539999999999999</v>
      </c>
      <c r="E49" s="542" t="s">
        <v>3154</v>
      </c>
      <c r="F49" s="542"/>
    </row>
    <row r="50" spans="1:6">
      <c r="A50" t="s">
        <v>3155</v>
      </c>
      <c r="B50" s="542">
        <f>IFERROR((((SUM(D14:D16))+(D17)+(D18))/(100/(100+B45)-B48/100))/(((SUM(D14:D16))*$B$49+(D17)*$C$49+(D18)*$D$49)*(1+B45/100)),1)</f>
        <v>1.0469715974512539</v>
      </c>
      <c r="C50" t="s">
        <v>3156</v>
      </c>
    </row>
    <row r="52" spans="1:6">
      <c r="A52" s="533" t="s">
        <v>3126</v>
      </c>
      <c r="B52" s="535"/>
      <c r="C52" s="533"/>
    </row>
    <row r="53" spans="1:6">
      <c r="A53" s="533" t="s">
        <v>3127</v>
      </c>
      <c r="B53" s="534">
        <f>IFERROR(ROUND(D26-D26/(1+B45/100),0),0)</f>
        <v>10177</v>
      </c>
      <c r="C53" s="533" t="s">
        <v>3128</v>
      </c>
    </row>
    <row r="54" spans="1:6">
      <c r="A54" s="533" t="s">
        <v>3129</v>
      </c>
      <c r="B54" s="534">
        <f>SUM(D14:D16)+D17+D18+B53</f>
        <v>28603</v>
      </c>
      <c r="C54" s="533" t="s">
        <v>3130</v>
      </c>
    </row>
    <row r="55" spans="1:6">
      <c r="A55" s="536" t="s">
        <v>3131</v>
      </c>
      <c r="B55" s="537">
        <f>IFERROR((D26-B54)/D26,"")</f>
        <v>0.35140589569160996</v>
      </c>
      <c r="C55" s="536" t="s">
        <v>3157</v>
      </c>
    </row>
  </sheetData>
  <sheetProtection sheet="1" objects="1" scenarios="1"/>
  <mergeCells count="1">
    <mergeCell ref="A1:D1"/>
  </mergeCells>
  <dataValidations count="4">
    <dataValidation type="list" sqref="B4" xr:uid="{00000000-0002-0000-1D00-000000000000}">
      <formula1>"1,2"</formula1>
      <formula2>0</formula2>
    </dataValidation>
    <dataValidation type="list" sqref="B7" xr:uid="{00000000-0002-0000-1D00-000001000000}">
      <formula1>GlassNames</formula1>
      <formula2>0</formula2>
    </dataValidation>
    <dataValidation type="list" allowBlank="1" sqref="B7" xr:uid="{00000000-0002-0000-1D00-000002000000}">
      <formula1>"เทมเปอร์ 6มม.,เทมเปอร์ 8มม.,เทมเปอร์ 10มม.,เทมเปอร์ 12มม.,เทมเปอร์ใส 6มม.,เทมเปอร์ใส 8มม.,เทมเปอร์ใส 10มม.,เทมเปอร์ใส 12มม."</formula1>
    </dataValidation>
    <dataValidation type="list" allowBlank="1" sqref="B6" xr:uid="{00000000-0002-0000-1D00-000003000000}">
      <formula1>"ขาว/ดำ,เทาซาฮาร่า,ลายไม้,สีอบพิเศษ,สีลายไม้อบพิเศษ"</formula1>
    </dataValidation>
  </dataValidations>
  <hyperlinks>
    <hyperlink ref="E1" location="'สารบัญ'!A1" display="🏠 สารบัญ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5B9BD5"/>
  </sheetPr>
  <dimension ref="A1:AF53"/>
  <sheetViews>
    <sheetView zoomScaleNormal="100" workbookViewId="0">
      <selection sqref="A1:F1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4" width="19.109375" customWidth="1"/>
    <col min="5" max="5" width="21.109375" customWidth="1"/>
    <col min="6" max="6" width="3" customWidth="1"/>
    <col min="7" max="7" width="13.77734375" customWidth="1"/>
    <col min="8" max="8" width="7.4414062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7.44140625" customWidth="1"/>
    <col min="17" max="17" width="4.44140625" customWidth="1"/>
    <col min="18" max="20" width="6.44140625" customWidth="1"/>
    <col min="22" max="22" width="10.66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660" t="s">
        <v>1602</v>
      </c>
      <c r="B1" s="650"/>
      <c r="C1" s="650"/>
      <c r="D1" s="650"/>
      <c r="E1" s="650"/>
      <c r="F1" s="650"/>
      <c r="G1" s="580" t="s">
        <v>68</v>
      </c>
      <c r="H1" s="294"/>
      <c r="I1" s="243"/>
      <c r="J1" s="63" t="s">
        <v>1603</v>
      </c>
      <c r="V1" s="8" t="s">
        <v>1604</v>
      </c>
      <c r="AF1" t="str">
        <f>IFERROR(VLOOKUP(B2,$AB$2:$AD$8,2,0),"")</f>
        <v>1.6"</v>
      </c>
    </row>
    <row r="2" spans="1:32" ht="15" customHeight="1">
      <c r="A2" s="63" t="s">
        <v>1605</v>
      </c>
      <c r="B2" s="553" t="s">
        <v>570</v>
      </c>
      <c r="D2" s="65" t="s">
        <v>1606</v>
      </c>
      <c r="E2" s="66">
        <f>(H16/100)*(H17/100)</f>
        <v>4.8</v>
      </c>
      <c r="G2" s="65" t="s">
        <v>1607</v>
      </c>
      <c r="H2" s="67">
        <f>IF(B5="รวม",ROUNDUP(IF(B7="ตั้ง",B9,B8)/150,0)+1,0)</f>
        <v>3</v>
      </c>
      <c r="J2" s="65" t="s">
        <v>666</v>
      </c>
      <c r="K2" s="67">
        <f>ราคาสี!$D$194</f>
        <v>500</v>
      </c>
      <c r="N2" s="9" t="s">
        <v>1608</v>
      </c>
      <c r="O2" s="10">
        <v>3300</v>
      </c>
      <c r="P2" s="10">
        <v>5200</v>
      </c>
      <c r="Q2" s="10">
        <v>300</v>
      </c>
      <c r="R2" s="10">
        <v>1000</v>
      </c>
      <c r="S2" s="10">
        <v>1700</v>
      </c>
      <c r="T2" s="10">
        <v>2400</v>
      </c>
      <c r="V2" s="9">
        <v>50</v>
      </c>
      <c r="AB2" t="s">
        <v>666</v>
      </c>
      <c r="AC2" t="s">
        <v>1609</v>
      </c>
      <c r="AD2" t="s">
        <v>1610</v>
      </c>
      <c r="AF2" t="str">
        <f>IFERROR(VLOOKUP(B2,$AB$2:$AD$8,3,0),"")</f>
        <v>4"</v>
      </c>
    </row>
    <row r="3" spans="1:32" ht="15" customHeight="1">
      <c r="A3" s="63" t="s">
        <v>1611</v>
      </c>
      <c r="B3" s="553" t="s">
        <v>1612</v>
      </c>
      <c r="D3" s="65" t="s">
        <v>1613</v>
      </c>
      <c r="E3" s="66">
        <f>VLOOKUP(B3,$J$18:$K$23,2,0)</f>
        <v>4.0599999999999996</v>
      </c>
      <c r="G3" s="65" t="s">
        <v>1614</v>
      </c>
      <c r="H3" s="67">
        <f>ROUND(485*E9/5,0)*5</f>
        <v>485</v>
      </c>
      <c r="J3" s="65" t="s">
        <v>667</v>
      </c>
      <c r="K3" s="67">
        <f>ราคาสี!$D$195</f>
        <v>310</v>
      </c>
      <c r="N3" s="9" t="s">
        <v>1615</v>
      </c>
      <c r="O3" s="10">
        <v>4300</v>
      </c>
      <c r="P3" s="10">
        <v>6000</v>
      </c>
      <c r="Q3" s="10">
        <v>400</v>
      </c>
      <c r="R3" s="10">
        <v>1500</v>
      </c>
      <c r="S3" s="10">
        <v>2500</v>
      </c>
      <c r="T3" s="10">
        <v>3500</v>
      </c>
      <c r="V3" s="9">
        <v>60</v>
      </c>
      <c r="AB3" t="s">
        <v>667</v>
      </c>
      <c r="AC3" t="s">
        <v>1616</v>
      </c>
      <c r="AD3" t="s">
        <v>1616</v>
      </c>
    </row>
    <row r="4" spans="1:32">
      <c r="A4" s="63" t="s">
        <v>1617</v>
      </c>
      <c r="B4" s="554">
        <v>2</v>
      </c>
      <c r="D4" s="65" t="s">
        <v>1618</v>
      </c>
      <c r="E4" s="66">
        <f>E3+B4</f>
        <v>6.06</v>
      </c>
      <c r="G4" s="65" t="s">
        <v>1619</v>
      </c>
      <c r="H4" s="67">
        <f>VLOOKUP(B6,$J$11:$L$15,3,0)</f>
        <v>0</v>
      </c>
      <c r="J4" s="65" t="s">
        <v>572</v>
      </c>
      <c r="K4" s="67">
        <f>ราคาสี!$D$196</f>
        <v>395</v>
      </c>
      <c r="N4" s="9" t="s">
        <v>1620</v>
      </c>
      <c r="O4" s="10">
        <v>5000</v>
      </c>
      <c r="P4" s="10">
        <v>7200</v>
      </c>
      <c r="Q4" s="10">
        <v>500</v>
      </c>
      <c r="R4" s="10">
        <v>1900</v>
      </c>
      <c r="S4" s="10">
        <v>3300</v>
      </c>
      <c r="T4" s="10">
        <v>4700</v>
      </c>
      <c r="V4" s="9">
        <v>75</v>
      </c>
      <c r="AB4" t="s">
        <v>572</v>
      </c>
      <c r="AC4" t="s">
        <v>1616</v>
      </c>
      <c r="AD4" t="s">
        <v>1621</v>
      </c>
    </row>
    <row r="5" spans="1:32">
      <c r="A5" s="63" t="s">
        <v>1622</v>
      </c>
      <c r="B5" s="553" t="s">
        <v>3158</v>
      </c>
      <c r="C5" s="390" t="str">
        <f>IF(B5="","⚠ ยังไม่เลือกโครง — ค่าโครงดามจะไม่ถูกคิด","")</f>
        <v/>
      </c>
      <c r="D5" s="65" t="s">
        <v>1624</v>
      </c>
      <c r="E5" s="67">
        <f>IF(B7="นอน",H16,H17)</f>
        <v>240</v>
      </c>
      <c r="G5" s="65" t="s">
        <v>1625</v>
      </c>
      <c r="H5" s="67">
        <f>IF(E13=0,0,INDEX($O$2:$O$38,E13))</f>
        <v>7300</v>
      </c>
      <c r="J5" s="65" t="s">
        <v>668</v>
      </c>
      <c r="K5" s="67">
        <f>ราคาสี!$D$197</f>
        <v>485</v>
      </c>
      <c r="N5" s="9" t="s">
        <v>1626</v>
      </c>
      <c r="O5" s="10">
        <v>2800</v>
      </c>
      <c r="P5" s="10">
        <v>4500</v>
      </c>
      <c r="Q5" s="10">
        <v>200</v>
      </c>
      <c r="R5" s="10">
        <v>800</v>
      </c>
      <c r="S5" s="10">
        <v>1100</v>
      </c>
      <c r="T5" s="10">
        <v>1600</v>
      </c>
      <c r="V5" s="9">
        <v>100</v>
      </c>
      <c r="AB5" t="s">
        <v>668</v>
      </c>
      <c r="AC5" t="s">
        <v>1616</v>
      </c>
      <c r="AD5" t="s">
        <v>1612</v>
      </c>
    </row>
    <row r="6" spans="1:32" ht="15" customHeight="1">
      <c r="A6" s="63" t="s">
        <v>1122</v>
      </c>
      <c r="B6" s="553" t="s">
        <v>100</v>
      </c>
      <c r="D6" s="65" t="s">
        <v>1627</v>
      </c>
      <c r="E6" s="67">
        <f>IF(B7="นอน",H17,H16)</f>
        <v>200</v>
      </c>
      <c r="G6" s="65" t="s">
        <v>1628</v>
      </c>
      <c r="H6" s="67">
        <f>IF(E13=0,0,INDEX($P$2:$P$38,E13))</f>
        <v>10600</v>
      </c>
      <c r="J6" s="65" t="s">
        <v>669</v>
      </c>
      <c r="K6" s="67">
        <f>ราคาสี!$D$198</f>
        <v>905</v>
      </c>
      <c r="N6" s="9" t="s">
        <v>1629</v>
      </c>
      <c r="O6" s="10">
        <v>3200</v>
      </c>
      <c r="P6" s="10">
        <v>4800</v>
      </c>
      <c r="Q6" s="10">
        <v>200</v>
      </c>
      <c r="R6" s="10">
        <v>1000</v>
      </c>
      <c r="S6" s="10">
        <v>1400</v>
      </c>
      <c r="T6" s="10">
        <v>2000</v>
      </c>
      <c r="V6" s="9">
        <v>120</v>
      </c>
      <c r="AB6" t="s">
        <v>669</v>
      </c>
      <c r="AC6" t="s">
        <v>1616</v>
      </c>
      <c r="AD6" t="s">
        <v>1630</v>
      </c>
    </row>
    <row r="7" spans="1:32">
      <c r="A7" s="63" t="s">
        <v>1631</v>
      </c>
      <c r="B7" s="553" t="s">
        <v>3159</v>
      </c>
      <c r="D7" s="65" t="s">
        <v>1633</v>
      </c>
      <c r="E7" s="67">
        <f>INT(E6/E4)+1</f>
        <v>34</v>
      </c>
      <c r="G7" s="65" t="s">
        <v>1634</v>
      </c>
      <c r="H7" s="67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65" t="s">
        <v>571</v>
      </c>
      <c r="K7" s="67">
        <f>ราคาสี!$D$199</f>
        <v>770</v>
      </c>
      <c r="N7" s="9" t="s">
        <v>1635</v>
      </c>
      <c r="O7" s="10">
        <v>3300</v>
      </c>
      <c r="P7" s="10">
        <v>5100</v>
      </c>
      <c r="Q7" s="10">
        <v>300</v>
      </c>
      <c r="R7" s="10">
        <v>1000</v>
      </c>
      <c r="S7" s="10">
        <v>1700</v>
      </c>
      <c r="T7" s="10">
        <v>2400</v>
      </c>
      <c r="V7" s="9">
        <v>150</v>
      </c>
      <c r="AB7" t="s">
        <v>571</v>
      </c>
      <c r="AC7" t="s">
        <v>1612</v>
      </c>
      <c r="AD7" t="s">
        <v>1612</v>
      </c>
    </row>
    <row r="8" spans="1:32" ht="15" customHeight="1">
      <c r="A8" s="63" t="s">
        <v>1569</v>
      </c>
      <c r="B8" s="554">
        <v>200</v>
      </c>
      <c r="D8" s="65" t="s">
        <v>1636</v>
      </c>
      <c r="E8" s="67">
        <f>IF(B11="ต่อ",H21,H20)</f>
        <v>17</v>
      </c>
      <c r="G8" s="65" t="s">
        <v>1637</v>
      </c>
      <c r="H8" s="67">
        <f>IF(B5="ไม่รวม",H5,H6)+H7</f>
        <v>10600</v>
      </c>
      <c r="J8" s="65" t="s">
        <v>570</v>
      </c>
      <c r="K8" s="67">
        <f>ราคาสี!$D$200</f>
        <v>1220</v>
      </c>
      <c r="N8" s="9" t="s">
        <v>1638</v>
      </c>
      <c r="O8" s="10">
        <v>3700</v>
      </c>
      <c r="P8" s="10">
        <v>5300</v>
      </c>
      <c r="Q8" s="10">
        <v>300</v>
      </c>
      <c r="R8" s="10">
        <v>1000</v>
      </c>
      <c r="S8" s="10">
        <v>1400</v>
      </c>
      <c r="T8" s="10">
        <v>2000</v>
      </c>
      <c r="V8" s="9">
        <v>200</v>
      </c>
      <c r="AB8" t="s">
        <v>570</v>
      </c>
      <c r="AC8" t="s">
        <v>1612</v>
      </c>
      <c r="AD8" t="s">
        <v>1630</v>
      </c>
    </row>
    <row r="9" spans="1:32" ht="15" customHeight="1">
      <c r="A9" s="63" t="s">
        <v>1107</v>
      </c>
      <c r="B9" s="554">
        <v>240</v>
      </c>
      <c r="D9" s="65" t="s">
        <v>1639</v>
      </c>
      <c r="E9" s="69">
        <f>VLOOKUP(B6,$J$11:$L$15,2,0)</f>
        <v>1</v>
      </c>
      <c r="N9" s="9" t="s">
        <v>1640</v>
      </c>
      <c r="O9" s="10">
        <v>4500</v>
      </c>
      <c r="P9" s="10">
        <v>6400</v>
      </c>
      <c r="Q9" s="10">
        <v>400</v>
      </c>
      <c r="R9" s="10">
        <v>1400</v>
      </c>
      <c r="S9" s="10">
        <v>1900</v>
      </c>
      <c r="T9" s="10">
        <v>2800</v>
      </c>
      <c r="V9" s="9">
        <v>300</v>
      </c>
    </row>
    <row r="10" spans="1:32" ht="15" customHeight="1">
      <c r="A10" s="63" t="s">
        <v>1641</v>
      </c>
      <c r="B10" s="68">
        <f>VLOOKUP("ระแนง",ค่าแรง!$A$12:$N$117,3,0)+VLOOKUP("ระแนง",ค่าแรง!$A$12:$N$117,2,0)/MAX(B19,0.01)</f>
        <v>439.83333333333337</v>
      </c>
      <c r="D10" s="592" t="s">
        <v>1642</v>
      </c>
      <c r="E10" s="67">
        <f>ROUND(VLOOKUP(B2,$J$2:$K$8,2,0)*E9/5,0)*5</f>
        <v>1220</v>
      </c>
      <c r="G10" s="65" t="s">
        <v>1643</v>
      </c>
      <c r="H10" s="67">
        <f>LOOKUP(B8,$V$2:$V$10)</f>
        <v>200</v>
      </c>
      <c r="N10" s="9" t="s">
        <v>1644</v>
      </c>
      <c r="O10" s="10">
        <v>4800</v>
      </c>
      <c r="P10" s="10">
        <v>6900</v>
      </c>
      <c r="Q10" s="10">
        <v>500</v>
      </c>
      <c r="R10" s="10">
        <v>1600</v>
      </c>
      <c r="S10" s="10">
        <v>2200</v>
      </c>
      <c r="T10" s="10">
        <v>3200</v>
      </c>
      <c r="V10" s="9">
        <v>600</v>
      </c>
    </row>
    <row r="11" spans="1:32" ht="15" customHeight="1">
      <c r="A11" s="63" t="s">
        <v>1645</v>
      </c>
      <c r="B11" s="553" t="s">
        <v>1646</v>
      </c>
      <c r="D11" s="65" t="s">
        <v>1647</v>
      </c>
      <c r="E11" s="67">
        <f>IF(B4&gt;=4,5,IF(B4&gt;=2.5,3,IF(B4&gt;=1,2,0)))</f>
        <v>2</v>
      </c>
      <c r="G11" s="65" t="s">
        <v>1648</v>
      </c>
      <c r="H11" s="67">
        <f>IFERROR(INDEX($V$2:$V$10,MATCH(B8,$V$2:$V$10,1)+1),99999)</f>
        <v>300</v>
      </c>
      <c r="J11" s="65" t="s">
        <v>100</v>
      </c>
      <c r="K11" s="69">
        <f>mult_mtong</f>
        <v>1</v>
      </c>
      <c r="L11" s="67">
        <v>0</v>
      </c>
      <c r="N11" s="9" t="s">
        <v>1649</v>
      </c>
      <c r="O11" s="10">
        <v>3200</v>
      </c>
      <c r="P11" s="10">
        <v>4900</v>
      </c>
      <c r="Q11" s="10">
        <v>300</v>
      </c>
      <c r="R11" s="10">
        <v>800</v>
      </c>
      <c r="S11" s="10">
        <v>1100</v>
      </c>
      <c r="T11" s="10">
        <v>1600</v>
      </c>
    </row>
    <row r="12" spans="1:32" ht="15" customHeight="1">
      <c r="A12" s="21" t="s">
        <v>1650</v>
      </c>
      <c r="B12" s="68">
        <f>VLOOKUP("ระแนง",ค่าแรง!$A$12:$N$117,5,0)+VLOOKUP("ระแนง",ค่าแรง!$A$12:$N$117,4,0)/MAX(B19,0.01)</f>
        <v>830.66666666666674</v>
      </c>
      <c r="D12" s="592" t="s">
        <v>798</v>
      </c>
      <c r="E12" s="65" t="str">
        <f>B2&amp;"|"&amp;B3&amp;"|"&amp;E11</f>
        <v>กล่อง 1.6"×4"|1.6"|2</v>
      </c>
      <c r="G12" s="65" t="s">
        <v>1651</v>
      </c>
      <c r="H12" s="67">
        <f>IF(B8-H10&lt;=20,H10,IF(H11-B8&lt;=20,H11,B8))</f>
        <v>200</v>
      </c>
      <c r="J12" s="65" t="s">
        <v>81</v>
      </c>
      <c r="K12" s="69">
        <f>mult_mtong+rate_grey/192</f>
        <v>1.5208333333333335</v>
      </c>
      <c r="L12" s="67">
        <v>0</v>
      </c>
      <c r="N12" s="9" t="s">
        <v>1652</v>
      </c>
      <c r="O12" s="10">
        <v>3700</v>
      </c>
      <c r="P12" s="10">
        <v>5300</v>
      </c>
      <c r="Q12" s="10">
        <v>300</v>
      </c>
      <c r="R12" s="10">
        <v>1000</v>
      </c>
      <c r="S12" s="10">
        <v>1400</v>
      </c>
      <c r="T12" s="10">
        <v>2000</v>
      </c>
    </row>
    <row r="13" spans="1:32" ht="15" customHeight="1">
      <c r="D13" s="65" t="s">
        <v>1653</v>
      </c>
      <c r="E13" s="67">
        <f>IFERROR(MATCH(E12,$N$2:$N$38,0),0)</f>
        <v>34</v>
      </c>
      <c r="G13" s="65" t="s">
        <v>1654</v>
      </c>
      <c r="H13" s="67">
        <f>LOOKUP(B9,$V$2:$V$10)</f>
        <v>200</v>
      </c>
      <c r="J13" s="65" t="s">
        <v>1655</v>
      </c>
      <c r="K13" s="69">
        <f>mult_mtong+rate_woodstock/192</f>
        <v>1.5859375</v>
      </c>
      <c r="L13" s="67">
        <v>0</v>
      </c>
      <c r="N13" s="9" t="s">
        <v>1656</v>
      </c>
      <c r="O13" s="10">
        <v>4000</v>
      </c>
      <c r="P13" s="10">
        <v>5800</v>
      </c>
      <c r="Q13" s="10">
        <v>400</v>
      </c>
      <c r="R13" s="10">
        <v>1200</v>
      </c>
      <c r="S13" s="10">
        <v>1700</v>
      </c>
      <c r="T13" s="10">
        <v>2400</v>
      </c>
    </row>
    <row r="14" spans="1:32" ht="15" customHeight="1">
      <c r="D14" s="262" t="s">
        <v>1657</v>
      </c>
      <c r="E14" s="299">
        <f>ROUND((E6-E7*E3)/(E7-1),2)</f>
        <v>1.88</v>
      </c>
      <c r="G14" s="65" t="s">
        <v>1658</v>
      </c>
      <c r="H14" s="67">
        <f>IFERROR(INDEX($V$2:$V$10,MATCH(B9,$V$2:$V$10,1)+1),99999)</f>
        <v>300</v>
      </c>
      <c r="J14" s="65" t="s">
        <v>83</v>
      </c>
      <c r="K14" s="69">
        <f>mult_mtong+rate_special/192</f>
        <v>1.9010416666666665</v>
      </c>
      <c r="L14" s="67">
        <v>2000</v>
      </c>
      <c r="N14" s="9" t="s">
        <v>1659</v>
      </c>
      <c r="O14" s="10">
        <v>3200</v>
      </c>
      <c r="P14" s="10">
        <v>4700</v>
      </c>
      <c r="Q14" s="10">
        <v>200</v>
      </c>
      <c r="R14" s="10">
        <v>700</v>
      </c>
      <c r="S14" s="10">
        <v>1000</v>
      </c>
      <c r="T14" s="10">
        <v>1400</v>
      </c>
    </row>
    <row r="15" spans="1:32" ht="15" customHeight="1">
      <c r="A15" s="70" t="s">
        <v>1241</v>
      </c>
      <c r="B15" s="555" t="s">
        <v>1124</v>
      </c>
      <c r="C15" s="555" t="s">
        <v>1125</v>
      </c>
      <c r="D15" s="70" t="s">
        <v>1242</v>
      </c>
      <c r="G15" s="65" t="s">
        <v>1660</v>
      </c>
      <c r="H15" s="67">
        <f>IF(B9-H13&lt;=20,H13,IF(H14-B9&lt;=20,H14,B9))</f>
        <v>240</v>
      </c>
      <c r="J15" s="65" t="s">
        <v>85</v>
      </c>
      <c r="K15" s="69">
        <f>mult_mtong+rate_woodbake/192</f>
        <v>1.9895833333333335</v>
      </c>
      <c r="L15" s="67">
        <v>2000</v>
      </c>
      <c r="N15" s="9" t="s">
        <v>1661</v>
      </c>
      <c r="O15" s="10">
        <v>3700</v>
      </c>
      <c r="P15" s="10">
        <v>5400</v>
      </c>
      <c r="Q15" s="10">
        <v>300</v>
      </c>
      <c r="R15" s="10">
        <v>1000</v>
      </c>
      <c r="S15" s="10">
        <v>1300</v>
      </c>
      <c r="T15" s="10">
        <v>1900</v>
      </c>
    </row>
    <row r="16" spans="1:32" ht="15" customHeight="1">
      <c r="A16" s="71" t="str">
        <f>B2&amp;" (ใบระแนง)"</f>
        <v>กล่อง 1.6"×4" (ใบระแนง)</v>
      </c>
      <c r="B16" s="57">
        <f>E8</f>
        <v>17</v>
      </c>
      <c r="C16" s="57">
        <f>E10</f>
        <v>1220</v>
      </c>
      <c r="D16" s="57">
        <f>IF(B11="ต่อ",H23,H22)</f>
        <v>20740</v>
      </c>
      <c r="G16" s="65" t="s">
        <v>1662</v>
      </c>
      <c r="H16" s="67">
        <f>IF(B7="นอน",H12,B8)</f>
        <v>200</v>
      </c>
      <c r="N16" s="9" t="s">
        <v>1663</v>
      </c>
      <c r="O16" s="10">
        <v>3900</v>
      </c>
      <c r="P16" s="10">
        <v>5600</v>
      </c>
      <c r="Q16" s="10">
        <v>300</v>
      </c>
      <c r="R16" s="10">
        <v>1100</v>
      </c>
      <c r="S16" s="10">
        <v>1500</v>
      </c>
      <c r="T16" s="10">
        <v>2200</v>
      </c>
    </row>
    <row r="17" spans="1:20" ht="15" customHeight="1">
      <c r="A17" s="71" t="s">
        <v>1664</v>
      </c>
      <c r="B17" s="57">
        <f>H2</f>
        <v>3</v>
      </c>
      <c r="C17" s="57">
        <f>H3</f>
        <v>485</v>
      </c>
      <c r="D17" s="57">
        <f>B17*C17</f>
        <v>1455</v>
      </c>
      <c r="G17" s="65" t="s">
        <v>1665</v>
      </c>
      <c r="H17" s="67">
        <f>IF(B7="ตั้ง",H15,B9)</f>
        <v>240</v>
      </c>
      <c r="N17" s="9" t="s">
        <v>2789</v>
      </c>
      <c r="O17" s="10">
        <v>3300</v>
      </c>
      <c r="P17" s="10">
        <v>5200</v>
      </c>
      <c r="Q17" s="10">
        <v>300</v>
      </c>
      <c r="R17" s="10">
        <v>900</v>
      </c>
      <c r="S17" s="10">
        <v>1400</v>
      </c>
      <c r="T17" s="10">
        <v>2000</v>
      </c>
    </row>
    <row r="18" spans="1:20" ht="15" customHeight="1">
      <c r="A18" s="71" t="s">
        <v>1666</v>
      </c>
      <c r="B18" s="57">
        <f>IF(H4&gt;0,1,0)</f>
        <v>0</v>
      </c>
      <c r="C18" s="57">
        <f>อัปเดตราคาอลู!$B$17</f>
        <v>2000</v>
      </c>
      <c r="D18" s="57">
        <f>B18*C18</f>
        <v>0</v>
      </c>
      <c r="G18" s="65" t="s">
        <v>1667</v>
      </c>
      <c r="H18" s="67">
        <f>LOOKUP(E5,$V$2:$V$10)</f>
        <v>200</v>
      </c>
      <c r="J18" s="65" t="s">
        <v>1609</v>
      </c>
      <c r="K18" s="66">
        <v>1</v>
      </c>
      <c r="N18" s="9" t="s">
        <v>2790</v>
      </c>
      <c r="O18" s="10">
        <v>4000</v>
      </c>
      <c r="P18" s="10">
        <v>6100</v>
      </c>
      <c r="Q18" s="10">
        <v>400</v>
      </c>
      <c r="R18" s="10">
        <v>1200</v>
      </c>
      <c r="S18" s="10">
        <v>1900</v>
      </c>
      <c r="T18" s="10">
        <v>2800</v>
      </c>
    </row>
    <row r="19" spans="1:20" ht="15" customHeight="1">
      <c r="A19" s="72" t="s">
        <v>1668</v>
      </c>
      <c r="B19" s="57">
        <f>E2</f>
        <v>4.8</v>
      </c>
      <c r="C19" s="57">
        <f>B10+B12</f>
        <v>1270.5</v>
      </c>
      <c r="D19" s="57">
        <f>B19*C19</f>
        <v>6098.4</v>
      </c>
      <c r="G19" s="65" t="s">
        <v>1669</v>
      </c>
      <c r="H19" s="67">
        <f>E5-H18</f>
        <v>40</v>
      </c>
      <c r="J19" s="65" t="s">
        <v>1610</v>
      </c>
      <c r="K19" s="66">
        <v>5</v>
      </c>
      <c r="N19" s="9" t="s">
        <v>2791</v>
      </c>
      <c r="O19" s="10">
        <v>4300</v>
      </c>
      <c r="P19" s="10">
        <v>6500</v>
      </c>
      <c r="Q19" s="10">
        <v>400</v>
      </c>
      <c r="R19" s="10">
        <v>1400</v>
      </c>
      <c r="S19" s="10">
        <v>2200</v>
      </c>
      <c r="T19" s="10">
        <v>3200</v>
      </c>
    </row>
    <row r="20" spans="1:20" ht="15" customHeight="1">
      <c r="A20" s="73" t="s">
        <v>1137</v>
      </c>
      <c r="B20" s="117"/>
      <c r="C20" s="117"/>
      <c r="D20" s="74">
        <f>SUM(D16:D19)</f>
        <v>28293.4</v>
      </c>
      <c r="G20" s="65" t="s">
        <v>1670</v>
      </c>
      <c r="H20" s="67">
        <f>ROUNDUP(E7/MAX(INT(600/E5),1),0)</f>
        <v>17</v>
      </c>
      <c r="J20" s="65" t="s">
        <v>1616</v>
      </c>
      <c r="K20" s="66">
        <v>2.54</v>
      </c>
      <c r="N20" s="9" t="s">
        <v>2792</v>
      </c>
      <c r="O20" s="10">
        <v>3300</v>
      </c>
      <c r="P20" s="10">
        <v>5200</v>
      </c>
      <c r="Q20" s="10">
        <v>300</v>
      </c>
      <c r="R20" s="10">
        <v>900</v>
      </c>
      <c r="S20" s="10">
        <v>1400</v>
      </c>
      <c r="T20" s="10">
        <v>2000</v>
      </c>
    </row>
    <row r="21" spans="1:20" ht="15" customHeight="1">
      <c r="A21" s="73" t="s">
        <v>1045</v>
      </c>
      <c r="B21" s="117"/>
      <c r="C21" s="117"/>
      <c r="D21" s="74">
        <f>D20/E2</f>
        <v>5894.4583333333339</v>
      </c>
      <c r="G21" s="65" t="s">
        <v>1671</v>
      </c>
      <c r="H21" s="67">
        <f>ROUNDUP(E7/(600/H18),0)+IF(H19&gt;0,ROUNDUP(E7/INT(600/H19),0),0)</f>
        <v>15</v>
      </c>
      <c r="J21" s="65" t="s">
        <v>1621</v>
      </c>
      <c r="K21" s="66">
        <v>3.81</v>
      </c>
      <c r="N21" s="9" t="s">
        <v>2793</v>
      </c>
      <c r="O21" s="10">
        <v>3700</v>
      </c>
      <c r="P21" s="10">
        <v>5600</v>
      </c>
      <c r="Q21" s="10">
        <v>300</v>
      </c>
      <c r="R21" s="10">
        <v>1000</v>
      </c>
      <c r="S21" s="10">
        <v>1700</v>
      </c>
      <c r="T21" s="10">
        <v>2400</v>
      </c>
    </row>
    <row r="22" spans="1:20">
      <c r="A22" s="75" t="s">
        <v>3045</v>
      </c>
      <c r="D22">
        <f>H8</f>
        <v>10600</v>
      </c>
      <c r="G22" s="65" t="s">
        <v>1672</v>
      </c>
      <c r="H22" s="67">
        <f>H20*E10</f>
        <v>20740</v>
      </c>
      <c r="J22" s="65" t="s">
        <v>1612</v>
      </c>
      <c r="K22" s="66">
        <v>4.0599999999999996</v>
      </c>
      <c r="N22" s="9" t="s">
        <v>2794</v>
      </c>
      <c r="O22" s="10">
        <v>3700</v>
      </c>
      <c r="P22" s="10">
        <v>5600</v>
      </c>
      <c r="Q22" s="10">
        <v>300</v>
      </c>
      <c r="R22" s="10">
        <v>1000</v>
      </c>
      <c r="S22" s="10">
        <v>1700</v>
      </c>
      <c r="T22" s="10">
        <v>2400</v>
      </c>
    </row>
    <row r="23" spans="1:20" ht="15" customHeight="1">
      <c r="A23" s="75" t="s">
        <v>3044</v>
      </c>
      <c r="B23" s="117"/>
      <c r="C23" s="117"/>
      <c r="D23" s="77">
        <f>ROUNDUP((ROUNDUP(((ROUNDUP((SUM(D16:D18)*(1+$B$31/100))/100,0)*100+ROUNDUP((B19*B10*(1+$B$51/100))/100,0)*100)*(1+$B$32/100))/100,0)*100*1)/100,0)*100+ROUNDUP((ROUNDUP(((ROUNDUP((B19*B12*(1+$B$52/100))/100,0)*100)*(1+$B$32/100))/100,0)*100*1)/100,0)*100</f>
        <v>67900</v>
      </c>
      <c r="G23" s="65" t="s">
        <v>1673</v>
      </c>
      <c r="H23" s="67">
        <f>H21*E10+IF(H19&gt;0,E7*80,0)</f>
        <v>21020</v>
      </c>
      <c r="J23" s="65" t="s">
        <v>1630</v>
      </c>
      <c r="K23" s="66">
        <v>10.16</v>
      </c>
      <c r="N23" s="9" t="s">
        <v>1674</v>
      </c>
      <c r="O23" s="10">
        <v>5500</v>
      </c>
      <c r="P23" s="10">
        <v>8100</v>
      </c>
      <c r="Q23" s="10">
        <v>600</v>
      </c>
      <c r="R23" s="10">
        <v>2000</v>
      </c>
      <c r="S23" s="10">
        <v>3700</v>
      </c>
      <c r="T23" s="10">
        <v>5300</v>
      </c>
    </row>
    <row r="24" spans="1:20">
      <c r="B24" s="117"/>
      <c r="C24" s="117"/>
      <c r="N24" s="9" t="s">
        <v>1675</v>
      </c>
      <c r="O24" s="10">
        <v>7100</v>
      </c>
      <c r="P24" s="10">
        <v>10100</v>
      </c>
      <c r="Q24" s="10">
        <v>800</v>
      </c>
      <c r="R24" s="10">
        <v>2700</v>
      </c>
      <c r="S24" s="10">
        <v>5200</v>
      </c>
      <c r="T24" s="10">
        <v>7500</v>
      </c>
    </row>
    <row r="25" spans="1:20" ht="15" customHeight="1">
      <c r="N25" s="9" t="s">
        <v>1676</v>
      </c>
      <c r="O25" s="10">
        <v>7900</v>
      </c>
      <c r="P25" s="10">
        <v>10800</v>
      </c>
      <c r="Q25" s="10">
        <v>900</v>
      </c>
      <c r="R25" s="10">
        <v>3100</v>
      </c>
      <c r="S25" s="10">
        <v>5900</v>
      </c>
      <c r="T25" s="10">
        <v>8500</v>
      </c>
    </row>
    <row r="26" spans="1:20" ht="15" customHeight="1">
      <c r="A26" s="79" t="s">
        <v>1677</v>
      </c>
      <c r="N26" s="9" t="s">
        <v>1678</v>
      </c>
      <c r="O26" s="10">
        <v>4000</v>
      </c>
      <c r="P26" s="10">
        <v>6000</v>
      </c>
      <c r="Q26" s="10">
        <v>400</v>
      </c>
      <c r="R26" s="10">
        <v>1200</v>
      </c>
      <c r="S26" s="10">
        <v>2300</v>
      </c>
      <c r="T26" s="10">
        <v>3200</v>
      </c>
    </row>
    <row r="27" spans="1:20" ht="15" customHeight="1">
      <c r="A27" s="80" t="s">
        <v>1679</v>
      </c>
      <c r="D27" s="81">
        <f>H22</f>
        <v>20740</v>
      </c>
      <c r="N27" s="9" t="s">
        <v>1680</v>
      </c>
      <c r="O27" s="10">
        <v>4000</v>
      </c>
      <c r="P27" s="10">
        <v>6000</v>
      </c>
      <c r="Q27" s="10">
        <v>400</v>
      </c>
      <c r="R27" s="10">
        <v>1200</v>
      </c>
      <c r="S27" s="10">
        <v>2300</v>
      </c>
      <c r="T27" s="10">
        <v>3200</v>
      </c>
    </row>
    <row r="28" spans="1:20" ht="15" customHeight="1">
      <c r="A28" s="80" t="s">
        <v>1681</v>
      </c>
      <c r="D28" s="81">
        <f>H23</f>
        <v>21020</v>
      </c>
      <c r="N28" s="9" t="s">
        <v>1682</v>
      </c>
      <c r="O28" s="10">
        <v>4800</v>
      </c>
      <c r="P28" s="10">
        <v>6900</v>
      </c>
      <c r="Q28" s="10">
        <v>500</v>
      </c>
      <c r="R28" s="10">
        <v>1600</v>
      </c>
      <c r="S28" s="10">
        <v>3000</v>
      </c>
      <c r="T28" s="10">
        <v>4300</v>
      </c>
    </row>
    <row r="29" spans="1:20" ht="15" customHeight="1">
      <c r="A29" s="80" t="s">
        <v>1683</v>
      </c>
      <c r="D29" s="81">
        <f>H22-H23</f>
        <v>-280</v>
      </c>
      <c r="N29" s="9" t="s">
        <v>1684</v>
      </c>
      <c r="O29" s="10">
        <v>5100</v>
      </c>
      <c r="P29" s="10">
        <v>6900</v>
      </c>
      <c r="Q29" s="10">
        <v>500</v>
      </c>
      <c r="R29" s="10">
        <v>1600</v>
      </c>
      <c r="S29" s="10">
        <v>3000</v>
      </c>
      <c r="T29" s="10">
        <v>4300</v>
      </c>
    </row>
    <row r="30" spans="1:20" ht="15" customHeight="1">
      <c r="A30" s="390" t="s">
        <v>3148</v>
      </c>
      <c r="N30" s="9" t="s">
        <v>1685</v>
      </c>
      <c r="O30" s="10">
        <v>3900</v>
      </c>
      <c r="P30" s="10">
        <v>5600</v>
      </c>
      <c r="Q30" s="10">
        <v>300</v>
      </c>
      <c r="R30" s="10">
        <v>1100</v>
      </c>
      <c r="S30" s="10">
        <v>2000</v>
      </c>
      <c r="T30" s="10">
        <v>2800</v>
      </c>
    </row>
    <row r="31" spans="1:20" ht="15" customHeight="1">
      <c r="A31" t="s">
        <v>1179</v>
      </c>
      <c r="B31" s="542">
        <f>ROUND(($B$41*$B$42-1)*100,0)</f>
        <v>88</v>
      </c>
      <c r="C31" t="s">
        <v>3149</v>
      </c>
      <c r="N31" s="9" t="s">
        <v>1686</v>
      </c>
      <c r="O31" s="10">
        <v>4400</v>
      </c>
      <c r="P31" s="10">
        <v>6400</v>
      </c>
      <c r="Q31" s="10">
        <v>400</v>
      </c>
      <c r="R31" s="10">
        <v>1400</v>
      </c>
      <c r="S31" s="10">
        <v>2400</v>
      </c>
      <c r="T31" s="10">
        <v>3500</v>
      </c>
    </row>
    <row r="32" spans="1:20" ht="15" customHeight="1">
      <c r="A32" t="s">
        <v>3122</v>
      </c>
      <c r="B32" s="541">
        <v>30</v>
      </c>
      <c r="C32" t="s">
        <v>3150</v>
      </c>
      <c r="N32" s="9" t="s">
        <v>1687</v>
      </c>
      <c r="O32" s="10">
        <v>5000</v>
      </c>
      <c r="P32" s="10">
        <v>7200</v>
      </c>
      <c r="Q32" s="10">
        <v>500</v>
      </c>
      <c r="R32" s="10">
        <v>1700</v>
      </c>
      <c r="S32" s="10">
        <v>2900</v>
      </c>
      <c r="T32" s="10">
        <v>4200</v>
      </c>
    </row>
    <row r="33" spans="1:20" ht="15" customHeight="1">
      <c r="A33" s="613" t="s">
        <v>1138</v>
      </c>
      <c r="B33" s="614"/>
      <c r="N33" s="9" t="s">
        <v>1688</v>
      </c>
      <c r="O33" s="10">
        <v>5400</v>
      </c>
      <c r="P33" s="10">
        <v>7900</v>
      </c>
      <c r="Q33" s="10">
        <v>600</v>
      </c>
      <c r="R33" s="10">
        <v>1900</v>
      </c>
      <c r="S33" s="10">
        <v>3300</v>
      </c>
      <c r="T33" s="10">
        <v>4700</v>
      </c>
    </row>
    <row r="34" spans="1:20" ht="15" customHeight="1">
      <c r="A34" s="489" t="s">
        <v>3078</v>
      </c>
      <c r="B34" s="492">
        <f>SUM(D16,D17)</f>
        <v>22195</v>
      </c>
      <c r="N34" s="9" t="s">
        <v>1689</v>
      </c>
      <c r="O34" s="10">
        <v>6500</v>
      </c>
      <c r="P34" s="10">
        <v>9200</v>
      </c>
      <c r="Q34" s="10">
        <v>700</v>
      </c>
      <c r="R34" s="10">
        <v>2400</v>
      </c>
      <c r="S34" s="10">
        <v>4100</v>
      </c>
      <c r="T34" s="10">
        <v>5900</v>
      </c>
    </row>
    <row r="35" spans="1:20" ht="15" customHeight="1">
      <c r="A35" s="489" t="s">
        <v>1250</v>
      </c>
      <c r="B35" s="492">
        <f>SUM(D18)</f>
        <v>0</v>
      </c>
      <c r="N35" s="9" t="s">
        <v>1690</v>
      </c>
      <c r="O35" s="10">
        <v>7300</v>
      </c>
      <c r="P35" s="10">
        <v>10600</v>
      </c>
      <c r="Q35" s="10">
        <v>800</v>
      </c>
      <c r="R35" s="10">
        <v>2900</v>
      </c>
      <c r="S35" s="10">
        <v>4900</v>
      </c>
      <c r="T35" s="10">
        <v>7000</v>
      </c>
    </row>
    <row r="36" spans="1:20" ht="15" customHeight="1">
      <c r="A36" s="491" t="s">
        <v>1144</v>
      </c>
      <c r="B36" s="493">
        <f>SUM(B34:B35)</f>
        <v>22195</v>
      </c>
      <c r="N36" s="9" t="s">
        <v>1691</v>
      </c>
      <c r="O36" s="10">
        <v>4600</v>
      </c>
      <c r="P36" s="10">
        <v>6500</v>
      </c>
      <c r="Q36" s="10">
        <v>400</v>
      </c>
      <c r="R36" s="10">
        <v>1500</v>
      </c>
      <c r="S36" s="10">
        <v>2500</v>
      </c>
      <c r="T36" s="10">
        <v>3500</v>
      </c>
    </row>
    <row r="37" spans="1:20" ht="15" customHeight="1">
      <c r="A37" s="488" t="s">
        <v>3067</v>
      </c>
      <c r="N37" s="9" t="s">
        <v>1692</v>
      </c>
      <c r="O37" s="10">
        <v>4600</v>
      </c>
      <c r="P37" s="10">
        <v>6500</v>
      </c>
      <c r="Q37" s="10">
        <v>400</v>
      </c>
      <c r="R37" s="10">
        <v>1500</v>
      </c>
      <c r="S37" s="10">
        <v>2500</v>
      </c>
      <c r="T37" s="10">
        <v>3500</v>
      </c>
    </row>
    <row r="38" spans="1:20" ht="15" customHeight="1">
      <c r="N38" s="9" t="s">
        <v>1693</v>
      </c>
      <c r="O38" s="10">
        <v>5400</v>
      </c>
      <c r="P38" s="10">
        <v>7900</v>
      </c>
      <c r="Q38" s="10">
        <v>600</v>
      </c>
      <c r="R38" s="10">
        <v>1900</v>
      </c>
      <c r="S38" s="10">
        <v>3300</v>
      </c>
      <c r="T38" s="10">
        <v>4700</v>
      </c>
    </row>
    <row r="39" spans="1:20">
      <c r="A39" s="533" t="s">
        <v>3151</v>
      </c>
      <c r="B39" s="535"/>
      <c r="C39" s="533"/>
    </row>
    <row r="40" spans="1:20">
      <c r="A40" t="s">
        <v>3144</v>
      </c>
      <c r="B40" s="541">
        <v>35</v>
      </c>
      <c r="C40" t="s">
        <v>3152</v>
      </c>
    </row>
    <row r="41" spans="1:20">
      <c r="A41" t="s">
        <v>3153</v>
      </c>
      <c r="B41" s="542">
        <v>1.6220000000000001</v>
      </c>
      <c r="C41" s="542">
        <v>1.431</v>
      </c>
      <c r="D41" s="542">
        <v>1.431</v>
      </c>
      <c r="E41" s="542" t="s">
        <v>3154</v>
      </c>
    </row>
    <row r="42" spans="1:20">
      <c r="A42" t="s">
        <v>3155</v>
      </c>
      <c r="B42" s="542">
        <f>IFERROR((((SUM(D16:D18))+(B19*B10)+(B19*B12))/(100/(100+B32)-B40/100))/(((SUM(D16:D18))*$B$41+(B19*B10)*$C$41+(B19*B12)*$D$41)*(1+B32/100)),1)</f>
        <v>1.160694410068309</v>
      </c>
      <c r="C42" t="s">
        <v>3156</v>
      </c>
    </row>
    <row r="44" spans="1:20">
      <c r="A44" s="533" t="s">
        <v>3126</v>
      </c>
      <c r="B44" s="535"/>
      <c r="C44" s="533"/>
    </row>
    <row r="45" spans="1:20">
      <c r="A45" s="533" t="s">
        <v>3127</v>
      </c>
      <c r="B45" s="534">
        <f>IFERROR(ROUND(D23-D23/(1+B32/100),0),0)</f>
        <v>15669</v>
      </c>
      <c r="C45" s="533" t="s">
        <v>3128</v>
      </c>
    </row>
    <row r="46" spans="1:20">
      <c r="A46" s="533" t="s">
        <v>3129</v>
      </c>
      <c r="B46" s="534">
        <f>SUM(D16:D18)+D19+B45</f>
        <v>43962.400000000001</v>
      </c>
      <c r="C46" s="533" t="s">
        <v>3130</v>
      </c>
    </row>
    <row r="47" spans="1:20">
      <c r="A47" s="536" t="s">
        <v>3131</v>
      </c>
      <c r="B47" s="537">
        <f>IFERROR((D23-B46)/D23,"")</f>
        <v>0.3525419734904271</v>
      </c>
      <c r="C47" s="536" t="s">
        <v>3157</v>
      </c>
    </row>
    <row r="50" spans="1:6">
      <c r="A50" t="s">
        <v>3160</v>
      </c>
      <c r="B50" t="s">
        <v>3133</v>
      </c>
      <c r="C50" t="s">
        <v>3161</v>
      </c>
    </row>
    <row r="51" spans="1:6">
      <c r="A51" t="s">
        <v>1180</v>
      </c>
      <c r="B51" s="542">
        <f>ROUND(($C$41*$B$42-1)*100,0)</f>
        <v>66</v>
      </c>
      <c r="C51" t="s">
        <v>3149</v>
      </c>
      <c r="F51" s="542"/>
    </row>
    <row r="52" spans="1:6">
      <c r="A52" t="s">
        <v>1181</v>
      </c>
      <c r="B52" s="542">
        <f>ROUND(($D$41*$B$42-1)*100,0)</f>
        <v>66</v>
      </c>
      <c r="C52" t="s">
        <v>3149</v>
      </c>
    </row>
    <row r="53" spans="1:6">
      <c r="A53" t="s">
        <v>2518</v>
      </c>
      <c r="B53">
        <f>ROUNDUP((ROUNDUP(((ROUNDUP((SUM(D16:D18)*(1+$B$31/100))/100,0)*100+ROUNDUP((B19*B10*(1+$B$51/100))/100,0)*100)*(1+$B$32/100))/100,0)*100*1)/100,0)*100</f>
        <v>59100</v>
      </c>
      <c r="C53" t="s">
        <v>3133</v>
      </c>
    </row>
  </sheetData>
  <mergeCells count="1">
    <mergeCell ref="A1:F1"/>
  </mergeCells>
  <dataValidations count="6">
    <dataValidation type="list" allowBlank="1" sqref="B2" xr:uid="{00000000-0002-0000-1E00-000000000000}">
      <formula1>$J$2:$J$8</formula1>
      <formula2>0</formula2>
    </dataValidation>
    <dataValidation type="list" allowBlank="1" sqref="B6" xr:uid="{00000000-0002-0000-1E00-000001000000}">
      <formula1>$J$11:$J$15</formula1>
      <formula2>0</formula2>
    </dataValidation>
    <dataValidation type="list" allowBlank="1" sqref="B7" xr:uid="{00000000-0002-0000-1E00-000002000000}">
      <formula1>"นอน,ตั้ง"</formula1>
      <formula2>0</formula2>
    </dataValidation>
    <dataValidation type="list" sqref="B5" xr:uid="{00000000-0002-0000-1E00-000003000000}">
      <formula1>"รวม,ไม่รวม"</formula1>
    </dataValidation>
    <dataValidation type="list" sqref="B11" xr:uid="{00000000-0002-0000-1E00-000004000000}">
      <formula1>"ต่อ,ไม่ต่อ"</formula1>
    </dataValidation>
    <dataValidation type="list" allowBlank="1" showInputMessage="1" showErrorMessage="1" sqref="B3" xr:uid="{C314377F-BAF5-4F51-94F3-B6F2656AAFAD}">
      <formula1>"1 cm,5 cm,1"",1.5"",1.6"",4"""</formula1>
    </dataValidation>
  </dataValidations>
  <hyperlinks>
    <hyperlink ref="G1" location="'สารบัญ'!A1" display="🏠 สารบัญ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5B9BD5"/>
  </sheetPr>
  <dimension ref="A1:AF222"/>
  <sheetViews>
    <sheetView zoomScaleNormal="100" workbookViewId="0">
      <selection sqref="A1:F1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4" width="12.77734375" customWidth="1"/>
    <col min="5" max="5" width="18" customWidth="1"/>
    <col min="7" max="7" width="10.6640625" customWidth="1"/>
    <col min="8" max="8" width="4.44140625" customWidth="1"/>
    <col min="10" max="10" width="15.88671875" customWidth="1"/>
    <col min="11" max="11" width="8.5546875" customWidth="1"/>
    <col min="12" max="12" width="6.44140625" customWidth="1"/>
    <col min="13" max="14" width="4.44140625" customWidth="1"/>
    <col min="15" max="15" width="6.44140625" customWidth="1"/>
    <col min="16" max="17" width="18" customWidth="1"/>
    <col min="18" max="20" width="4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660" t="s">
        <v>1694</v>
      </c>
      <c r="B1" s="650"/>
      <c r="C1" s="650"/>
      <c r="D1" s="650"/>
      <c r="E1" s="650"/>
      <c r="F1" s="650"/>
      <c r="G1" s="293" t="s">
        <v>68</v>
      </c>
      <c r="H1" s="294"/>
      <c r="I1" s="243"/>
      <c r="J1" s="63" t="s">
        <v>1695</v>
      </c>
      <c r="M1" s="8" t="s">
        <v>1696</v>
      </c>
      <c r="AF1" t="str">
        <f>IFERROR(VLOOKUP(B2,$AB$2:$AD$8,2,0),"")</f>
        <v>1"</v>
      </c>
    </row>
    <row r="2" spans="1:32" ht="15" customHeight="1">
      <c r="A2" s="63" t="s">
        <v>1697</v>
      </c>
      <c r="B2" s="553" t="s">
        <v>669</v>
      </c>
      <c r="D2" s="65" t="s">
        <v>1698</v>
      </c>
      <c r="E2" s="66">
        <f>(B9/100)*(H4/100)</f>
        <v>8</v>
      </c>
      <c r="G2" s="65" t="s">
        <v>1654</v>
      </c>
      <c r="H2" s="67">
        <f>LOOKUP(B10,$V$2:$V$10)</f>
        <v>200</v>
      </c>
      <c r="J2" s="65" t="s">
        <v>666</v>
      </c>
      <c r="K2" s="67">
        <f>ราคาสี!$D$194</f>
        <v>500</v>
      </c>
      <c r="M2" s="9">
        <v>1</v>
      </c>
      <c r="N2" s="9" t="str">
        <f t="shared" ref="N2:N33" si="0">IF(MOD(M2-1,$B$4+$B$7)&lt;$B$4,"A","B")</f>
        <v>A</v>
      </c>
      <c r="O2" s="11">
        <f t="shared" ref="O2:O33" si="1">IF(N2="A",$E$3,$E$4)</f>
        <v>10.16</v>
      </c>
      <c r="P2" s="12">
        <f>O2</f>
        <v>10.16</v>
      </c>
      <c r="Q2" s="12">
        <f t="shared" ref="Q2:Q33" si="2">P2+(M2-1)*$B$8</f>
        <v>10.16</v>
      </c>
      <c r="R2" s="9">
        <f t="shared" ref="R2:R33" si="3">IF(AND(Q2&lt;=$B$9,N2="A"),1,0)</f>
        <v>1</v>
      </c>
      <c r="S2" s="9">
        <f t="shared" ref="S2:S33" si="4">IF(AND(Q2&lt;=$B$9,N2="B"),1,0)</f>
        <v>0</v>
      </c>
      <c r="T2" s="9">
        <f t="shared" ref="T2:T33" si="5">IF(Q2&lt;=$B$9,1,0)</f>
        <v>1</v>
      </c>
      <c r="V2" s="9">
        <v>50</v>
      </c>
      <c r="AB2" t="s">
        <v>666</v>
      </c>
      <c r="AC2" t="s">
        <v>1609</v>
      </c>
      <c r="AD2" t="s">
        <v>1610</v>
      </c>
      <c r="AF2" t="str">
        <f>IFERROR(VLOOKUP(B2,$AB$2:$AD$8,3,0),"")</f>
        <v>4"</v>
      </c>
    </row>
    <row r="3" spans="1:32" ht="15" customHeight="1">
      <c r="A3" s="63" t="s">
        <v>1699</v>
      </c>
      <c r="B3" s="553" t="s">
        <v>1630</v>
      </c>
      <c r="D3" s="65" t="s">
        <v>1700</v>
      </c>
      <c r="E3" s="66">
        <f>VLOOKUP(B3,$J$18:$K$23,2,0)</f>
        <v>10.16</v>
      </c>
      <c r="G3" s="65" t="s">
        <v>1658</v>
      </c>
      <c r="H3" s="67">
        <f>IFERROR(INDEX($V$2:$V$10,MATCH(B10,$V$2:$V$10,1)+1),99999)</f>
        <v>300</v>
      </c>
      <c r="J3" s="65" t="s">
        <v>667</v>
      </c>
      <c r="K3" s="67">
        <f>ราคาสี!$D$195</f>
        <v>310</v>
      </c>
      <c r="M3" s="9">
        <v>2</v>
      </c>
      <c r="N3" s="9" t="str">
        <f t="shared" si="0"/>
        <v>A</v>
      </c>
      <c r="O3" s="11">
        <f t="shared" si="1"/>
        <v>10.16</v>
      </c>
      <c r="P3" s="12">
        <f t="shared" ref="P3:P34" si="6">P2+O3</f>
        <v>20.32</v>
      </c>
      <c r="Q3" s="12">
        <f t="shared" si="2"/>
        <v>22.32</v>
      </c>
      <c r="R3" s="9">
        <f t="shared" si="3"/>
        <v>1</v>
      </c>
      <c r="S3" s="9">
        <f t="shared" si="4"/>
        <v>0</v>
      </c>
      <c r="T3" s="9">
        <f t="shared" si="5"/>
        <v>1</v>
      </c>
      <c r="V3" s="9">
        <v>60</v>
      </c>
      <c r="AB3" t="s">
        <v>667</v>
      </c>
      <c r="AC3" t="s">
        <v>1616</v>
      </c>
      <c r="AD3" t="s">
        <v>1616</v>
      </c>
      <c r="AF3" t="str">
        <f>IFERROR(VLOOKUP(B5,$AB$2:$AD$8,2,0),"")</f>
        <v>1.6"</v>
      </c>
    </row>
    <row r="4" spans="1:32" ht="15" customHeight="1">
      <c r="A4" s="63" t="s">
        <v>1701</v>
      </c>
      <c r="B4" s="554">
        <v>3</v>
      </c>
      <c r="D4" s="65" t="s">
        <v>1702</v>
      </c>
      <c r="E4" s="66">
        <f>VLOOKUP(B6,$J$18:$K$23,2,0)</f>
        <v>4.0599999999999996</v>
      </c>
      <c r="G4" s="65" t="s">
        <v>1665</v>
      </c>
      <c r="H4" s="67">
        <f>IF(B10-H2&lt;=20,H2,IF(H3-B10&lt;=20,H3,B10))</f>
        <v>200</v>
      </c>
      <c r="J4" s="65" t="s">
        <v>572</v>
      </c>
      <c r="K4" s="67">
        <f>ราคาสี!$D$196</f>
        <v>395</v>
      </c>
      <c r="M4" s="9">
        <v>3</v>
      </c>
      <c r="N4" s="9" t="str">
        <f t="shared" si="0"/>
        <v>A</v>
      </c>
      <c r="O4" s="11">
        <f t="shared" si="1"/>
        <v>10.16</v>
      </c>
      <c r="P4" s="12">
        <f t="shared" si="6"/>
        <v>30.48</v>
      </c>
      <c r="Q4" s="12">
        <f t="shared" si="2"/>
        <v>34.480000000000004</v>
      </c>
      <c r="R4" s="9">
        <f t="shared" si="3"/>
        <v>1</v>
      </c>
      <c r="S4" s="9">
        <f t="shared" si="4"/>
        <v>0</v>
      </c>
      <c r="T4" s="9">
        <f t="shared" si="5"/>
        <v>1</v>
      </c>
      <c r="V4" s="9">
        <v>75</v>
      </c>
      <c r="AB4" t="s">
        <v>572</v>
      </c>
      <c r="AC4" t="s">
        <v>1616</v>
      </c>
      <c r="AD4" t="s">
        <v>1621</v>
      </c>
      <c r="AF4" t="str">
        <f>IFERROR(VLOOKUP(B5,$AB$2:$AD$8,3,0),"")</f>
        <v>1.6"</v>
      </c>
    </row>
    <row r="5" spans="1:32" ht="15" customHeight="1">
      <c r="A5" s="63" t="s">
        <v>1703</v>
      </c>
      <c r="B5" s="553" t="s">
        <v>571</v>
      </c>
      <c r="D5" s="65" t="s">
        <v>1639</v>
      </c>
      <c r="E5" s="69">
        <f>VLOOKUP(B11,$J$11:$L$15,2,0)</f>
        <v>1</v>
      </c>
      <c r="G5" s="65" t="s">
        <v>1704</v>
      </c>
      <c r="H5" s="67">
        <f>LOOKUP(H4,$V$2:$V$10)</f>
        <v>200</v>
      </c>
      <c r="J5" s="65" t="s">
        <v>668</v>
      </c>
      <c r="K5" s="67">
        <f>ราคาสี!$D$197</f>
        <v>485</v>
      </c>
      <c r="M5" s="9">
        <v>4</v>
      </c>
      <c r="N5" s="9" t="str">
        <f t="shared" si="0"/>
        <v>B</v>
      </c>
      <c r="O5" s="11">
        <f t="shared" si="1"/>
        <v>4.0599999999999996</v>
      </c>
      <c r="P5" s="12">
        <f t="shared" si="6"/>
        <v>34.54</v>
      </c>
      <c r="Q5" s="12">
        <f t="shared" si="2"/>
        <v>40.54</v>
      </c>
      <c r="R5" s="9">
        <f t="shared" si="3"/>
        <v>0</v>
      </c>
      <c r="S5" s="9">
        <f t="shared" si="4"/>
        <v>1</v>
      </c>
      <c r="T5" s="9">
        <f t="shared" si="5"/>
        <v>1</v>
      </c>
      <c r="V5" s="9">
        <v>100</v>
      </c>
      <c r="AB5" t="s">
        <v>668</v>
      </c>
      <c r="AC5" t="s">
        <v>1616</v>
      </c>
      <c r="AD5" t="s">
        <v>1612</v>
      </c>
    </row>
    <row r="6" spans="1:32" ht="15" customHeight="1">
      <c r="A6" s="63" t="s">
        <v>1705</v>
      </c>
      <c r="B6" s="553" t="s">
        <v>1612</v>
      </c>
      <c r="D6" s="65" t="s">
        <v>1706</v>
      </c>
      <c r="E6" s="67">
        <f>ROUND(VLOOKUP(B2,$J$2:$K$8,2,0)*E5/5,0)*5</f>
        <v>905</v>
      </c>
      <c r="G6" s="65" t="s">
        <v>1707</v>
      </c>
      <c r="H6" s="67">
        <f>H4-H5</f>
        <v>0</v>
      </c>
      <c r="J6" s="65" t="s">
        <v>669</v>
      </c>
      <c r="K6" s="67">
        <f>ราคาสี!$D$198</f>
        <v>905</v>
      </c>
      <c r="M6" s="9">
        <v>5</v>
      </c>
      <c r="N6" s="9" t="str">
        <f t="shared" si="0"/>
        <v>B</v>
      </c>
      <c r="O6" s="11">
        <f t="shared" si="1"/>
        <v>4.0599999999999996</v>
      </c>
      <c r="P6" s="12">
        <f t="shared" si="6"/>
        <v>38.6</v>
      </c>
      <c r="Q6" s="12">
        <f t="shared" si="2"/>
        <v>46.6</v>
      </c>
      <c r="R6" s="9">
        <f t="shared" si="3"/>
        <v>0</v>
      </c>
      <c r="S6" s="9">
        <f t="shared" si="4"/>
        <v>1</v>
      </c>
      <c r="T6" s="9">
        <f t="shared" si="5"/>
        <v>1</v>
      </c>
      <c r="V6" s="9">
        <v>120</v>
      </c>
      <c r="AB6" t="s">
        <v>669</v>
      </c>
      <c r="AC6" t="s">
        <v>1616</v>
      </c>
      <c r="AD6" t="s">
        <v>1630</v>
      </c>
    </row>
    <row r="7" spans="1:32" ht="15" customHeight="1">
      <c r="A7" s="63" t="s">
        <v>1708</v>
      </c>
      <c r="B7" s="554">
        <v>5</v>
      </c>
      <c r="D7" s="65" t="s">
        <v>1709</v>
      </c>
      <c r="E7" s="67">
        <f>ROUND(VLOOKUP(B5,$J$2:$K$8,2,0)*E5/5,0)*5</f>
        <v>770</v>
      </c>
      <c r="G7" s="65" t="s">
        <v>1710</v>
      </c>
      <c r="H7" s="67">
        <f>ROUNDUP(E9/MAX(INT(600/H4),1),0)</f>
        <v>6</v>
      </c>
      <c r="J7" s="65" t="s">
        <v>571</v>
      </c>
      <c r="K7" s="67">
        <f>ราคาสี!$D$199</f>
        <v>770</v>
      </c>
      <c r="M7" s="9">
        <v>6</v>
      </c>
      <c r="N7" s="9" t="str">
        <f t="shared" si="0"/>
        <v>B</v>
      </c>
      <c r="O7" s="11">
        <f t="shared" si="1"/>
        <v>4.0599999999999996</v>
      </c>
      <c r="P7" s="12">
        <f t="shared" si="6"/>
        <v>42.660000000000004</v>
      </c>
      <c r="Q7" s="12">
        <f t="shared" si="2"/>
        <v>52.660000000000004</v>
      </c>
      <c r="R7" s="9">
        <f t="shared" si="3"/>
        <v>0</v>
      </c>
      <c r="S7" s="9">
        <f t="shared" si="4"/>
        <v>1</v>
      </c>
      <c r="T7" s="9">
        <f t="shared" si="5"/>
        <v>1</v>
      </c>
      <c r="V7" s="9">
        <v>150</v>
      </c>
      <c r="AB7" t="s">
        <v>571</v>
      </c>
      <c r="AC7" t="s">
        <v>1612</v>
      </c>
      <c r="AD7" t="s">
        <v>1612</v>
      </c>
    </row>
    <row r="8" spans="1:32" ht="15" customHeight="1">
      <c r="A8" s="63" t="s">
        <v>1711</v>
      </c>
      <c r="B8" s="556">
        <v>2</v>
      </c>
      <c r="D8" s="65" t="s">
        <v>1712</v>
      </c>
      <c r="E8" s="67">
        <f>SUM(T2:T201)</f>
        <v>48</v>
      </c>
      <c r="G8" s="65" t="s">
        <v>1713</v>
      </c>
      <c r="H8" s="67">
        <f>ROUNDUP(E9/(600/H5),0)+IF(H6&gt;0,ROUNDUP(E9/INT(600/H6),0),0)</f>
        <v>6</v>
      </c>
      <c r="J8" s="65" t="s">
        <v>570</v>
      </c>
      <c r="K8" s="67">
        <f>ราคาสี!$D$200</f>
        <v>1220</v>
      </c>
      <c r="M8" s="9">
        <v>7</v>
      </c>
      <c r="N8" s="9" t="str">
        <f t="shared" si="0"/>
        <v>B</v>
      </c>
      <c r="O8" s="11">
        <f t="shared" si="1"/>
        <v>4.0599999999999996</v>
      </c>
      <c r="P8" s="12">
        <f t="shared" si="6"/>
        <v>46.720000000000006</v>
      </c>
      <c r="Q8" s="12">
        <f t="shared" si="2"/>
        <v>58.720000000000006</v>
      </c>
      <c r="R8" s="9">
        <f t="shared" si="3"/>
        <v>0</v>
      </c>
      <c r="S8" s="9">
        <f t="shared" si="4"/>
        <v>1</v>
      </c>
      <c r="T8" s="9">
        <f t="shared" si="5"/>
        <v>1</v>
      </c>
      <c r="V8" s="9">
        <v>200</v>
      </c>
      <c r="AB8" t="s">
        <v>570</v>
      </c>
      <c r="AC8" t="s">
        <v>1612</v>
      </c>
      <c r="AD8" t="s">
        <v>1630</v>
      </c>
    </row>
    <row r="9" spans="1:32" ht="15" customHeight="1">
      <c r="A9" s="63" t="s">
        <v>1714</v>
      </c>
      <c r="B9" s="554">
        <v>400</v>
      </c>
      <c r="D9" s="65" t="s">
        <v>1715</v>
      </c>
      <c r="E9" s="67">
        <f>SUM(R2:R201)</f>
        <v>18</v>
      </c>
      <c r="G9" s="65" t="s">
        <v>1716</v>
      </c>
      <c r="H9" s="67">
        <f>ROUNDUP(E10/MAX(INT(600/H4),1),0)</f>
        <v>10</v>
      </c>
      <c r="M9" s="9">
        <v>8</v>
      </c>
      <c r="N9" s="9" t="str">
        <f t="shared" si="0"/>
        <v>B</v>
      </c>
      <c r="O9" s="11">
        <f t="shared" si="1"/>
        <v>4.0599999999999996</v>
      </c>
      <c r="P9" s="12">
        <f t="shared" si="6"/>
        <v>50.780000000000008</v>
      </c>
      <c r="Q9" s="12">
        <f t="shared" si="2"/>
        <v>64.78</v>
      </c>
      <c r="R9" s="9">
        <f t="shared" si="3"/>
        <v>0</v>
      </c>
      <c r="S9" s="9">
        <f t="shared" si="4"/>
        <v>1</v>
      </c>
      <c r="T9" s="9">
        <f t="shared" si="5"/>
        <v>1</v>
      </c>
      <c r="V9" s="9">
        <v>300</v>
      </c>
    </row>
    <row r="10" spans="1:32" ht="15" customHeight="1">
      <c r="A10" s="63" t="s">
        <v>1717</v>
      </c>
      <c r="B10" s="554">
        <v>200</v>
      </c>
      <c r="D10" s="65" t="s">
        <v>1718</v>
      </c>
      <c r="E10" s="67">
        <f>SUM(S2:S201)</f>
        <v>30</v>
      </c>
      <c r="G10" s="65" t="s">
        <v>1719</v>
      </c>
      <c r="H10" s="67">
        <f>ROUNDUP(E10/(600/H5),0)+IF(H6&gt;0,ROUNDUP(E10/INT(600/H6),0),0)</f>
        <v>10</v>
      </c>
      <c r="M10" s="9">
        <v>9</v>
      </c>
      <c r="N10" s="9" t="str">
        <f t="shared" si="0"/>
        <v>A</v>
      </c>
      <c r="O10" s="11">
        <f t="shared" si="1"/>
        <v>10.16</v>
      </c>
      <c r="P10" s="12">
        <f t="shared" si="6"/>
        <v>60.940000000000012</v>
      </c>
      <c r="Q10" s="12">
        <f t="shared" si="2"/>
        <v>76.940000000000012</v>
      </c>
      <c r="R10" s="9">
        <f t="shared" si="3"/>
        <v>1</v>
      </c>
      <c r="S10" s="9">
        <f t="shared" si="4"/>
        <v>0</v>
      </c>
      <c r="T10" s="9">
        <f t="shared" si="5"/>
        <v>1</v>
      </c>
      <c r="V10" s="9">
        <v>600</v>
      </c>
    </row>
    <row r="11" spans="1:32" ht="15" customHeight="1">
      <c r="A11" s="63" t="s">
        <v>1122</v>
      </c>
      <c r="B11" s="553" t="s">
        <v>100</v>
      </c>
      <c r="D11" s="65" t="s">
        <v>1720</v>
      </c>
      <c r="E11" s="87">
        <f>SUMPRODUCT($T$2:$T$201,$O$2:$O$201)</f>
        <v>304.68000000000012</v>
      </c>
      <c r="G11" s="65" t="s">
        <v>1721</v>
      </c>
      <c r="H11" s="67">
        <f>IF(AND(B15="ต่อ",H6&gt;0),(E9+E10)*80,0)</f>
        <v>0</v>
      </c>
      <c r="J11" s="65" t="s">
        <v>100</v>
      </c>
      <c r="K11" s="69">
        <v>1</v>
      </c>
      <c r="L11" s="67">
        <v>0</v>
      </c>
      <c r="M11" s="9">
        <v>10</v>
      </c>
      <c r="N11" s="9" t="str">
        <f t="shared" si="0"/>
        <v>A</v>
      </c>
      <c r="O11" s="11">
        <f t="shared" si="1"/>
        <v>10.16</v>
      </c>
      <c r="P11" s="12">
        <f t="shared" si="6"/>
        <v>71.100000000000009</v>
      </c>
      <c r="Q11" s="12">
        <f t="shared" si="2"/>
        <v>89.100000000000009</v>
      </c>
      <c r="R11" s="9">
        <f t="shared" si="3"/>
        <v>1</v>
      </c>
      <c r="S11" s="9">
        <f t="shared" si="4"/>
        <v>0</v>
      </c>
      <c r="T11" s="9">
        <f t="shared" si="5"/>
        <v>1</v>
      </c>
    </row>
    <row r="12" spans="1:32" ht="15" customHeight="1">
      <c r="A12" s="63" t="s">
        <v>1622</v>
      </c>
      <c r="B12" s="553" t="s">
        <v>1623</v>
      </c>
      <c r="D12" s="65" t="s">
        <v>1722</v>
      </c>
      <c r="E12" s="66">
        <f>(B9-E11)/(E8-1)</f>
        <v>2.0280851063829761</v>
      </c>
      <c r="J12" s="65" t="s">
        <v>81</v>
      </c>
      <c r="K12" s="69">
        <v>1.5208299999999999</v>
      </c>
      <c r="L12" s="67">
        <v>0</v>
      </c>
      <c r="M12" s="9">
        <v>11</v>
      </c>
      <c r="N12" s="9" t="str">
        <f t="shared" si="0"/>
        <v>A</v>
      </c>
      <c r="O12" s="11">
        <f t="shared" si="1"/>
        <v>10.16</v>
      </c>
      <c r="P12" s="12">
        <f t="shared" si="6"/>
        <v>81.260000000000005</v>
      </c>
      <c r="Q12" s="12">
        <f t="shared" si="2"/>
        <v>101.26</v>
      </c>
      <c r="R12" s="9">
        <f t="shared" si="3"/>
        <v>1</v>
      </c>
      <c r="S12" s="9">
        <f t="shared" si="4"/>
        <v>0</v>
      </c>
      <c r="T12" s="9">
        <f t="shared" si="5"/>
        <v>1</v>
      </c>
    </row>
    <row r="13" spans="1:32" ht="15" customHeight="1">
      <c r="A13" s="63" t="s">
        <v>1641</v>
      </c>
      <c r="B13" s="68">
        <f>VLOOKUP("ระแนงสลับ",ค่าแรง!$A$12:$N$117,3,0)+VLOOKUP("ระแนงสลับ",ค่าแรง!$A$12:$N$117,2,0)/MAX(E2,0.01)</f>
        <v>304.5</v>
      </c>
      <c r="D13" s="592" t="s">
        <v>1723</v>
      </c>
      <c r="E13" s="67">
        <f>IF(B15="ต่อ",H8,H7)</f>
        <v>6</v>
      </c>
      <c r="J13" s="65" t="s">
        <v>1655</v>
      </c>
      <c r="K13" s="69">
        <v>1.5860000000000001</v>
      </c>
      <c r="L13" s="67">
        <v>0</v>
      </c>
      <c r="M13" s="9">
        <v>12</v>
      </c>
      <c r="N13" s="9" t="str">
        <f t="shared" si="0"/>
        <v>B</v>
      </c>
      <c r="O13" s="11">
        <f t="shared" si="1"/>
        <v>4.0599999999999996</v>
      </c>
      <c r="P13" s="12">
        <f t="shared" si="6"/>
        <v>85.320000000000007</v>
      </c>
      <c r="Q13" s="12">
        <f t="shared" si="2"/>
        <v>107.32000000000001</v>
      </c>
      <c r="R13" s="9">
        <f t="shared" si="3"/>
        <v>0</v>
      </c>
      <c r="S13" s="9">
        <f t="shared" si="4"/>
        <v>1</v>
      </c>
      <c r="T13" s="9">
        <f t="shared" si="5"/>
        <v>1</v>
      </c>
    </row>
    <row r="14" spans="1:32" ht="15" customHeight="1">
      <c r="A14" s="21" t="s">
        <v>1650</v>
      </c>
      <c r="B14" s="68">
        <f>VLOOKUP("ระแนงสลับ",ค่าแรง!$A$12:$N$117,5,0)+VLOOKUP("ระแนงสลับ",ค่าแรง!$A$12:$N$117,4,0)/MAX(E2,0.01)</f>
        <v>511</v>
      </c>
      <c r="D14" s="592" t="s">
        <v>1724</v>
      </c>
      <c r="E14" s="67">
        <f>IF(B15="ต่อ",H10,H9)</f>
        <v>10</v>
      </c>
      <c r="J14" s="65" t="s">
        <v>83</v>
      </c>
      <c r="K14" s="69">
        <v>1.9010400000000001</v>
      </c>
      <c r="L14" s="67">
        <v>2000</v>
      </c>
      <c r="M14" s="9">
        <v>13</v>
      </c>
      <c r="N14" s="9" t="str">
        <f t="shared" si="0"/>
        <v>B</v>
      </c>
      <c r="O14" s="11">
        <f t="shared" si="1"/>
        <v>4.0599999999999996</v>
      </c>
      <c r="P14" s="12">
        <f t="shared" si="6"/>
        <v>89.38000000000001</v>
      </c>
      <c r="Q14" s="12">
        <f t="shared" si="2"/>
        <v>113.38000000000001</v>
      </c>
      <c r="R14" s="9">
        <f t="shared" si="3"/>
        <v>0</v>
      </c>
      <c r="S14" s="9">
        <f t="shared" si="4"/>
        <v>1</v>
      </c>
      <c r="T14" s="9">
        <f t="shared" si="5"/>
        <v>1</v>
      </c>
    </row>
    <row r="15" spans="1:32" ht="15" customHeight="1">
      <c r="A15" s="63" t="s">
        <v>1645</v>
      </c>
      <c r="B15" s="553" t="s">
        <v>1646</v>
      </c>
      <c r="D15" s="65" t="s">
        <v>1725</v>
      </c>
      <c r="E15" s="67">
        <f>VLOOKUP(B11,$J$11:$L$15,3,0)</f>
        <v>0</v>
      </c>
      <c r="J15" s="65" t="s">
        <v>85</v>
      </c>
      <c r="K15" s="69">
        <v>1.9895799999999999</v>
      </c>
      <c r="L15" s="67">
        <v>2000</v>
      </c>
      <c r="M15" s="9">
        <v>14</v>
      </c>
      <c r="N15" s="9" t="str">
        <f t="shared" si="0"/>
        <v>B</v>
      </c>
      <c r="O15" s="11">
        <f t="shared" si="1"/>
        <v>4.0599999999999996</v>
      </c>
      <c r="P15" s="12">
        <f t="shared" si="6"/>
        <v>93.440000000000012</v>
      </c>
      <c r="Q15" s="12">
        <f t="shared" si="2"/>
        <v>119.44000000000001</v>
      </c>
      <c r="R15" s="9">
        <f t="shared" si="3"/>
        <v>0</v>
      </c>
      <c r="S15" s="9">
        <f t="shared" si="4"/>
        <v>1</v>
      </c>
      <c r="T15" s="9">
        <f t="shared" si="5"/>
        <v>1</v>
      </c>
    </row>
    <row r="16" spans="1:32" ht="15" customHeight="1">
      <c r="A16" s="262" t="s">
        <v>1726</v>
      </c>
      <c r="B16" s="299">
        <f>ROUND(E12,2)</f>
        <v>2.0299999999999998</v>
      </c>
      <c r="D16" s="65" t="s">
        <v>1607</v>
      </c>
      <c r="E16" s="67">
        <f>IF(B12="รวม",ROUNDUP(IF(B10&lt;=250,2,3)/MAX(INT(600/B9),1),0),0)</f>
        <v>0</v>
      </c>
      <c r="M16" s="9">
        <v>15</v>
      </c>
      <c r="N16" s="9" t="str">
        <f t="shared" si="0"/>
        <v>B</v>
      </c>
      <c r="O16" s="11">
        <f t="shared" si="1"/>
        <v>4.0599999999999996</v>
      </c>
      <c r="P16" s="12">
        <f t="shared" si="6"/>
        <v>97.500000000000014</v>
      </c>
      <c r="Q16" s="12">
        <f t="shared" si="2"/>
        <v>125.50000000000001</v>
      </c>
      <c r="R16" s="9">
        <f t="shared" si="3"/>
        <v>0</v>
      </c>
      <c r="S16" s="9">
        <f t="shared" si="4"/>
        <v>1</v>
      </c>
      <c r="T16" s="9">
        <f t="shared" si="5"/>
        <v>1</v>
      </c>
    </row>
    <row r="17" spans="1:20" ht="15" customHeight="1">
      <c r="D17" s="65" t="s">
        <v>1727</v>
      </c>
      <c r="E17" s="67">
        <f>ROUND(485*E5/5,0)*5</f>
        <v>485</v>
      </c>
      <c r="M17" s="9">
        <v>16</v>
      </c>
      <c r="N17" s="9" t="str">
        <f t="shared" si="0"/>
        <v>B</v>
      </c>
      <c r="O17" s="11">
        <f t="shared" si="1"/>
        <v>4.0599999999999996</v>
      </c>
      <c r="P17" s="12">
        <f t="shared" si="6"/>
        <v>101.56000000000002</v>
      </c>
      <c r="Q17" s="12">
        <f t="shared" si="2"/>
        <v>131.56</v>
      </c>
      <c r="R17" s="9">
        <f t="shared" si="3"/>
        <v>0</v>
      </c>
      <c r="S17" s="9">
        <f t="shared" si="4"/>
        <v>1</v>
      </c>
      <c r="T17" s="9">
        <f t="shared" si="5"/>
        <v>1</v>
      </c>
    </row>
    <row r="18" spans="1:20" ht="15" customHeight="1">
      <c r="J18" s="65" t="s">
        <v>1609</v>
      </c>
      <c r="K18" s="88">
        <v>1</v>
      </c>
      <c r="M18" s="9">
        <v>17</v>
      </c>
      <c r="N18" s="9" t="str">
        <f t="shared" si="0"/>
        <v>A</v>
      </c>
      <c r="O18" s="11">
        <f t="shared" si="1"/>
        <v>10.16</v>
      </c>
      <c r="P18" s="12">
        <f t="shared" si="6"/>
        <v>111.72000000000001</v>
      </c>
      <c r="Q18" s="12">
        <f t="shared" si="2"/>
        <v>143.72000000000003</v>
      </c>
      <c r="R18" s="9">
        <f t="shared" si="3"/>
        <v>1</v>
      </c>
      <c r="S18" s="9">
        <f t="shared" si="4"/>
        <v>0</v>
      </c>
      <c r="T18" s="9">
        <f t="shared" si="5"/>
        <v>1</v>
      </c>
    </row>
    <row r="19" spans="1:20" ht="15" customHeight="1">
      <c r="J19" s="65" t="s">
        <v>1610</v>
      </c>
      <c r="K19" s="88">
        <v>5</v>
      </c>
      <c r="M19" s="9">
        <v>18</v>
      </c>
      <c r="N19" s="9" t="str">
        <f t="shared" si="0"/>
        <v>A</v>
      </c>
      <c r="O19" s="11">
        <f t="shared" si="1"/>
        <v>10.16</v>
      </c>
      <c r="P19" s="12">
        <f t="shared" si="6"/>
        <v>121.88000000000001</v>
      </c>
      <c r="Q19" s="12">
        <f t="shared" si="2"/>
        <v>155.88</v>
      </c>
      <c r="R19" s="9">
        <f t="shared" si="3"/>
        <v>1</v>
      </c>
      <c r="S19" s="9">
        <f t="shared" si="4"/>
        <v>0</v>
      </c>
      <c r="T19" s="9">
        <f t="shared" si="5"/>
        <v>1</v>
      </c>
    </row>
    <row r="20" spans="1:20" ht="15" customHeight="1">
      <c r="A20" s="82" t="s">
        <v>606</v>
      </c>
      <c r="B20" s="82" t="s">
        <v>1124</v>
      </c>
      <c r="C20" s="82" t="s">
        <v>1541</v>
      </c>
      <c r="D20" s="82" t="s">
        <v>1242</v>
      </c>
      <c r="J20" s="83" t="s">
        <v>1616</v>
      </c>
      <c r="K20" s="89">
        <v>2.54</v>
      </c>
      <c r="M20" s="9">
        <v>19</v>
      </c>
      <c r="N20" s="9" t="str">
        <f t="shared" si="0"/>
        <v>A</v>
      </c>
      <c r="O20" s="11">
        <f t="shared" si="1"/>
        <v>10.16</v>
      </c>
      <c r="P20" s="12">
        <f t="shared" si="6"/>
        <v>132.04000000000002</v>
      </c>
      <c r="Q20" s="12">
        <f t="shared" si="2"/>
        <v>168.04000000000002</v>
      </c>
      <c r="R20" s="9">
        <f t="shared" si="3"/>
        <v>1</v>
      </c>
      <c r="S20" s="9">
        <f t="shared" si="4"/>
        <v>0</v>
      </c>
      <c r="T20" s="9">
        <f t="shared" si="5"/>
        <v>1</v>
      </c>
    </row>
    <row r="21" spans="1:20" ht="15" customHeight="1">
      <c r="A21" s="71" t="str">
        <f>B2&amp;" — A (โชว์ "&amp;B3&amp;")"</f>
        <v>กล่อง 1"×4" — A (โชว์ 4")</v>
      </c>
      <c r="B21" s="57">
        <f>E13</f>
        <v>6</v>
      </c>
      <c r="C21" s="57">
        <f>E6</f>
        <v>905</v>
      </c>
      <c r="D21" s="57">
        <f t="shared" ref="D21:D26" si="7">B21*C21</f>
        <v>5430</v>
      </c>
      <c r="J21" s="65" t="s">
        <v>1621</v>
      </c>
      <c r="K21" s="88">
        <v>3.81</v>
      </c>
      <c r="M21" s="9">
        <v>20</v>
      </c>
      <c r="N21" s="9" t="str">
        <f t="shared" si="0"/>
        <v>B</v>
      </c>
      <c r="O21" s="11">
        <f t="shared" si="1"/>
        <v>4.0599999999999996</v>
      </c>
      <c r="P21" s="12">
        <f t="shared" si="6"/>
        <v>136.10000000000002</v>
      </c>
      <c r="Q21" s="12">
        <f t="shared" si="2"/>
        <v>174.10000000000002</v>
      </c>
      <c r="R21" s="9">
        <f t="shared" si="3"/>
        <v>0</v>
      </c>
      <c r="S21" s="9">
        <f t="shared" si="4"/>
        <v>1</v>
      </c>
      <c r="T21" s="9">
        <f t="shared" si="5"/>
        <v>1</v>
      </c>
    </row>
    <row r="22" spans="1:20" ht="15" customHeight="1">
      <c r="A22" s="71" t="str">
        <f>B5&amp;" — B (โชว์ "&amp;B6&amp;")"</f>
        <v>กล่อง 1.6"×1.6" — B (โชว์ 1.6")</v>
      </c>
      <c r="B22" s="57">
        <f>E14</f>
        <v>10</v>
      </c>
      <c r="C22" s="57">
        <f>E7</f>
        <v>770</v>
      </c>
      <c r="D22" s="57">
        <f t="shared" si="7"/>
        <v>7700</v>
      </c>
      <c r="J22" s="65" t="s">
        <v>1612</v>
      </c>
      <c r="K22" s="88">
        <v>4.0599999999999996</v>
      </c>
      <c r="M22" s="9">
        <v>21</v>
      </c>
      <c r="N22" s="9" t="str">
        <f t="shared" si="0"/>
        <v>B</v>
      </c>
      <c r="O22" s="11">
        <f t="shared" si="1"/>
        <v>4.0599999999999996</v>
      </c>
      <c r="P22" s="12">
        <f t="shared" si="6"/>
        <v>140.16000000000003</v>
      </c>
      <c r="Q22" s="12">
        <f t="shared" si="2"/>
        <v>180.16000000000003</v>
      </c>
      <c r="R22" s="9">
        <f t="shared" si="3"/>
        <v>0</v>
      </c>
      <c r="S22" s="9">
        <f t="shared" si="4"/>
        <v>1</v>
      </c>
      <c r="T22" s="9">
        <f t="shared" si="5"/>
        <v>1</v>
      </c>
    </row>
    <row r="23" spans="1:20" ht="15" customHeight="1">
      <c r="A23" s="71" t="s">
        <v>1728</v>
      </c>
      <c r="B23" s="57">
        <f>IF(AND(B15="ต่อ",H6&gt;0),E9+E10,0)</f>
        <v>0</v>
      </c>
      <c r="C23" s="57">
        <v>80</v>
      </c>
      <c r="D23" s="57">
        <f t="shared" si="7"/>
        <v>0</v>
      </c>
      <c r="J23" s="65" t="s">
        <v>1630</v>
      </c>
      <c r="K23" s="88">
        <v>10.16</v>
      </c>
      <c r="M23" s="9">
        <v>22</v>
      </c>
      <c r="N23" s="9" t="str">
        <f t="shared" si="0"/>
        <v>B</v>
      </c>
      <c r="O23" s="11">
        <f t="shared" si="1"/>
        <v>4.0599999999999996</v>
      </c>
      <c r="P23" s="12">
        <f t="shared" si="6"/>
        <v>144.22000000000003</v>
      </c>
      <c r="Q23" s="12">
        <f t="shared" si="2"/>
        <v>186.22000000000003</v>
      </c>
      <c r="R23" s="9">
        <f t="shared" si="3"/>
        <v>0</v>
      </c>
      <c r="S23" s="9">
        <f t="shared" si="4"/>
        <v>1</v>
      </c>
      <c r="T23" s="9">
        <f t="shared" si="5"/>
        <v>1</v>
      </c>
    </row>
    <row r="24" spans="1:20" ht="15" customHeight="1">
      <c r="A24" s="71" t="s">
        <v>1729</v>
      </c>
      <c r="B24" s="57">
        <f>E16</f>
        <v>0</v>
      </c>
      <c r="C24" s="57">
        <f>E17</f>
        <v>485</v>
      </c>
      <c r="D24" s="57">
        <f t="shared" si="7"/>
        <v>0</v>
      </c>
      <c r="M24" s="9">
        <v>23</v>
      </c>
      <c r="N24" s="9" t="str">
        <f t="shared" si="0"/>
        <v>B</v>
      </c>
      <c r="O24" s="11">
        <f t="shared" si="1"/>
        <v>4.0599999999999996</v>
      </c>
      <c r="P24" s="12">
        <f t="shared" si="6"/>
        <v>148.28000000000003</v>
      </c>
      <c r="Q24" s="12">
        <f t="shared" si="2"/>
        <v>192.28000000000003</v>
      </c>
      <c r="R24" s="9">
        <f t="shared" si="3"/>
        <v>0</v>
      </c>
      <c r="S24" s="9">
        <f t="shared" si="4"/>
        <v>1</v>
      </c>
      <c r="T24" s="9">
        <f t="shared" si="5"/>
        <v>1</v>
      </c>
    </row>
    <row r="25" spans="1:20" ht="15" customHeight="1">
      <c r="A25" s="71" t="s">
        <v>1666</v>
      </c>
      <c r="B25" s="57">
        <f>IF(E15&gt;0,1,0)</f>
        <v>0</v>
      </c>
      <c r="C25" s="57">
        <f>E15</f>
        <v>0</v>
      </c>
      <c r="D25" s="57">
        <f t="shared" si="7"/>
        <v>0</v>
      </c>
      <c r="M25" s="9">
        <v>24</v>
      </c>
      <c r="N25" s="9" t="str">
        <f t="shared" si="0"/>
        <v>B</v>
      </c>
      <c r="O25" s="11">
        <f t="shared" si="1"/>
        <v>4.0599999999999996</v>
      </c>
      <c r="P25" s="12">
        <f t="shared" si="6"/>
        <v>152.34000000000003</v>
      </c>
      <c r="Q25" s="12">
        <f t="shared" si="2"/>
        <v>198.34000000000003</v>
      </c>
      <c r="R25" s="9">
        <f t="shared" si="3"/>
        <v>0</v>
      </c>
      <c r="S25" s="9">
        <f t="shared" si="4"/>
        <v>1</v>
      </c>
      <c r="T25" s="9">
        <f t="shared" si="5"/>
        <v>1</v>
      </c>
    </row>
    <row r="26" spans="1:20" ht="15" customHeight="1">
      <c r="A26" s="90" t="s">
        <v>1668</v>
      </c>
      <c r="B26" s="91">
        <f>E2</f>
        <v>8</v>
      </c>
      <c r="C26" s="91">
        <f>B13+B14</f>
        <v>815.5</v>
      </c>
      <c r="D26" s="91">
        <f t="shared" si="7"/>
        <v>6524</v>
      </c>
      <c r="M26" s="9">
        <v>25</v>
      </c>
      <c r="N26" s="9" t="str">
        <f t="shared" si="0"/>
        <v>A</v>
      </c>
      <c r="O26" s="11">
        <f t="shared" si="1"/>
        <v>10.16</v>
      </c>
      <c r="P26" s="12">
        <f t="shared" si="6"/>
        <v>162.50000000000003</v>
      </c>
      <c r="Q26" s="12">
        <f t="shared" si="2"/>
        <v>210.50000000000003</v>
      </c>
      <c r="R26" s="9">
        <f t="shared" si="3"/>
        <v>1</v>
      </c>
      <c r="S26" s="9">
        <f t="shared" si="4"/>
        <v>0</v>
      </c>
      <c r="T26" s="9">
        <f t="shared" si="5"/>
        <v>1</v>
      </c>
    </row>
    <row r="27" spans="1:20" ht="15" customHeight="1">
      <c r="A27" s="73" t="s">
        <v>1137</v>
      </c>
      <c r="B27" s="117"/>
      <c r="C27" s="117"/>
      <c r="D27" s="74">
        <f>SUM(D21:D26)</f>
        <v>19654</v>
      </c>
      <c r="M27" s="9">
        <v>26</v>
      </c>
      <c r="N27" s="9" t="str">
        <f t="shared" si="0"/>
        <v>A</v>
      </c>
      <c r="O27" s="11">
        <f t="shared" si="1"/>
        <v>10.16</v>
      </c>
      <c r="P27" s="12">
        <f t="shared" si="6"/>
        <v>172.66000000000003</v>
      </c>
      <c r="Q27" s="12">
        <f t="shared" si="2"/>
        <v>222.66000000000003</v>
      </c>
      <c r="R27" s="9">
        <f t="shared" si="3"/>
        <v>1</v>
      </c>
      <c r="S27" s="9">
        <f t="shared" si="4"/>
        <v>0</v>
      </c>
      <c r="T27" s="9">
        <f t="shared" si="5"/>
        <v>1</v>
      </c>
    </row>
    <row r="28" spans="1:20" ht="15" customHeight="1">
      <c r="A28" s="73" t="s">
        <v>1045</v>
      </c>
      <c r="B28" s="117"/>
      <c r="C28" s="117"/>
      <c r="D28" s="74">
        <f>D27/E2</f>
        <v>2456.75</v>
      </c>
      <c r="M28" s="9">
        <v>27</v>
      </c>
      <c r="N28" s="9" t="str">
        <f t="shared" si="0"/>
        <v>A</v>
      </c>
      <c r="O28" s="11">
        <f t="shared" si="1"/>
        <v>10.16</v>
      </c>
      <c r="P28" s="12">
        <f t="shared" si="6"/>
        <v>182.82000000000002</v>
      </c>
      <c r="Q28" s="12">
        <f t="shared" si="2"/>
        <v>234.82000000000002</v>
      </c>
      <c r="R28" s="9">
        <f t="shared" si="3"/>
        <v>1</v>
      </c>
      <c r="S28" s="9">
        <f t="shared" si="4"/>
        <v>0</v>
      </c>
      <c r="T28" s="9">
        <f t="shared" si="5"/>
        <v>1</v>
      </c>
    </row>
    <row r="29" spans="1:20" ht="15" customHeight="1">
      <c r="A29" s="13"/>
      <c r="M29" s="9">
        <v>28</v>
      </c>
      <c r="N29" s="9" t="str">
        <f t="shared" si="0"/>
        <v>B</v>
      </c>
      <c r="O29" s="11">
        <f t="shared" si="1"/>
        <v>4.0599999999999996</v>
      </c>
      <c r="P29" s="12">
        <f t="shared" si="6"/>
        <v>186.88000000000002</v>
      </c>
      <c r="Q29" s="12">
        <f t="shared" si="2"/>
        <v>240.88000000000002</v>
      </c>
      <c r="R29" s="9">
        <f t="shared" si="3"/>
        <v>0</v>
      </c>
      <c r="S29" s="9">
        <f t="shared" si="4"/>
        <v>1</v>
      </c>
      <c r="T29" s="9">
        <f t="shared" si="5"/>
        <v>1</v>
      </c>
    </row>
    <row r="30" spans="1:20" ht="15" customHeight="1">
      <c r="A30" s="79"/>
      <c r="B30" s="114"/>
      <c r="M30" s="9">
        <v>29</v>
      </c>
      <c r="N30" s="9" t="str">
        <f t="shared" si="0"/>
        <v>B</v>
      </c>
      <c r="O30" s="11">
        <f t="shared" si="1"/>
        <v>4.0599999999999996</v>
      </c>
      <c r="P30" s="12">
        <f t="shared" si="6"/>
        <v>190.94000000000003</v>
      </c>
      <c r="Q30" s="12">
        <f t="shared" si="2"/>
        <v>246.94000000000003</v>
      </c>
      <c r="R30" s="9">
        <f t="shared" si="3"/>
        <v>0</v>
      </c>
      <c r="S30" s="9">
        <f t="shared" si="4"/>
        <v>1</v>
      </c>
      <c r="T30" s="9">
        <f t="shared" si="5"/>
        <v>1</v>
      </c>
    </row>
    <row r="31" spans="1:20" ht="15" customHeight="1">
      <c r="A31" s="26" t="s">
        <v>1730</v>
      </c>
      <c r="D31" s="42">
        <f>SUM(D21:D25)</f>
        <v>13130</v>
      </c>
      <c r="M31" s="9">
        <v>30</v>
      </c>
      <c r="N31" s="9" t="str">
        <f t="shared" si="0"/>
        <v>B</v>
      </c>
      <c r="O31" s="11">
        <f t="shared" si="1"/>
        <v>4.0599999999999996</v>
      </c>
      <c r="P31" s="12">
        <f t="shared" si="6"/>
        <v>195.00000000000003</v>
      </c>
      <c r="Q31" s="12">
        <f t="shared" si="2"/>
        <v>253.00000000000003</v>
      </c>
      <c r="R31" s="9">
        <f t="shared" si="3"/>
        <v>0</v>
      </c>
      <c r="S31" s="9">
        <f t="shared" si="4"/>
        <v>1</v>
      </c>
      <c r="T31" s="9">
        <f t="shared" si="5"/>
        <v>1</v>
      </c>
    </row>
    <row r="32" spans="1:20" ht="15" customHeight="1">
      <c r="A32" s="26" t="s">
        <v>711</v>
      </c>
      <c r="D32" s="42">
        <f>B13*E2</f>
        <v>2436</v>
      </c>
      <c r="M32" s="9">
        <v>31</v>
      </c>
      <c r="N32" s="9" t="str">
        <f t="shared" si="0"/>
        <v>B</v>
      </c>
      <c r="O32" s="11">
        <f t="shared" si="1"/>
        <v>4.0599999999999996</v>
      </c>
      <c r="P32" s="12">
        <f t="shared" si="6"/>
        <v>199.06000000000003</v>
      </c>
      <c r="Q32" s="12">
        <f t="shared" si="2"/>
        <v>259.06000000000006</v>
      </c>
      <c r="R32" s="9">
        <f t="shared" si="3"/>
        <v>0</v>
      </c>
      <c r="S32" s="9">
        <f t="shared" si="4"/>
        <v>1</v>
      </c>
      <c r="T32" s="9">
        <f t="shared" si="5"/>
        <v>1</v>
      </c>
    </row>
    <row r="33" spans="1:20" ht="15" customHeight="1">
      <c r="A33" s="26" t="s">
        <v>647</v>
      </c>
      <c r="D33" s="42">
        <f>B14*E2</f>
        <v>4088</v>
      </c>
      <c r="M33" s="9">
        <v>32</v>
      </c>
      <c r="N33" s="9" t="str">
        <f t="shared" si="0"/>
        <v>B</v>
      </c>
      <c r="O33" s="11">
        <f t="shared" si="1"/>
        <v>4.0599999999999996</v>
      </c>
      <c r="P33" s="12">
        <f t="shared" si="6"/>
        <v>203.12000000000003</v>
      </c>
      <c r="Q33" s="12">
        <f t="shared" si="2"/>
        <v>265.12</v>
      </c>
      <c r="R33" s="9">
        <f t="shared" si="3"/>
        <v>0</v>
      </c>
      <c r="S33" s="9">
        <f t="shared" si="4"/>
        <v>1</v>
      </c>
      <c r="T33" s="9">
        <f t="shared" si="5"/>
        <v>1</v>
      </c>
    </row>
    <row r="34" spans="1:20" ht="15" customHeight="1">
      <c r="A34" s="21" t="s">
        <v>1731</v>
      </c>
      <c r="D34" s="94">
        <f>ROUNDUP(((D31*($B$216*$B$217)+D32*(1+B205/100))*(1+$B$207/100))*1/100,0)*100</f>
        <v>30400</v>
      </c>
      <c r="M34" s="9">
        <v>33</v>
      </c>
      <c r="N34" s="9" t="str">
        <f t="shared" ref="N34:N65" si="8">IF(MOD(M34-1,$B$4+$B$7)&lt;$B$4,"A","B")</f>
        <v>A</v>
      </c>
      <c r="O34" s="11">
        <f t="shared" ref="O34:O65" si="9">IF(N34="A",$E$3,$E$4)</f>
        <v>10.16</v>
      </c>
      <c r="P34" s="12">
        <f t="shared" si="6"/>
        <v>213.28000000000003</v>
      </c>
      <c r="Q34" s="12">
        <f t="shared" ref="Q34:Q65" si="10">P34+(M34-1)*$B$8</f>
        <v>277.28000000000003</v>
      </c>
      <c r="R34" s="9">
        <f t="shared" ref="R34:R65" si="11">IF(AND(Q34&lt;=$B$9,N34="A"),1,0)</f>
        <v>1</v>
      </c>
      <c r="S34" s="9">
        <f t="shared" ref="S34:S65" si="12">IF(AND(Q34&lt;=$B$9,N34="B"),1,0)</f>
        <v>0</v>
      </c>
      <c r="T34" s="9">
        <f t="shared" ref="T34:T65" si="13">IF(Q34&lt;=$B$9,1,0)</f>
        <v>1</v>
      </c>
    </row>
    <row r="35" spans="1:20" ht="15" customHeight="1">
      <c r="A35" s="21" t="s">
        <v>1732</v>
      </c>
      <c r="D35" s="94">
        <f>D34+ROUNDUP(((D33*(1+B206/100))*(1+$B$207/100))*1/100,0)*100</f>
        <v>37900</v>
      </c>
      <c r="M35" s="9">
        <v>34</v>
      </c>
      <c r="N35" s="9" t="str">
        <f t="shared" si="8"/>
        <v>A</v>
      </c>
      <c r="O35" s="11">
        <f t="shared" si="9"/>
        <v>10.16</v>
      </c>
      <c r="P35" s="12">
        <f t="shared" ref="P35:P66" si="14">P34+O35</f>
        <v>223.44000000000003</v>
      </c>
      <c r="Q35" s="12">
        <f t="shared" si="10"/>
        <v>289.44000000000005</v>
      </c>
      <c r="R35" s="9">
        <f t="shared" si="11"/>
        <v>1</v>
      </c>
      <c r="S35" s="9">
        <f t="shared" si="12"/>
        <v>0</v>
      </c>
      <c r="T35" s="9">
        <f t="shared" si="13"/>
        <v>1</v>
      </c>
    </row>
    <row r="36" spans="1:20" ht="15" customHeight="1">
      <c r="A36" s="26" t="s">
        <v>1733</v>
      </c>
      <c r="D36" s="95">
        <f>(D34-(D31+D32))/(D31+D32)</f>
        <v>0.95297443145316718</v>
      </c>
      <c r="M36" s="9">
        <v>35</v>
      </c>
      <c r="N36" s="9" t="str">
        <f t="shared" si="8"/>
        <v>A</v>
      </c>
      <c r="O36" s="11">
        <f t="shared" si="9"/>
        <v>10.16</v>
      </c>
      <c r="P36" s="12">
        <f t="shared" si="14"/>
        <v>233.60000000000002</v>
      </c>
      <c r="Q36" s="12">
        <f t="shared" si="10"/>
        <v>301.60000000000002</v>
      </c>
      <c r="R36" s="9">
        <f t="shared" si="11"/>
        <v>1</v>
      </c>
      <c r="S36" s="9">
        <f t="shared" si="12"/>
        <v>0</v>
      </c>
      <c r="T36" s="9">
        <f t="shared" si="13"/>
        <v>1</v>
      </c>
    </row>
    <row r="37" spans="1:20" ht="15" customHeight="1">
      <c r="M37" s="9">
        <v>36</v>
      </c>
      <c r="N37" s="9" t="str">
        <f t="shared" si="8"/>
        <v>B</v>
      </c>
      <c r="O37" s="11">
        <f t="shared" si="9"/>
        <v>4.0599999999999996</v>
      </c>
      <c r="P37" s="12">
        <f t="shared" si="14"/>
        <v>237.66000000000003</v>
      </c>
      <c r="Q37" s="12">
        <f t="shared" si="10"/>
        <v>307.66000000000003</v>
      </c>
      <c r="R37" s="9">
        <f t="shared" si="11"/>
        <v>0</v>
      </c>
      <c r="S37" s="9">
        <f t="shared" si="12"/>
        <v>1</v>
      </c>
      <c r="T37" s="9">
        <f t="shared" si="13"/>
        <v>1</v>
      </c>
    </row>
    <row r="38" spans="1:20" ht="15" customHeight="1">
      <c r="M38" s="9">
        <v>37</v>
      </c>
      <c r="N38" s="9" t="str">
        <f t="shared" si="8"/>
        <v>B</v>
      </c>
      <c r="O38" s="11">
        <f t="shared" si="9"/>
        <v>4.0599999999999996</v>
      </c>
      <c r="P38" s="12">
        <f t="shared" si="14"/>
        <v>241.72000000000003</v>
      </c>
      <c r="Q38" s="12">
        <f t="shared" si="10"/>
        <v>313.72000000000003</v>
      </c>
      <c r="R38" s="9">
        <f t="shared" si="11"/>
        <v>0</v>
      </c>
      <c r="S38" s="9">
        <f t="shared" si="12"/>
        <v>1</v>
      </c>
      <c r="T38" s="9">
        <f t="shared" si="13"/>
        <v>1</v>
      </c>
    </row>
    <row r="39" spans="1:20" ht="15" customHeight="1">
      <c r="M39" s="9">
        <v>38</v>
      </c>
      <c r="N39" s="9" t="str">
        <f t="shared" si="8"/>
        <v>B</v>
      </c>
      <c r="O39" s="11">
        <f t="shared" si="9"/>
        <v>4.0599999999999996</v>
      </c>
      <c r="P39" s="12">
        <f t="shared" si="14"/>
        <v>245.78000000000003</v>
      </c>
      <c r="Q39" s="12">
        <f t="shared" si="10"/>
        <v>319.78000000000003</v>
      </c>
      <c r="R39" s="9">
        <f t="shared" si="11"/>
        <v>0</v>
      </c>
      <c r="S39" s="9">
        <f t="shared" si="12"/>
        <v>1</v>
      </c>
      <c r="T39" s="9">
        <f t="shared" si="13"/>
        <v>1</v>
      </c>
    </row>
    <row r="40" spans="1:20" ht="15" customHeight="1">
      <c r="M40" s="9">
        <v>39</v>
      </c>
      <c r="N40" s="9" t="str">
        <f t="shared" si="8"/>
        <v>B</v>
      </c>
      <c r="O40" s="11">
        <f t="shared" si="9"/>
        <v>4.0599999999999996</v>
      </c>
      <c r="P40" s="12">
        <f t="shared" si="14"/>
        <v>249.84000000000003</v>
      </c>
      <c r="Q40" s="12">
        <f t="shared" si="10"/>
        <v>325.84000000000003</v>
      </c>
      <c r="R40" s="9">
        <f t="shared" si="11"/>
        <v>0</v>
      </c>
      <c r="S40" s="9">
        <f t="shared" si="12"/>
        <v>1</v>
      </c>
      <c r="T40" s="9">
        <f t="shared" si="13"/>
        <v>1</v>
      </c>
    </row>
    <row r="41" spans="1:20" ht="15" customHeight="1">
      <c r="M41" s="9">
        <v>40</v>
      </c>
      <c r="N41" s="9" t="str">
        <f t="shared" si="8"/>
        <v>B</v>
      </c>
      <c r="O41" s="11">
        <f t="shared" si="9"/>
        <v>4.0599999999999996</v>
      </c>
      <c r="P41" s="12">
        <f t="shared" si="14"/>
        <v>253.90000000000003</v>
      </c>
      <c r="Q41" s="12">
        <f t="shared" si="10"/>
        <v>331.90000000000003</v>
      </c>
      <c r="R41" s="9">
        <f t="shared" si="11"/>
        <v>0</v>
      </c>
      <c r="S41" s="9">
        <f t="shared" si="12"/>
        <v>1</v>
      </c>
      <c r="T41" s="9">
        <f t="shared" si="13"/>
        <v>1</v>
      </c>
    </row>
    <row r="42" spans="1:20" ht="15" customHeight="1">
      <c r="M42" s="9">
        <v>41</v>
      </c>
      <c r="N42" s="9" t="str">
        <f t="shared" si="8"/>
        <v>A</v>
      </c>
      <c r="O42" s="11">
        <f t="shared" si="9"/>
        <v>10.16</v>
      </c>
      <c r="P42" s="12">
        <f t="shared" si="14"/>
        <v>264.06000000000006</v>
      </c>
      <c r="Q42" s="12">
        <f t="shared" si="10"/>
        <v>344.06000000000006</v>
      </c>
      <c r="R42" s="9">
        <f t="shared" si="11"/>
        <v>1</v>
      </c>
      <c r="S42" s="9">
        <f t="shared" si="12"/>
        <v>0</v>
      </c>
      <c r="T42" s="9">
        <f t="shared" si="13"/>
        <v>1</v>
      </c>
    </row>
    <row r="43" spans="1:20" ht="15" customHeight="1">
      <c r="M43" s="9">
        <v>42</v>
      </c>
      <c r="N43" s="9" t="str">
        <f t="shared" si="8"/>
        <v>A</v>
      </c>
      <c r="O43" s="11">
        <f t="shared" si="9"/>
        <v>10.16</v>
      </c>
      <c r="P43" s="12">
        <f t="shared" si="14"/>
        <v>274.22000000000008</v>
      </c>
      <c r="Q43" s="12">
        <f t="shared" si="10"/>
        <v>356.22000000000008</v>
      </c>
      <c r="R43" s="9">
        <f t="shared" si="11"/>
        <v>1</v>
      </c>
      <c r="S43" s="9">
        <f t="shared" si="12"/>
        <v>0</v>
      </c>
      <c r="T43" s="9">
        <f t="shared" si="13"/>
        <v>1</v>
      </c>
    </row>
    <row r="44" spans="1:20" ht="15" customHeight="1">
      <c r="M44" s="9">
        <v>43</v>
      </c>
      <c r="N44" s="9" t="str">
        <f t="shared" si="8"/>
        <v>A</v>
      </c>
      <c r="O44" s="11">
        <f t="shared" si="9"/>
        <v>10.16</v>
      </c>
      <c r="P44" s="12">
        <f t="shared" si="14"/>
        <v>284.38000000000011</v>
      </c>
      <c r="Q44" s="12">
        <f t="shared" si="10"/>
        <v>368.38000000000011</v>
      </c>
      <c r="R44" s="9">
        <f t="shared" si="11"/>
        <v>1</v>
      </c>
      <c r="S44" s="9">
        <f t="shared" si="12"/>
        <v>0</v>
      </c>
      <c r="T44" s="9">
        <f t="shared" si="13"/>
        <v>1</v>
      </c>
    </row>
    <row r="45" spans="1:20" ht="15" customHeight="1">
      <c r="M45" s="9">
        <v>44</v>
      </c>
      <c r="N45" s="9" t="str">
        <f t="shared" si="8"/>
        <v>B</v>
      </c>
      <c r="O45" s="11">
        <f t="shared" si="9"/>
        <v>4.0599999999999996</v>
      </c>
      <c r="P45" s="12">
        <f t="shared" si="14"/>
        <v>288.44000000000011</v>
      </c>
      <c r="Q45" s="12">
        <f t="shared" si="10"/>
        <v>374.44000000000011</v>
      </c>
      <c r="R45" s="9">
        <f t="shared" si="11"/>
        <v>0</v>
      </c>
      <c r="S45" s="9">
        <f t="shared" si="12"/>
        <v>1</v>
      </c>
      <c r="T45" s="9">
        <f t="shared" si="13"/>
        <v>1</v>
      </c>
    </row>
    <row r="46" spans="1:20" ht="15" customHeight="1">
      <c r="M46" s="9">
        <v>45</v>
      </c>
      <c r="N46" s="9" t="str">
        <f t="shared" si="8"/>
        <v>B</v>
      </c>
      <c r="O46" s="11">
        <f t="shared" si="9"/>
        <v>4.0599999999999996</v>
      </c>
      <c r="P46" s="12">
        <f t="shared" si="14"/>
        <v>292.50000000000011</v>
      </c>
      <c r="Q46" s="12">
        <f t="shared" si="10"/>
        <v>380.50000000000011</v>
      </c>
      <c r="R46" s="9">
        <f t="shared" si="11"/>
        <v>0</v>
      </c>
      <c r="S46" s="9">
        <f t="shared" si="12"/>
        <v>1</v>
      </c>
      <c r="T46" s="9">
        <f t="shared" si="13"/>
        <v>1</v>
      </c>
    </row>
    <row r="47" spans="1:20" ht="15" customHeight="1">
      <c r="M47" s="9">
        <v>46</v>
      </c>
      <c r="N47" s="9" t="str">
        <f t="shared" si="8"/>
        <v>B</v>
      </c>
      <c r="O47" s="11">
        <f t="shared" si="9"/>
        <v>4.0599999999999996</v>
      </c>
      <c r="P47" s="12">
        <f t="shared" si="14"/>
        <v>296.56000000000012</v>
      </c>
      <c r="Q47" s="12">
        <f t="shared" si="10"/>
        <v>386.56000000000012</v>
      </c>
      <c r="R47" s="9">
        <f t="shared" si="11"/>
        <v>0</v>
      </c>
      <c r="S47" s="9">
        <f t="shared" si="12"/>
        <v>1</v>
      </c>
      <c r="T47" s="9">
        <f t="shared" si="13"/>
        <v>1</v>
      </c>
    </row>
    <row r="48" spans="1:20" ht="15" customHeight="1">
      <c r="M48" s="9">
        <v>47</v>
      </c>
      <c r="N48" s="9" t="str">
        <f t="shared" si="8"/>
        <v>B</v>
      </c>
      <c r="O48" s="11">
        <f t="shared" si="9"/>
        <v>4.0599999999999996</v>
      </c>
      <c r="P48" s="12">
        <f t="shared" si="14"/>
        <v>300.62000000000012</v>
      </c>
      <c r="Q48" s="12">
        <f t="shared" si="10"/>
        <v>392.62000000000012</v>
      </c>
      <c r="R48" s="9">
        <f t="shared" si="11"/>
        <v>0</v>
      </c>
      <c r="S48" s="9">
        <f t="shared" si="12"/>
        <v>1</v>
      </c>
      <c r="T48" s="9">
        <f t="shared" si="13"/>
        <v>1</v>
      </c>
    </row>
    <row r="49" spans="13:20" ht="15" customHeight="1">
      <c r="M49" s="9">
        <v>48</v>
      </c>
      <c r="N49" s="9" t="str">
        <f t="shared" si="8"/>
        <v>B</v>
      </c>
      <c r="O49" s="11">
        <f t="shared" si="9"/>
        <v>4.0599999999999996</v>
      </c>
      <c r="P49" s="12">
        <f t="shared" si="14"/>
        <v>304.68000000000012</v>
      </c>
      <c r="Q49" s="12">
        <f t="shared" si="10"/>
        <v>398.68000000000012</v>
      </c>
      <c r="R49" s="9">
        <f t="shared" si="11"/>
        <v>0</v>
      </c>
      <c r="S49" s="9">
        <f t="shared" si="12"/>
        <v>1</v>
      </c>
      <c r="T49" s="9">
        <f t="shared" si="13"/>
        <v>1</v>
      </c>
    </row>
    <row r="50" spans="13:20" ht="15" customHeight="1">
      <c r="M50" s="9">
        <v>49</v>
      </c>
      <c r="N50" s="9" t="str">
        <f t="shared" si="8"/>
        <v>A</v>
      </c>
      <c r="O50" s="11">
        <f t="shared" si="9"/>
        <v>10.16</v>
      </c>
      <c r="P50" s="12">
        <f t="shared" si="14"/>
        <v>314.84000000000015</v>
      </c>
      <c r="Q50" s="12">
        <f t="shared" si="10"/>
        <v>410.84000000000015</v>
      </c>
      <c r="R50" s="9">
        <f t="shared" si="11"/>
        <v>0</v>
      </c>
      <c r="S50" s="9">
        <f t="shared" si="12"/>
        <v>0</v>
      </c>
      <c r="T50" s="9">
        <f t="shared" si="13"/>
        <v>0</v>
      </c>
    </row>
    <row r="51" spans="13:20" ht="15" customHeight="1">
      <c r="M51" s="9">
        <v>50</v>
      </c>
      <c r="N51" s="9" t="str">
        <f t="shared" si="8"/>
        <v>A</v>
      </c>
      <c r="O51" s="11">
        <f t="shared" si="9"/>
        <v>10.16</v>
      </c>
      <c r="P51" s="12">
        <f t="shared" si="14"/>
        <v>325.00000000000017</v>
      </c>
      <c r="Q51" s="12">
        <f t="shared" si="10"/>
        <v>423.00000000000017</v>
      </c>
      <c r="R51" s="9">
        <f t="shared" si="11"/>
        <v>0</v>
      </c>
      <c r="S51" s="9">
        <f t="shared" si="12"/>
        <v>0</v>
      </c>
      <c r="T51" s="9">
        <f t="shared" si="13"/>
        <v>0</v>
      </c>
    </row>
    <row r="52" spans="13:20" ht="15" customHeight="1">
      <c r="M52" s="9">
        <v>51</v>
      </c>
      <c r="N52" s="9" t="str">
        <f t="shared" si="8"/>
        <v>A</v>
      </c>
      <c r="O52" s="11">
        <f t="shared" si="9"/>
        <v>10.16</v>
      </c>
      <c r="P52" s="12">
        <f t="shared" si="14"/>
        <v>335.1600000000002</v>
      </c>
      <c r="Q52" s="12">
        <f t="shared" si="10"/>
        <v>435.1600000000002</v>
      </c>
      <c r="R52" s="9">
        <f t="shared" si="11"/>
        <v>0</v>
      </c>
      <c r="S52" s="9">
        <f t="shared" si="12"/>
        <v>0</v>
      </c>
      <c r="T52" s="9">
        <f t="shared" si="13"/>
        <v>0</v>
      </c>
    </row>
    <row r="53" spans="13:20" ht="15" customHeight="1">
      <c r="M53" s="9">
        <v>52</v>
      </c>
      <c r="N53" s="9" t="str">
        <f t="shared" si="8"/>
        <v>B</v>
      </c>
      <c r="O53" s="11">
        <f t="shared" si="9"/>
        <v>4.0599999999999996</v>
      </c>
      <c r="P53" s="12">
        <f t="shared" si="14"/>
        <v>339.2200000000002</v>
      </c>
      <c r="Q53" s="12">
        <f t="shared" si="10"/>
        <v>441.2200000000002</v>
      </c>
      <c r="R53" s="9">
        <f t="shared" si="11"/>
        <v>0</v>
      </c>
      <c r="S53" s="9">
        <f t="shared" si="12"/>
        <v>0</v>
      </c>
      <c r="T53" s="9">
        <f t="shared" si="13"/>
        <v>0</v>
      </c>
    </row>
    <row r="54" spans="13:20" ht="15" customHeight="1">
      <c r="M54" s="9">
        <v>53</v>
      </c>
      <c r="N54" s="9" t="str">
        <f t="shared" si="8"/>
        <v>B</v>
      </c>
      <c r="O54" s="11">
        <f t="shared" si="9"/>
        <v>4.0599999999999996</v>
      </c>
      <c r="P54" s="12">
        <f t="shared" si="14"/>
        <v>343.2800000000002</v>
      </c>
      <c r="Q54" s="12">
        <f t="shared" si="10"/>
        <v>447.2800000000002</v>
      </c>
      <c r="R54" s="9">
        <f t="shared" si="11"/>
        <v>0</v>
      </c>
      <c r="S54" s="9">
        <f t="shared" si="12"/>
        <v>0</v>
      </c>
      <c r="T54" s="9">
        <f t="shared" si="13"/>
        <v>0</v>
      </c>
    </row>
    <row r="55" spans="13:20" ht="15" customHeight="1">
      <c r="M55" s="9">
        <v>54</v>
      </c>
      <c r="N55" s="9" t="str">
        <f t="shared" si="8"/>
        <v>B</v>
      </c>
      <c r="O55" s="11">
        <f t="shared" si="9"/>
        <v>4.0599999999999996</v>
      </c>
      <c r="P55" s="12">
        <f t="shared" si="14"/>
        <v>347.3400000000002</v>
      </c>
      <c r="Q55" s="12">
        <f t="shared" si="10"/>
        <v>453.3400000000002</v>
      </c>
      <c r="R55" s="9">
        <f t="shared" si="11"/>
        <v>0</v>
      </c>
      <c r="S55" s="9">
        <f t="shared" si="12"/>
        <v>0</v>
      </c>
      <c r="T55" s="9">
        <f t="shared" si="13"/>
        <v>0</v>
      </c>
    </row>
    <row r="56" spans="13:20" ht="15" customHeight="1">
      <c r="M56" s="9">
        <v>55</v>
      </c>
      <c r="N56" s="9" t="str">
        <f t="shared" si="8"/>
        <v>B</v>
      </c>
      <c r="O56" s="11">
        <f t="shared" si="9"/>
        <v>4.0599999999999996</v>
      </c>
      <c r="P56" s="12">
        <f t="shared" si="14"/>
        <v>351.4000000000002</v>
      </c>
      <c r="Q56" s="12">
        <f t="shared" si="10"/>
        <v>459.4000000000002</v>
      </c>
      <c r="R56" s="9">
        <f t="shared" si="11"/>
        <v>0</v>
      </c>
      <c r="S56" s="9">
        <f t="shared" si="12"/>
        <v>0</v>
      </c>
      <c r="T56" s="9">
        <f t="shared" si="13"/>
        <v>0</v>
      </c>
    </row>
    <row r="57" spans="13:20" ht="15" customHeight="1">
      <c r="M57" s="9">
        <v>56</v>
      </c>
      <c r="N57" s="9" t="str">
        <f t="shared" si="8"/>
        <v>B</v>
      </c>
      <c r="O57" s="11">
        <f t="shared" si="9"/>
        <v>4.0599999999999996</v>
      </c>
      <c r="P57" s="12">
        <f t="shared" si="14"/>
        <v>355.46000000000021</v>
      </c>
      <c r="Q57" s="12">
        <f t="shared" si="10"/>
        <v>465.46000000000021</v>
      </c>
      <c r="R57" s="9">
        <f t="shared" si="11"/>
        <v>0</v>
      </c>
      <c r="S57" s="9">
        <f t="shared" si="12"/>
        <v>0</v>
      </c>
      <c r="T57" s="9">
        <f t="shared" si="13"/>
        <v>0</v>
      </c>
    </row>
    <row r="58" spans="13:20" ht="15" customHeight="1">
      <c r="M58" s="9">
        <v>57</v>
      </c>
      <c r="N58" s="9" t="str">
        <f t="shared" si="8"/>
        <v>A</v>
      </c>
      <c r="O58" s="11">
        <f t="shared" si="9"/>
        <v>10.16</v>
      </c>
      <c r="P58" s="12">
        <f t="shared" si="14"/>
        <v>365.62000000000023</v>
      </c>
      <c r="Q58" s="12">
        <f t="shared" si="10"/>
        <v>477.62000000000023</v>
      </c>
      <c r="R58" s="9">
        <f t="shared" si="11"/>
        <v>0</v>
      </c>
      <c r="S58" s="9">
        <f t="shared" si="12"/>
        <v>0</v>
      </c>
      <c r="T58" s="9">
        <f t="shared" si="13"/>
        <v>0</v>
      </c>
    </row>
    <row r="59" spans="13:20" ht="15" customHeight="1">
      <c r="M59" s="9">
        <v>58</v>
      </c>
      <c r="N59" s="9" t="str">
        <f t="shared" si="8"/>
        <v>A</v>
      </c>
      <c r="O59" s="11">
        <f t="shared" si="9"/>
        <v>10.16</v>
      </c>
      <c r="P59" s="12">
        <f t="shared" si="14"/>
        <v>375.78000000000026</v>
      </c>
      <c r="Q59" s="12">
        <f t="shared" si="10"/>
        <v>489.78000000000026</v>
      </c>
      <c r="R59" s="9">
        <f t="shared" si="11"/>
        <v>0</v>
      </c>
      <c r="S59" s="9">
        <f t="shared" si="12"/>
        <v>0</v>
      </c>
      <c r="T59" s="9">
        <f t="shared" si="13"/>
        <v>0</v>
      </c>
    </row>
    <row r="60" spans="13:20" ht="15" customHeight="1">
      <c r="M60" s="9">
        <v>59</v>
      </c>
      <c r="N60" s="9" t="str">
        <f t="shared" si="8"/>
        <v>A</v>
      </c>
      <c r="O60" s="11">
        <f t="shared" si="9"/>
        <v>10.16</v>
      </c>
      <c r="P60" s="12">
        <f t="shared" si="14"/>
        <v>385.94000000000028</v>
      </c>
      <c r="Q60" s="12">
        <f t="shared" si="10"/>
        <v>501.94000000000028</v>
      </c>
      <c r="R60" s="9">
        <f t="shared" si="11"/>
        <v>0</v>
      </c>
      <c r="S60" s="9">
        <f t="shared" si="12"/>
        <v>0</v>
      </c>
      <c r="T60" s="9">
        <f t="shared" si="13"/>
        <v>0</v>
      </c>
    </row>
    <row r="61" spans="13:20" ht="15" customHeight="1">
      <c r="M61" s="9">
        <v>60</v>
      </c>
      <c r="N61" s="9" t="str">
        <f t="shared" si="8"/>
        <v>B</v>
      </c>
      <c r="O61" s="11">
        <f t="shared" si="9"/>
        <v>4.0599999999999996</v>
      </c>
      <c r="P61" s="12">
        <f t="shared" si="14"/>
        <v>390.00000000000028</v>
      </c>
      <c r="Q61" s="12">
        <f t="shared" si="10"/>
        <v>508.00000000000028</v>
      </c>
      <c r="R61" s="9">
        <f t="shared" si="11"/>
        <v>0</v>
      </c>
      <c r="S61" s="9">
        <f t="shared" si="12"/>
        <v>0</v>
      </c>
      <c r="T61" s="9">
        <f t="shared" si="13"/>
        <v>0</v>
      </c>
    </row>
    <row r="62" spans="13:20" ht="15" customHeight="1">
      <c r="M62" s="9">
        <v>61</v>
      </c>
      <c r="N62" s="9" t="str">
        <f t="shared" si="8"/>
        <v>B</v>
      </c>
      <c r="O62" s="11">
        <f t="shared" si="9"/>
        <v>4.0599999999999996</v>
      </c>
      <c r="P62" s="12">
        <f t="shared" si="14"/>
        <v>394.06000000000029</v>
      </c>
      <c r="Q62" s="12">
        <f t="shared" si="10"/>
        <v>514.06000000000029</v>
      </c>
      <c r="R62" s="9">
        <f t="shared" si="11"/>
        <v>0</v>
      </c>
      <c r="S62" s="9">
        <f t="shared" si="12"/>
        <v>0</v>
      </c>
      <c r="T62" s="9">
        <f t="shared" si="13"/>
        <v>0</v>
      </c>
    </row>
    <row r="63" spans="13:20" ht="15" customHeight="1">
      <c r="M63" s="9">
        <v>62</v>
      </c>
      <c r="N63" s="9" t="str">
        <f t="shared" si="8"/>
        <v>B</v>
      </c>
      <c r="O63" s="11">
        <f t="shared" si="9"/>
        <v>4.0599999999999996</v>
      </c>
      <c r="P63" s="12">
        <f t="shared" si="14"/>
        <v>398.12000000000029</v>
      </c>
      <c r="Q63" s="12">
        <f t="shared" si="10"/>
        <v>520.12000000000035</v>
      </c>
      <c r="R63" s="9">
        <f t="shared" si="11"/>
        <v>0</v>
      </c>
      <c r="S63" s="9">
        <f t="shared" si="12"/>
        <v>0</v>
      </c>
      <c r="T63" s="9">
        <f t="shared" si="13"/>
        <v>0</v>
      </c>
    </row>
    <row r="64" spans="13:20" ht="15" customHeight="1">
      <c r="M64" s="9">
        <v>63</v>
      </c>
      <c r="N64" s="9" t="str">
        <f t="shared" si="8"/>
        <v>B</v>
      </c>
      <c r="O64" s="11">
        <f t="shared" si="9"/>
        <v>4.0599999999999996</v>
      </c>
      <c r="P64" s="12">
        <f t="shared" si="14"/>
        <v>402.18000000000029</v>
      </c>
      <c r="Q64" s="12">
        <f t="shared" si="10"/>
        <v>526.18000000000029</v>
      </c>
      <c r="R64" s="9">
        <f t="shared" si="11"/>
        <v>0</v>
      </c>
      <c r="S64" s="9">
        <f t="shared" si="12"/>
        <v>0</v>
      </c>
      <c r="T64" s="9">
        <f t="shared" si="13"/>
        <v>0</v>
      </c>
    </row>
    <row r="65" spans="13:20" ht="15" customHeight="1">
      <c r="M65" s="9">
        <v>64</v>
      </c>
      <c r="N65" s="9" t="str">
        <f t="shared" si="8"/>
        <v>B</v>
      </c>
      <c r="O65" s="11">
        <f t="shared" si="9"/>
        <v>4.0599999999999996</v>
      </c>
      <c r="P65" s="12">
        <f t="shared" si="14"/>
        <v>406.24000000000029</v>
      </c>
      <c r="Q65" s="12">
        <f t="shared" si="10"/>
        <v>532.24000000000024</v>
      </c>
      <c r="R65" s="9">
        <f t="shared" si="11"/>
        <v>0</v>
      </c>
      <c r="S65" s="9">
        <f t="shared" si="12"/>
        <v>0</v>
      </c>
      <c r="T65" s="9">
        <f t="shared" si="13"/>
        <v>0</v>
      </c>
    </row>
    <row r="66" spans="13:20" ht="15" customHeight="1">
      <c r="M66" s="9">
        <v>65</v>
      </c>
      <c r="N66" s="9" t="str">
        <f t="shared" ref="N66:N97" si="15">IF(MOD(M66-1,$B$4+$B$7)&lt;$B$4,"A","B")</f>
        <v>A</v>
      </c>
      <c r="O66" s="11">
        <f t="shared" ref="O66:O97" si="16">IF(N66="A",$E$3,$E$4)</f>
        <v>10.16</v>
      </c>
      <c r="P66" s="12">
        <f t="shared" si="14"/>
        <v>416.40000000000032</v>
      </c>
      <c r="Q66" s="12">
        <f t="shared" ref="Q66:Q97" si="17">P66+(M66-1)*$B$8</f>
        <v>544.40000000000032</v>
      </c>
      <c r="R66" s="9">
        <f t="shared" ref="R66:R97" si="18">IF(AND(Q66&lt;=$B$9,N66="A"),1,0)</f>
        <v>0</v>
      </c>
      <c r="S66" s="9">
        <f t="shared" ref="S66:S97" si="19">IF(AND(Q66&lt;=$B$9,N66="B"),1,0)</f>
        <v>0</v>
      </c>
      <c r="T66" s="9">
        <f t="shared" ref="T66:T97" si="20">IF(Q66&lt;=$B$9,1,0)</f>
        <v>0</v>
      </c>
    </row>
    <row r="67" spans="13:20" ht="15" customHeight="1">
      <c r="M67" s="9">
        <v>66</v>
      </c>
      <c r="N67" s="9" t="str">
        <f t="shared" si="15"/>
        <v>A</v>
      </c>
      <c r="O67" s="11">
        <f t="shared" si="16"/>
        <v>10.16</v>
      </c>
      <c r="P67" s="12">
        <f t="shared" ref="P67:P98" si="21">P66+O67</f>
        <v>426.56000000000034</v>
      </c>
      <c r="Q67" s="12">
        <f t="shared" si="17"/>
        <v>556.5600000000004</v>
      </c>
      <c r="R67" s="9">
        <f t="shared" si="18"/>
        <v>0</v>
      </c>
      <c r="S67" s="9">
        <f t="shared" si="19"/>
        <v>0</v>
      </c>
      <c r="T67" s="9">
        <f t="shared" si="20"/>
        <v>0</v>
      </c>
    </row>
    <row r="68" spans="13:20" ht="15" customHeight="1">
      <c r="M68" s="9">
        <v>67</v>
      </c>
      <c r="N68" s="9" t="str">
        <f t="shared" si="15"/>
        <v>A</v>
      </c>
      <c r="O68" s="11">
        <f t="shared" si="16"/>
        <v>10.16</v>
      </c>
      <c r="P68" s="12">
        <f t="shared" si="21"/>
        <v>436.72000000000037</v>
      </c>
      <c r="Q68" s="12">
        <f t="shared" si="17"/>
        <v>568.72000000000037</v>
      </c>
      <c r="R68" s="9">
        <f t="shared" si="18"/>
        <v>0</v>
      </c>
      <c r="S68" s="9">
        <f t="shared" si="19"/>
        <v>0</v>
      </c>
      <c r="T68" s="9">
        <f t="shared" si="20"/>
        <v>0</v>
      </c>
    </row>
    <row r="69" spans="13:20" ht="15" customHeight="1">
      <c r="M69" s="9">
        <v>68</v>
      </c>
      <c r="N69" s="9" t="str">
        <f t="shared" si="15"/>
        <v>B</v>
      </c>
      <c r="O69" s="11">
        <f t="shared" si="16"/>
        <v>4.0599999999999996</v>
      </c>
      <c r="P69" s="12">
        <f t="shared" si="21"/>
        <v>440.78000000000037</v>
      </c>
      <c r="Q69" s="12">
        <f t="shared" si="17"/>
        <v>574.78000000000043</v>
      </c>
      <c r="R69" s="9">
        <f t="shared" si="18"/>
        <v>0</v>
      </c>
      <c r="S69" s="9">
        <f t="shared" si="19"/>
        <v>0</v>
      </c>
      <c r="T69" s="9">
        <f t="shared" si="20"/>
        <v>0</v>
      </c>
    </row>
    <row r="70" spans="13:20" ht="15" customHeight="1">
      <c r="M70" s="9">
        <v>69</v>
      </c>
      <c r="N70" s="9" t="str">
        <f t="shared" si="15"/>
        <v>B</v>
      </c>
      <c r="O70" s="11">
        <f t="shared" si="16"/>
        <v>4.0599999999999996</v>
      </c>
      <c r="P70" s="12">
        <f t="shared" si="21"/>
        <v>444.84000000000037</v>
      </c>
      <c r="Q70" s="12">
        <f t="shared" si="17"/>
        <v>580.84000000000037</v>
      </c>
      <c r="R70" s="9">
        <f t="shared" si="18"/>
        <v>0</v>
      </c>
      <c r="S70" s="9">
        <f t="shared" si="19"/>
        <v>0</v>
      </c>
      <c r="T70" s="9">
        <f t="shared" si="20"/>
        <v>0</v>
      </c>
    </row>
    <row r="71" spans="13:20" ht="15" customHeight="1">
      <c r="M71" s="9">
        <v>70</v>
      </c>
      <c r="N71" s="9" t="str">
        <f t="shared" si="15"/>
        <v>B</v>
      </c>
      <c r="O71" s="11">
        <f t="shared" si="16"/>
        <v>4.0599999999999996</v>
      </c>
      <c r="P71" s="12">
        <f t="shared" si="21"/>
        <v>448.90000000000038</v>
      </c>
      <c r="Q71" s="12">
        <f t="shared" si="17"/>
        <v>586.90000000000032</v>
      </c>
      <c r="R71" s="9">
        <f t="shared" si="18"/>
        <v>0</v>
      </c>
      <c r="S71" s="9">
        <f t="shared" si="19"/>
        <v>0</v>
      </c>
      <c r="T71" s="9">
        <f t="shared" si="20"/>
        <v>0</v>
      </c>
    </row>
    <row r="72" spans="13:20" ht="15" customHeight="1">
      <c r="M72" s="9">
        <v>71</v>
      </c>
      <c r="N72" s="9" t="str">
        <f t="shared" si="15"/>
        <v>B</v>
      </c>
      <c r="O72" s="11">
        <f t="shared" si="16"/>
        <v>4.0599999999999996</v>
      </c>
      <c r="P72" s="12">
        <f t="shared" si="21"/>
        <v>452.96000000000038</v>
      </c>
      <c r="Q72" s="12">
        <f t="shared" si="17"/>
        <v>592.96000000000038</v>
      </c>
      <c r="R72" s="9">
        <f t="shared" si="18"/>
        <v>0</v>
      </c>
      <c r="S72" s="9">
        <f t="shared" si="19"/>
        <v>0</v>
      </c>
      <c r="T72" s="9">
        <f t="shared" si="20"/>
        <v>0</v>
      </c>
    </row>
    <row r="73" spans="13:20" ht="15" customHeight="1">
      <c r="M73" s="9">
        <v>72</v>
      </c>
      <c r="N73" s="9" t="str">
        <f t="shared" si="15"/>
        <v>B</v>
      </c>
      <c r="O73" s="11">
        <f t="shared" si="16"/>
        <v>4.0599999999999996</v>
      </c>
      <c r="P73" s="12">
        <f t="shared" si="21"/>
        <v>457.02000000000038</v>
      </c>
      <c r="Q73" s="12">
        <f t="shared" si="17"/>
        <v>599.02000000000044</v>
      </c>
      <c r="R73" s="9">
        <f t="shared" si="18"/>
        <v>0</v>
      </c>
      <c r="S73" s="9">
        <f t="shared" si="19"/>
        <v>0</v>
      </c>
      <c r="T73" s="9">
        <f t="shared" si="20"/>
        <v>0</v>
      </c>
    </row>
    <row r="74" spans="13:20" ht="15" customHeight="1">
      <c r="M74" s="9">
        <v>73</v>
      </c>
      <c r="N74" s="9" t="str">
        <f t="shared" si="15"/>
        <v>A</v>
      </c>
      <c r="O74" s="11">
        <f t="shared" si="16"/>
        <v>10.16</v>
      </c>
      <c r="P74" s="12">
        <f t="shared" si="21"/>
        <v>467.1800000000004</v>
      </c>
      <c r="Q74" s="12">
        <f t="shared" si="17"/>
        <v>611.1800000000004</v>
      </c>
      <c r="R74" s="9">
        <f t="shared" si="18"/>
        <v>0</v>
      </c>
      <c r="S74" s="9">
        <f t="shared" si="19"/>
        <v>0</v>
      </c>
      <c r="T74" s="9">
        <f t="shared" si="20"/>
        <v>0</v>
      </c>
    </row>
    <row r="75" spans="13:20" ht="15" customHeight="1">
      <c r="M75" s="9">
        <v>74</v>
      </c>
      <c r="N75" s="9" t="str">
        <f t="shared" si="15"/>
        <v>A</v>
      </c>
      <c r="O75" s="11">
        <f t="shared" si="16"/>
        <v>10.16</v>
      </c>
      <c r="P75" s="12">
        <f t="shared" si="21"/>
        <v>477.34000000000043</v>
      </c>
      <c r="Q75" s="12">
        <f t="shared" si="17"/>
        <v>623.34000000000037</v>
      </c>
      <c r="R75" s="9">
        <f t="shared" si="18"/>
        <v>0</v>
      </c>
      <c r="S75" s="9">
        <f t="shared" si="19"/>
        <v>0</v>
      </c>
      <c r="T75" s="9">
        <f t="shared" si="20"/>
        <v>0</v>
      </c>
    </row>
    <row r="76" spans="13:20" ht="15" customHeight="1">
      <c r="M76" s="9">
        <v>75</v>
      </c>
      <c r="N76" s="9" t="str">
        <f t="shared" si="15"/>
        <v>A</v>
      </c>
      <c r="O76" s="11">
        <f t="shared" si="16"/>
        <v>10.16</v>
      </c>
      <c r="P76" s="12">
        <f t="shared" si="21"/>
        <v>487.50000000000045</v>
      </c>
      <c r="Q76" s="12">
        <f t="shared" si="17"/>
        <v>635.50000000000045</v>
      </c>
      <c r="R76" s="9">
        <f t="shared" si="18"/>
        <v>0</v>
      </c>
      <c r="S76" s="9">
        <f t="shared" si="19"/>
        <v>0</v>
      </c>
      <c r="T76" s="9">
        <f t="shared" si="20"/>
        <v>0</v>
      </c>
    </row>
    <row r="77" spans="13:20" ht="15" customHeight="1">
      <c r="M77" s="9">
        <v>76</v>
      </c>
      <c r="N77" s="9" t="str">
        <f t="shared" si="15"/>
        <v>B</v>
      </c>
      <c r="O77" s="11">
        <f t="shared" si="16"/>
        <v>4.0599999999999996</v>
      </c>
      <c r="P77" s="12">
        <f t="shared" si="21"/>
        <v>491.56000000000046</v>
      </c>
      <c r="Q77" s="12">
        <f t="shared" si="17"/>
        <v>641.5600000000004</v>
      </c>
      <c r="R77" s="9">
        <f t="shared" si="18"/>
        <v>0</v>
      </c>
      <c r="S77" s="9">
        <f t="shared" si="19"/>
        <v>0</v>
      </c>
      <c r="T77" s="9">
        <f t="shared" si="20"/>
        <v>0</v>
      </c>
    </row>
    <row r="78" spans="13:20" ht="15" customHeight="1">
      <c r="M78" s="9">
        <v>77</v>
      </c>
      <c r="N78" s="9" t="str">
        <f t="shared" si="15"/>
        <v>B</v>
      </c>
      <c r="O78" s="11">
        <f t="shared" si="16"/>
        <v>4.0599999999999996</v>
      </c>
      <c r="P78" s="12">
        <f t="shared" si="21"/>
        <v>495.62000000000046</v>
      </c>
      <c r="Q78" s="12">
        <f t="shared" si="17"/>
        <v>647.62000000000046</v>
      </c>
      <c r="R78" s="9">
        <f t="shared" si="18"/>
        <v>0</v>
      </c>
      <c r="S78" s="9">
        <f t="shared" si="19"/>
        <v>0</v>
      </c>
      <c r="T78" s="9">
        <f t="shared" si="20"/>
        <v>0</v>
      </c>
    </row>
    <row r="79" spans="13:20" ht="15" customHeight="1">
      <c r="M79" s="9">
        <v>78</v>
      </c>
      <c r="N79" s="9" t="str">
        <f t="shared" si="15"/>
        <v>B</v>
      </c>
      <c r="O79" s="11">
        <f t="shared" si="16"/>
        <v>4.0599999999999996</v>
      </c>
      <c r="P79" s="12">
        <f t="shared" si="21"/>
        <v>499.68000000000046</v>
      </c>
      <c r="Q79" s="12">
        <f t="shared" si="17"/>
        <v>653.68000000000052</v>
      </c>
      <c r="R79" s="9">
        <f t="shared" si="18"/>
        <v>0</v>
      </c>
      <c r="S79" s="9">
        <f t="shared" si="19"/>
        <v>0</v>
      </c>
      <c r="T79" s="9">
        <f t="shared" si="20"/>
        <v>0</v>
      </c>
    </row>
    <row r="80" spans="13:20" ht="15" customHeight="1">
      <c r="M80" s="9">
        <v>79</v>
      </c>
      <c r="N80" s="9" t="str">
        <f t="shared" si="15"/>
        <v>B</v>
      </c>
      <c r="O80" s="11">
        <f t="shared" si="16"/>
        <v>4.0599999999999996</v>
      </c>
      <c r="P80" s="12">
        <f t="shared" si="21"/>
        <v>503.74000000000046</v>
      </c>
      <c r="Q80" s="12">
        <f t="shared" si="17"/>
        <v>659.74000000000046</v>
      </c>
      <c r="R80" s="9">
        <f t="shared" si="18"/>
        <v>0</v>
      </c>
      <c r="S80" s="9">
        <f t="shared" si="19"/>
        <v>0</v>
      </c>
      <c r="T80" s="9">
        <f t="shared" si="20"/>
        <v>0</v>
      </c>
    </row>
    <row r="81" spans="13:20" ht="15" customHeight="1">
      <c r="M81" s="9">
        <v>80</v>
      </c>
      <c r="N81" s="9" t="str">
        <f t="shared" si="15"/>
        <v>B</v>
      </c>
      <c r="O81" s="11">
        <f t="shared" si="16"/>
        <v>4.0599999999999996</v>
      </c>
      <c r="P81" s="12">
        <f t="shared" si="21"/>
        <v>507.80000000000047</v>
      </c>
      <c r="Q81" s="12">
        <f t="shared" si="17"/>
        <v>665.80000000000041</v>
      </c>
      <c r="R81" s="9">
        <f t="shared" si="18"/>
        <v>0</v>
      </c>
      <c r="S81" s="9">
        <f t="shared" si="19"/>
        <v>0</v>
      </c>
      <c r="T81" s="9">
        <f t="shared" si="20"/>
        <v>0</v>
      </c>
    </row>
    <row r="82" spans="13:20" ht="15" customHeight="1">
      <c r="M82" s="9">
        <v>81</v>
      </c>
      <c r="N82" s="9" t="str">
        <f t="shared" si="15"/>
        <v>A</v>
      </c>
      <c r="O82" s="11">
        <f t="shared" si="16"/>
        <v>10.16</v>
      </c>
      <c r="P82" s="12">
        <f t="shared" si="21"/>
        <v>517.96000000000049</v>
      </c>
      <c r="Q82" s="12">
        <f t="shared" si="17"/>
        <v>677.96000000000049</v>
      </c>
      <c r="R82" s="9">
        <f t="shared" si="18"/>
        <v>0</v>
      </c>
      <c r="S82" s="9">
        <f t="shared" si="19"/>
        <v>0</v>
      </c>
      <c r="T82" s="9">
        <f t="shared" si="20"/>
        <v>0</v>
      </c>
    </row>
    <row r="83" spans="13:20" ht="15" customHeight="1">
      <c r="M83" s="9">
        <v>82</v>
      </c>
      <c r="N83" s="9" t="str">
        <f t="shared" si="15"/>
        <v>A</v>
      </c>
      <c r="O83" s="11">
        <f t="shared" si="16"/>
        <v>10.16</v>
      </c>
      <c r="P83" s="12">
        <f t="shared" si="21"/>
        <v>528.12000000000046</v>
      </c>
      <c r="Q83" s="12">
        <f t="shared" si="17"/>
        <v>690.12000000000046</v>
      </c>
      <c r="R83" s="9">
        <f t="shared" si="18"/>
        <v>0</v>
      </c>
      <c r="S83" s="9">
        <f t="shared" si="19"/>
        <v>0</v>
      </c>
      <c r="T83" s="9">
        <f t="shared" si="20"/>
        <v>0</v>
      </c>
    </row>
    <row r="84" spans="13:20" ht="15" customHeight="1">
      <c r="M84" s="9">
        <v>83</v>
      </c>
      <c r="N84" s="9" t="str">
        <f t="shared" si="15"/>
        <v>A</v>
      </c>
      <c r="O84" s="11">
        <f t="shared" si="16"/>
        <v>10.16</v>
      </c>
      <c r="P84" s="12">
        <f t="shared" si="21"/>
        <v>538.28000000000043</v>
      </c>
      <c r="Q84" s="12">
        <f t="shared" si="17"/>
        <v>702.28000000000043</v>
      </c>
      <c r="R84" s="9">
        <f t="shared" si="18"/>
        <v>0</v>
      </c>
      <c r="S84" s="9">
        <f t="shared" si="19"/>
        <v>0</v>
      </c>
      <c r="T84" s="9">
        <f t="shared" si="20"/>
        <v>0</v>
      </c>
    </row>
    <row r="85" spans="13:20" ht="15" customHeight="1">
      <c r="M85" s="9">
        <v>84</v>
      </c>
      <c r="N85" s="9" t="str">
        <f t="shared" si="15"/>
        <v>B</v>
      </c>
      <c r="O85" s="11">
        <f t="shared" si="16"/>
        <v>4.0599999999999996</v>
      </c>
      <c r="P85" s="12">
        <f t="shared" si="21"/>
        <v>542.34000000000037</v>
      </c>
      <c r="Q85" s="12">
        <f t="shared" si="17"/>
        <v>708.34000000000037</v>
      </c>
      <c r="R85" s="9">
        <f t="shared" si="18"/>
        <v>0</v>
      </c>
      <c r="S85" s="9">
        <f t="shared" si="19"/>
        <v>0</v>
      </c>
      <c r="T85" s="9">
        <f t="shared" si="20"/>
        <v>0</v>
      </c>
    </row>
    <row r="86" spans="13:20" ht="15" customHeight="1">
      <c r="M86" s="9">
        <v>85</v>
      </c>
      <c r="N86" s="9" t="str">
        <f t="shared" si="15"/>
        <v>B</v>
      </c>
      <c r="O86" s="11">
        <f t="shared" si="16"/>
        <v>4.0599999999999996</v>
      </c>
      <c r="P86" s="12">
        <f t="shared" si="21"/>
        <v>546.40000000000032</v>
      </c>
      <c r="Q86" s="12">
        <f t="shared" si="17"/>
        <v>714.40000000000032</v>
      </c>
      <c r="R86" s="9">
        <f t="shared" si="18"/>
        <v>0</v>
      </c>
      <c r="S86" s="9">
        <f t="shared" si="19"/>
        <v>0</v>
      </c>
      <c r="T86" s="9">
        <f t="shared" si="20"/>
        <v>0</v>
      </c>
    </row>
    <row r="87" spans="13:20" ht="15" customHeight="1">
      <c r="M87" s="9">
        <v>86</v>
      </c>
      <c r="N87" s="9" t="str">
        <f t="shared" si="15"/>
        <v>B</v>
      </c>
      <c r="O87" s="11">
        <f t="shared" si="16"/>
        <v>4.0599999999999996</v>
      </c>
      <c r="P87" s="12">
        <f t="shared" si="21"/>
        <v>550.46000000000026</v>
      </c>
      <c r="Q87" s="12">
        <f t="shared" si="17"/>
        <v>720.46000000000026</v>
      </c>
      <c r="R87" s="9">
        <f t="shared" si="18"/>
        <v>0</v>
      </c>
      <c r="S87" s="9">
        <f t="shared" si="19"/>
        <v>0</v>
      </c>
      <c r="T87" s="9">
        <f t="shared" si="20"/>
        <v>0</v>
      </c>
    </row>
    <row r="88" spans="13:20" ht="15" customHeight="1">
      <c r="M88" s="9">
        <v>87</v>
      </c>
      <c r="N88" s="9" t="str">
        <f t="shared" si="15"/>
        <v>B</v>
      </c>
      <c r="O88" s="11">
        <f t="shared" si="16"/>
        <v>4.0599999999999996</v>
      </c>
      <c r="P88" s="12">
        <f t="shared" si="21"/>
        <v>554.52000000000021</v>
      </c>
      <c r="Q88" s="12">
        <f t="shared" si="17"/>
        <v>726.52000000000021</v>
      </c>
      <c r="R88" s="9">
        <f t="shared" si="18"/>
        <v>0</v>
      </c>
      <c r="S88" s="9">
        <f t="shared" si="19"/>
        <v>0</v>
      </c>
      <c r="T88" s="9">
        <f t="shared" si="20"/>
        <v>0</v>
      </c>
    </row>
    <row r="89" spans="13:20" ht="15" customHeight="1">
      <c r="M89" s="9">
        <v>88</v>
      </c>
      <c r="N89" s="9" t="str">
        <f t="shared" si="15"/>
        <v>B</v>
      </c>
      <c r="O89" s="11">
        <f t="shared" si="16"/>
        <v>4.0599999999999996</v>
      </c>
      <c r="P89" s="12">
        <f t="shared" si="21"/>
        <v>558.58000000000015</v>
      </c>
      <c r="Q89" s="12">
        <f t="shared" si="17"/>
        <v>732.58000000000015</v>
      </c>
      <c r="R89" s="9">
        <f t="shared" si="18"/>
        <v>0</v>
      </c>
      <c r="S89" s="9">
        <f t="shared" si="19"/>
        <v>0</v>
      </c>
      <c r="T89" s="9">
        <f t="shared" si="20"/>
        <v>0</v>
      </c>
    </row>
    <row r="90" spans="13:20" ht="15" customHeight="1">
      <c r="M90" s="9">
        <v>89</v>
      </c>
      <c r="N90" s="9" t="str">
        <f t="shared" si="15"/>
        <v>A</v>
      </c>
      <c r="O90" s="11">
        <f t="shared" si="16"/>
        <v>10.16</v>
      </c>
      <c r="P90" s="12">
        <f t="shared" si="21"/>
        <v>568.74000000000012</v>
      </c>
      <c r="Q90" s="12">
        <f t="shared" si="17"/>
        <v>744.74000000000012</v>
      </c>
      <c r="R90" s="9">
        <f t="shared" si="18"/>
        <v>0</v>
      </c>
      <c r="S90" s="9">
        <f t="shared" si="19"/>
        <v>0</v>
      </c>
      <c r="T90" s="9">
        <f t="shared" si="20"/>
        <v>0</v>
      </c>
    </row>
    <row r="91" spans="13:20" ht="15" customHeight="1">
      <c r="M91" s="9">
        <v>90</v>
      </c>
      <c r="N91" s="9" t="str">
        <f t="shared" si="15"/>
        <v>A</v>
      </c>
      <c r="O91" s="11">
        <f t="shared" si="16"/>
        <v>10.16</v>
      </c>
      <c r="P91" s="12">
        <f t="shared" si="21"/>
        <v>578.90000000000009</v>
      </c>
      <c r="Q91" s="12">
        <f t="shared" si="17"/>
        <v>756.90000000000009</v>
      </c>
      <c r="R91" s="9">
        <f t="shared" si="18"/>
        <v>0</v>
      </c>
      <c r="S91" s="9">
        <f t="shared" si="19"/>
        <v>0</v>
      </c>
      <c r="T91" s="9">
        <f t="shared" si="20"/>
        <v>0</v>
      </c>
    </row>
    <row r="92" spans="13:20" ht="15" customHeight="1">
      <c r="M92" s="9">
        <v>91</v>
      </c>
      <c r="N92" s="9" t="str">
        <f t="shared" si="15"/>
        <v>A</v>
      </c>
      <c r="O92" s="11">
        <f t="shared" si="16"/>
        <v>10.16</v>
      </c>
      <c r="P92" s="12">
        <f t="shared" si="21"/>
        <v>589.06000000000006</v>
      </c>
      <c r="Q92" s="12">
        <f t="shared" si="17"/>
        <v>769.06000000000006</v>
      </c>
      <c r="R92" s="9">
        <f t="shared" si="18"/>
        <v>0</v>
      </c>
      <c r="S92" s="9">
        <f t="shared" si="19"/>
        <v>0</v>
      </c>
      <c r="T92" s="9">
        <f t="shared" si="20"/>
        <v>0</v>
      </c>
    </row>
    <row r="93" spans="13:20" ht="15" customHeight="1">
      <c r="M93" s="9">
        <v>92</v>
      </c>
      <c r="N93" s="9" t="str">
        <f t="shared" si="15"/>
        <v>B</v>
      </c>
      <c r="O93" s="11">
        <f t="shared" si="16"/>
        <v>4.0599999999999996</v>
      </c>
      <c r="P93" s="12">
        <f t="shared" si="21"/>
        <v>593.12</v>
      </c>
      <c r="Q93" s="12">
        <f t="shared" si="17"/>
        <v>775.12</v>
      </c>
      <c r="R93" s="9">
        <f t="shared" si="18"/>
        <v>0</v>
      </c>
      <c r="S93" s="9">
        <f t="shared" si="19"/>
        <v>0</v>
      </c>
      <c r="T93" s="9">
        <f t="shared" si="20"/>
        <v>0</v>
      </c>
    </row>
    <row r="94" spans="13:20" ht="15" customHeight="1">
      <c r="M94" s="9">
        <v>93</v>
      </c>
      <c r="N94" s="9" t="str">
        <f t="shared" si="15"/>
        <v>B</v>
      </c>
      <c r="O94" s="11">
        <f t="shared" si="16"/>
        <v>4.0599999999999996</v>
      </c>
      <c r="P94" s="12">
        <f t="shared" si="21"/>
        <v>597.17999999999995</v>
      </c>
      <c r="Q94" s="12">
        <f t="shared" si="17"/>
        <v>781.18</v>
      </c>
      <c r="R94" s="9">
        <f t="shared" si="18"/>
        <v>0</v>
      </c>
      <c r="S94" s="9">
        <f t="shared" si="19"/>
        <v>0</v>
      </c>
      <c r="T94" s="9">
        <f t="shared" si="20"/>
        <v>0</v>
      </c>
    </row>
    <row r="95" spans="13:20" ht="15" customHeight="1">
      <c r="M95" s="9">
        <v>94</v>
      </c>
      <c r="N95" s="9" t="str">
        <f t="shared" si="15"/>
        <v>B</v>
      </c>
      <c r="O95" s="11">
        <f t="shared" si="16"/>
        <v>4.0599999999999996</v>
      </c>
      <c r="P95" s="12">
        <f t="shared" si="21"/>
        <v>601.2399999999999</v>
      </c>
      <c r="Q95" s="12">
        <f t="shared" si="17"/>
        <v>787.2399999999999</v>
      </c>
      <c r="R95" s="9">
        <f t="shared" si="18"/>
        <v>0</v>
      </c>
      <c r="S95" s="9">
        <f t="shared" si="19"/>
        <v>0</v>
      </c>
      <c r="T95" s="9">
        <f t="shared" si="20"/>
        <v>0</v>
      </c>
    </row>
    <row r="96" spans="13:20" ht="15" customHeight="1">
      <c r="M96" s="9">
        <v>95</v>
      </c>
      <c r="N96" s="9" t="str">
        <f t="shared" si="15"/>
        <v>B</v>
      </c>
      <c r="O96" s="11">
        <f t="shared" si="16"/>
        <v>4.0599999999999996</v>
      </c>
      <c r="P96" s="12">
        <f t="shared" si="21"/>
        <v>605.29999999999984</v>
      </c>
      <c r="Q96" s="12">
        <f t="shared" si="17"/>
        <v>793.29999999999984</v>
      </c>
      <c r="R96" s="9">
        <f t="shared" si="18"/>
        <v>0</v>
      </c>
      <c r="S96" s="9">
        <f t="shared" si="19"/>
        <v>0</v>
      </c>
      <c r="T96" s="9">
        <f t="shared" si="20"/>
        <v>0</v>
      </c>
    </row>
    <row r="97" spans="13:20" ht="15" customHeight="1">
      <c r="M97" s="9">
        <v>96</v>
      </c>
      <c r="N97" s="9" t="str">
        <f t="shared" si="15"/>
        <v>B</v>
      </c>
      <c r="O97" s="11">
        <f t="shared" si="16"/>
        <v>4.0599999999999996</v>
      </c>
      <c r="P97" s="12">
        <f t="shared" si="21"/>
        <v>609.35999999999979</v>
      </c>
      <c r="Q97" s="12">
        <f t="shared" si="17"/>
        <v>799.35999999999979</v>
      </c>
      <c r="R97" s="9">
        <f t="shared" si="18"/>
        <v>0</v>
      </c>
      <c r="S97" s="9">
        <f t="shared" si="19"/>
        <v>0</v>
      </c>
      <c r="T97" s="9">
        <f t="shared" si="20"/>
        <v>0</v>
      </c>
    </row>
    <row r="98" spans="13:20" ht="15" customHeight="1">
      <c r="M98" s="9">
        <v>97</v>
      </c>
      <c r="N98" s="9" t="str">
        <f t="shared" ref="N98:N129" si="22">IF(MOD(M98-1,$B$4+$B$7)&lt;$B$4,"A","B")</f>
        <v>A</v>
      </c>
      <c r="O98" s="11">
        <f t="shared" ref="O98:O129" si="23">IF(N98="A",$E$3,$E$4)</f>
        <v>10.16</v>
      </c>
      <c r="P98" s="12">
        <f t="shared" si="21"/>
        <v>619.51999999999975</v>
      </c>
      <c r="Q98" s="12">
        <f t="shared" ref="Q98:Q129" si="24">P98+(M98-1)*$B$8</f>
        <v>811.51999999999975</v>
      </c>
      <c r="R98" s="9">
        <f t="shared" ref="R98:R129" si="25">IF(AND(Q98&lt;=$B$9,N98="A"),1,0)</f>
        <v>0</v>
      </c>
      <c r="S98" s="9">
        <f t="shared" ref="S98:S129" si="26">IF(AND(Q98&lt;=$B$9,N98="B"),1,0)</f>
        <v>0</v>
      </c>
      <c r="T98" s="9">
        <f t="shared" ref="T98:T129" si="27">IF(Q98&lt;=$B$9,1,0)</f>
        <v>0</v>
      </c>
    </row>
    <row r="99" spans="13:20" ht="15" customHeight="1">
      <c r="M99" s="9">
        <v>98</v>
      </c>
      <c r="N99" s="9" t="str">
        <f t="shared" si="22"/>
        <v>A</v>
      </c>
      <c r="O99" s="11">
        <f t="shared" si="23"/>
        <v>10.16</v>
      </c>
      <c r="P99" s="12">
        <f t="shared" ref="P99:P130" si="28">P98+O99</f>
        <v>629.67999999999972</v>
      </c>
      <c r="Q99" s="12">
        <f t="shared" si="24"/>
        <v>823.67999999999972</v>
      </c>
      <c r="R99" s="9">
        <f t="shared" si="25"/>
        <v>0</v>
      </c>
      <c r="S99" s="9">
        <f t="shared" si="26"/>
        <v>0</v>
      </c>
      <c r="T99" s="9">
        <f t="shared" si="27"/>
        <v>0</v>
      </c>
    </row>
    <row r="100" spans="13:20" ht="15" customHeight="1">
      <c r="M100" s="9">
        <v>99</v>
      </c>
      <c r="N100" s="9" t="str">
        <f t="shared" si="22"/>
        <v>A</v>
      </c>
      <c r="O100" s="11">
        <f t="shared" si="23"/>
        <v>10.16</v>
      </c>
      <c r="P100" s="12">
        <f t="shared" si="28"/>
        <v>639.83999999999969</v>
      </c>
      <c r="Q100" s="12">
        <f t="shared" si="24"/>
        <v>835.83999999999969</v>
      </c>
      <c r="R100" s="9">
        <f t="shared" si="25"/>
        <v>0</v>
      </c>
      <c r="S100" s="9">
        <f t="shared" si="26"/>
        <v>0</v>
      </c>
      <c r="T100" s="9">
        <f t="shared" si="27"/>
        <v>0</v>
      </c>
    </row>
    <row r="101" spans="13:20" ht="15" customHeight="1">
      <c r="M101" s="9">
        <v>100</v>
      </c>
      <c r="N101" s="9" t="str">
        <f t="shared" si="22"/>
        <v>B</v>
      </c>
      <c r="O101" s="11">
        <f t="shared" si="23"/>
        <v>4.0599999999999996</v>
      </c>
      <c r="P101" s="12">
        <f t="shared" si="28"/>
        <v>643.89999999999964</v>
      </c>
      <c r="Q101" s="12">
        <f t="shared" si="24"/>
        <v>841.89999999999964</v>
      </c>
      <c r="R101" s="9">
        <f t="shared" si="25"/>
        <v>0</v>
      </c>
      <c r="S101" s="9">
        <f t="shared" si="26"/>
        <v>0</v>
      </c>
      <c r="T101" s="9">
        <f t="shared" si="27"/>
        <v>0</v>
      </c>
    </row>
    <row r="102" spans="13:20" ht="15" customHeight="1">
      <c r="M102" s="9">
        <v>101</v>
      </c>
      <c r="N102" s="9" t="str">
        <f t="shared" si="22"/>
        <v>B</v>
      </c>
      <c r="O102" s="11">
        <f t="shared" si="23"/>
        <v>4.0599999999999996</v>
      </c>
      <c r="P102" s="12">
        <f t="shared" si="28"/>
        <v>647.95999999999958</v>
      </c>
      <c r="Q102" s="12">
        <f t="shared" si="24"/>
        <v>847.95999999999958</v>
      </c>
      <c r="R102" s="9">
        <f t="shared" si="25"/>
        <v>0</v>
      </c>
      <c r="S102" s="9">
        <f t="shared" si="26"/>
        <v>0</v>
      </c>
      <c r="T102" s="9">
        <f t="shared" si="27"/>
        <v>0</v>
      </c>
    </row>
    <row r="103" spans="13:20" ht="15" customHeight="1">
      <c r="M103" s="9">
        <v>102</v>
      </c>
      <c r="N103" s="9" t="str">
        <f t="shared" si="22"/>
        <v>B</v>
      </c>
      <c r="O103" s="11">
        <f t="shared" si="23"/>
        <v>4.0599999999999996</v>
      </c>
      <c r="P103" s="12">
        <f t="shared" si="28"/>
        <v>652.01999999999953</v>
      </c>
      <c r="Q103" s="12">
        <f t="shared" si="24"/>
        <v>854.01999999999953</v>
      </c>
      <c r="R103" s="9">
        <f t="shared" si="25"/>
        <v>0</v>
      </c>
      <c r="S103" s="9">
        <f t="shared" si="26"/>
        <v>0</v>
      </c>
      <c r="T103" s="9">
        <f t="shared" si="27"/>
        <v>0</v>
      </c>
    </row>
    <row r="104" spans="13:20" ht="15" customHeight="1">
      <c r="M104" s="9">
        <v>103</v>
      </c>
      <c r="N104" s="9" t="str">
        <f t="shared" si="22"/>
        <v>B</v>
      </c>
      <c r="O104" s="11">
        <f t="shared" si="23"/>
        <v>4.0599999999999996</v>
      </c>
      <c r="P104" s="12">
        <f t="shared" si="28"/>
        <v>656.07999999999947</v>
      </c>
      <c r="Q104" s="12">
        <f t="shared" si="24"/>
        <v>860.07999999999947</v>
      </c>
      <c r="R104" s="9">
        <f t="shared" si="25"/>
        <v>0</v>
      </c>
      <c r="S104" s="9">
        <f t="shared" si="26"/>
        <v>0</v>
      </c>
      <c r="T104" s="9">
        <f t="shared" si="27"/>
        <v>0</v>
      </c>
    </row>
    <row r="105" spans="13:20" ht="15" customHeight="1">
      <c r="M105" s="9">
        <v>104</v>
      </c>
      <c r="N105" s="9" t="str">
        <f t="shared" si="22"/>
        <v>B</v>
      </c>
      <c r="O105" s="11">
        <f t="shared" si="23"/>
        <v>4.0599999999999996</v>
      </c>
      <c r="P105" s="12">
        <f t="shared" si="28"/>
        <v>660.13999999999942</v>
      </c>
      <c r="Q105" s="12">
        <f t="shared" si="24"/>
        <v>866.13999999999942</v>
      </c>
      <c r="R105" s="9">
        <f t="shared" si="25"/>
        <v>0</v>
      </c>
      <c r="S105" s="9">
        <f t="shared" si="26"/>
        <v>0</v>
      </c>
      <c r="T105" s="9">
        <f t="shared" si="27"/>
        <v>0</v>
      </c>
    </row>
    <row r="106" spans="13:20" ht="15" customHeight="1">
      <c r="M106" s="9">
        <v>105</v>
      </c>
      <c r="N106" s="9" t="str">
        <f t="shared" si="22"/>
        <v>A</v>
      </c>
      <c r="O106" s="11">
        <f t="shared" si="23"/>
        <v>10.16</v>
      </c>
      <c r="P106" s="12">
        <f t="shared" si="28"/>
        <v>670.29999999999939</v>
      </c>
      <c r="Q106" s="12">
        <f t="shared" si="24"/>
        <v>878.29999999999939</v>
      </c>
      <c r="R106" s="9">
        <f t="shared" si="25"/>
        <v>0</v>
      </c>
      <c r="S106" s="9">
        <f t="shared" si="26"/>
        <v>0</v>
      </c>
      <c r="T106" s="9">
        <f t="shared" si="27"/>
        <v>0</v>
      </c>
    </row>
    <row r="107" spans="13:20" ht="15" customHeight="1">
      <c r="M107" s="9">
        <v>106</v>
      </c>
      <c r="N107" s="9" t="str">
        <f t="shared" si="22"/>
        <v>A</v>
      </c>
      <c r="O107" s="11">
        <f t="shared" si="23"/>
        <v>10.16</v>
      </c>
      <c r="P107" s="12">
        <f t="shared" si="28"/>
        <v>680.45999999999935</v>
      </c>
      <c r="Q107" s="12">
        <f t="shared" si="24"/>
        <v>890.45999999999935</v>
      </c>
      <c r="R107" s="9">
        <f t="shared" si="25"/>
        <v>0</v>
      </c>
      <c r="S107" s="9">
        <f t="shared" si="26"/>
        <v>0</v>
      </c>
      <c r="T107" s="9">
        <f t="shared" si="27"/>
        <v>0</v>
      </c>
    </row>
    <row r="108" spans="13:20" ht="15" customHeight="1">
      <c r="M108" s="9">
        <v>107</v>
      </c>
      <c r="N108" s="9" t="str">
        <f t="shared" si="22"/>
        <v>A</v>
      </c>
      <c r="O108" s="11">
        <f t="shared" si="23"/>
        <v>10.16</v>
      </c>
      <c r="P108" s="12">
        <f t="shared" si="28"/>
        <v>690.61999999999932</v>
      </c>
      <c r="Q108" s="12">
        <f t="shared" si="24"/>
        <v>902.61999999999932</v>
      </c>
      <c r="R108" s="9">
        <f t="shared" si="25"/>
        <v>0</v>
      </c>
      <c r="S108" s="9">
        <f t="shared" si="26"/>
        <v>0</v>
      </c>
      <c r="T108" s="9">
        <f t="shared" si="27"/>
        <v>0</v>
      </c>
    </row>
    <row r="109" spans="13:20" ht="15" customHeight="1">
      <c r="M109" s="9">
        <v>108</v>
      </c>
      <c r="N109" s="9" t="str">
        <f t="shared" si="22"/>
        <v>B</v>
      </c>
      <c r="O109" s="11">
        <f t="shared" si="23"/>
        <v>4.0599999999999996</v>
      </c>
      <c r="P109" s="12">
        <f t="shared" si="28"/>
        <v>694.67999999999927</v>
      </c>
      <c r="Q109" s="12">
        <f t="shared" si="24"/>
        <v>908.67999999999927</v>
      </c>
      <c r="R109" s="9">
        <f t="shared" si="25"/>
        <v>0</v>
      </c>
      <c r="S109" s="9">
        <f t="shared" si="26"/>
        <v>0</v>
      </c>
      <c r="T109" s="9">
        <f t="shared" si="27"/>
        <v>0</v>
      </c>
    </row>
    <row r="110" spans="13:20" ht="15" customHeight="1">
      <c r="M110" s="9">
        <v>109</v>
      </c>
      <c r="N110" s="9" t="str">
        <f t="shared" si="22"/>
        <v>B</v>
      </c>
      <c r="O110" s="11">
        <f t="shared" si="23"/>
        <v>4.0599999999999996</v>
      </c>
      <c r="P110" s="12">
        <f t="shared" si="28"/>
        <v>698.73999999999921</v>
      </c>
      <c r="Q110" s="12">
        <f t="shared" si="24"/>
        <v>914.73999999999921</v>
      </c>
      <c r="R110" s="9">
        <f t="shared" si="25"/>
        <v>0</v>
      </c>
      <c r="S110" s="9">
        <f t="shared" si="26"/>
        <v>0</v>
      </c>
      <c r="T110" s="9">
        <f t="shared" si="27"/>
        <v>0</v>
      </c>
    </row>
    <row r="111" spans="13:20" ht="15" customHeight="1">
      <c r="M111" s="9">
        <v>110</v>
      </c>
      <c r="N111" s="9" t="str">
        <f t="shared" si="22"/>
        <v>B</v>
      </c>
      <c r="O111" s="11">
        <f t="shared" si="23"/>
        <v>4.0599999999999996</v>
      </c>
      <c r="P111" s="12">
        <f t="shared" si="28"/>
        <v>702.79999999999916</v>
      </c>
      <c r="Q111" s="12">
        <f t="shared" si="24"/>
        <v>920.79999999999916</v>
      </c>
      <c r="R111" s="9">
        <f t="shared" si="25"/>
        <v>0</v>
      </c>
      <c r="S111" s="9">
        <f t="shared" si="26"/>
        <v>0</v>
      </c>
      <c r="T111" s="9">
        <f t="shared" si="27"/>
        <v>0</v>
      </c>
    </row>
    <row r="112" spans="13:20" ht="15" customHeight="1">
      <c r="M112" s="9">
        <v>111</v>
      </c>
      <c r="N112" s="9" t="str">
        <f t="shared" si="22"/>
        <v>B</v>
      </c>
      <c r="O112" s="11">
        <f t="shared" si="23"/>
        <v>4.0599999999999996</v>
      </c>
      <c r="P112" s="12">
        <f t="shared" si="28"/>
        <v>706.8599999999991</v>
      </c>
      <c r="Q112" s="12">
        <f t="shared" si="24"/>
        <v>926.8599999999991</v>
      </c>
      <c r="R112" s="9">
        <f t="shared" si="25"/>
        <v>0</v>
      </c>
      <c r="S112" s="9">
        <f t="shared" si="26"/>
        <v>0</v>
      </c>
      <c r="T112" s="9">
        <f t="shared" si="27"/>
        <v>0</v>
      </c>
    </row>
    <row r="113" spans="13:20" ht="15" customHeight="1">
      <c r="M113" s="9">
        <v>112</v>
      </c>
      <c r="N113" s="9" t="str">
        <f t="shared" si="22"/>
        <v>B</v>
      </c>
      <c r="O113" s="11">
        <f t="shared" si="23"/>
        <v>4.0599999999999996</v>
      </c>
      <c r="P113" s="12">
        <f t="shared" si="28"/>
        <v>710.91999999999905</v>
      </c>
      <c r="Q113" s="12">
        <f t="shared" si="24"/>
        <v>932.91999999999905</v>
      </c>
      <c r="R113" s="9">
        <f t="shared" si="25"/>
        <v>0</v>
      </c>
      <c r="S113" s="9">
        <f t="shared" si="26"/>
        <v>0</v>
      </c>
      <c r="T113" s="9">
        <f t="shared" si="27"/>
        <v>0</v>
      </c>
    </row>
    <row r="114" spans="13:20" ht="15" customHeight="1">
      <c r="M114" s="9">
        <v>113</v>
      </c>
      <c r="N114" s="9" t="str">
        <f t="shared" si="22"/>
        <v>A</v>
      </c>
      <c r="O114" s="11">
        <f t="shared" si="23"/>
        <v>10.16</v>
      </c>
      <c r="P114" s="12">
        <f t="shared" si="28"/>
        <v>721.07999999999902</v>
      </c>
      <c r="Q114" s="12">
        <f t="shared" si="24"/>
        <v>945.07999999999902</v>
      </c>
      <c r="R114" s="9">
        <f t="shared" si="25"/>
        <v>0</v>
      </c>
      <c r="S114" s="9">
        <f t="shared" si="26"/>
        <v>0</v>
      </c>
      <c r="T114" s="9">
        <f t="shared" si="27"/>
        <v>0</v>
      </c>
    </row>
    <row r="115" spans="13:20" ht="15" customHeight="1">
      <c r="M115" s="9">
        <v>114</v>
      </c>
      <c r="N115" s="9" t="str">
        <f t="shared" si="22"/>
        <v>A</v>
      </c>
      <c r="O115" s="11">
        <f t="shared" si="23"/>
        <v>10.16</v>
      </c>
      <c r="P115" s="12">
        <f t="shared" si="28"/>
        <v>731.23999999999899</v>
      </c>
      <c r="Q115" s="12">
        <f t="shared" si="24"/>
        <v>957.23999999999899</v>
      </c>
      <c r="R115" s="9">
        <f t="shared" si="25"/>
        <v>0</v>
      </c>
      <c r="S115" s="9">
        <f t="shared" si="26"/>
        <v>0</v>
      </c>
      <c r="T115" s="9">
        <f t="shared" si="27"/>
        <v>0</v>
      </c>
    </row>
    <row r="116" spans="13:20" ht="15" customHeight="1">
      <c r="M116" s="9">
        <v>115</v>
      </c>
      <c r="N116" s="9" t="str">
        <f t="shared" si="22"/>
        <v>A</v>
      </c>
      <c r="O116" s="11">
        <f t="shared" si="23"/>
        <v>10.16</v>
      </c>
      <c r="P116" s="12">
        <f t="shared" si="28"/>
        <v>741.39999999999895</v>
      </c>
      <c r="Q116" s="12">
        <f t="shared" si="24"/>
        <v>969.39999999999895</v>
      </c>
      <c r="R116" s="9">
        <f t="shared" si="25"/>
        <v>0</v>
      </c>
      <c r="S116" s="9">
        <f t="shared" si="26"/>
        <v>0</v>
      </c>
      <c r="T116" s="9">
        <f t="shared" si="27"/>
        <v>0</v>
      </c>
    </row>
    <row r="117" spans="13:20" ht="15" customHeight="1">
      <c r="M117" s="9">
        <v>116</v>
      </c>
      <c r="N117" s="9" t="str">
        <f t="shared" si="22"/>
        <v>B</v>
      </c>
      <c r="O117" s="11">
        <f t="shared" si="23"/>
        <v>4.0599999999999996</v>
      </c>
      <c r="P117" s="12">
        <f t="shared" si="28"/>
        <v>745.4599999999989</v>
      </c>
      <c r="Q117" s="12">
        <f t="shared" si="24"/>
        <v>975.4599999999989</v>
      </c>
      <c r="R117" s="9">
        <f t="shared" si="25"/>
        <v>0</v>
      </c>
      <c r="S117" s="9">
        <f t="shared" si="26"/>
        <v>0</v>
      </c>
      <c r="T117" s="9">
        <f t="shared" si="27"/>
        <v>0</v>
      </c>
    </row>
    <row r="118" spans="13:20" ht="15" customHeight="1">
      <c r="M118" s="9">
        <v>117</v>
      </c>
      <c r="N118" s="9" t="str">
        <f t="shared" si="22"/>
        <v>B</v>
      </c>
      <c r="O118" s="11">
        <f t="shared" si="23"/>
        <v>4.0599999999999996</v>
      </c>
      <c r="P118" s="12">
        <f t="shared" si="28"/>
        <v>749.51999999999884</v>
      </c>
      <c r="Q118" s="12">
        <f t="shared" si="24"/>
        <v>981.51999999999884</v>
      </c>
      <c r="R118" s="9">
        <f t="shared" si="25"/>
        <v>0</v>
      </c>
      <c r="S118" s="9">
        <f t="shared" si="26"/>
        <v>0</v>
      </c>
      <c r="T118" s="9">
        <f t="shared" si="27"/>
        <v>0</v>
      </c>
    </row>
    <row r="119" spans="13:20" ht="15" customHeight="1">
      <c r="M119" s="9">
        <v>118</v>
      </c>
      <c r="N119" s="9" t="str">
        <f t="shared" si="22"/>
        <v>B</v>
      </c>
      <c r="O119" s="11">
        <f t="shared" si="23"/>
        <v>4.0599999999999996</v>
      </c>
      <c r="P119" s="12">
        <f t="shared" si="28"/>
        <v>753.57999999999879</v>
      </c>
      <c r="Q119" s="12">
        <f t="shared" si="24"/>
        <v>987.57999999999879</v>
      </c>
      <c r="R119" s="9">
        <f t="shared" si="25"/>
        <v>0</v>
      </c>
      <c r="S119" s="9">
        <f t="shared" si="26"/>
        <v>0</v>
      </c>
      <c r="T119" s="9">
        <f t="shared" si="27"/>
        <v>0</v>
      </c>
    </row>
    <row r="120" spans="13:20" ht="15" customHeight="1">
      <c r="M120" s="9">
        <v>119</v>
      </c>
      <c r="N120" s="9" t="str">
        <f t="shared" si="22"/>
        <v>B</v>
      </c>
      <c r="O120" s="11">
        <f t="shared" si="23"/>
        <v>4.0599999999999996</v>
      </c>
      <c r="P120" s="12">
        <f t="shared" si="28"/>
        <v>757.63999999999874</v>
      </c>
      <c r="Q120" s="12">
        <f t="shared" si="24"/>
        <v>993.63999999999874</v>
      </c>
      <c r="R120" s="9">
        <f t="shared" si="25"/>
        <v>0</v>
      </c>
      <c r="S120" s="9">
        <f t="shared" si="26"/>
        <v>0</v>
      </c>
      <c r="T120" s="9">
        <f t="shared" si="27"/>
        <v>0</v>
      </c>
    </row>
    <row r="121" spans="13:20" ht="15" customHeight="1">
      <c r="M121" s="9">
        <v>120</v>
      </c>
      <c r="N121" s="9" t="str">
        <f t="shared" si="22"/>
        <v>B</v>
      </c>
      <c r="O121" s="11">
        <f t="shared" si="23"/>
        <v>4.0599999999999996</v>
      </c>
      <c r="P121" s="12">
        <f t="shared" si="28"/>
        <v>761.69999999999868</v>
      </c>
      <c r="Q121" s="12">
        <f t="shared" si="24"/>
        <v>999.69999999999868</v>
      </c>
      <c r="R121" s="9">
        <f t="shared" si="25"/>
        <v>0</v>
      </c>
      <c r="S121" s="9">
        <f t="shared" si="26"/>
        <v>0</v>
      </c>
      <c r="T121" s="9">
        <f t="shared" si="27"/>
        <v>0</v>
      </c>
    </row>
    <row r="122" spans="13:20" ht="15" customHeight="1">
      <c r="M122" s="9">
        <v>121</v>
      </c>
      <c r="N122" s="9" t="str">
        <f t="shared" si="22"/>
        <v>A</v>
      </c>
      <c r="O122" s="11">
        <f t="shared" si="23"/>
        <v>10.16</v>
      </c>
      <c r="P122" s="12">
        <f t="shared" si="28"/>
        <v>771.85999999999865</v>
      </c>
      <c r="Q122" s="12">
        <f t="shared" si="24"/>
        <v>1011.8599999999986</v>
      </c>
      <c r="R122" s="9">
        <f t="shared" si="25"/>
        <v>0</v>
      </c>
      <c r="S122" s="9">
        <f t="shared" si="26"/>
        <v>0</v>
      </c>
      <c r="T122" s="9">
        <f t="shared" si="27"/>
        <v>0</v>
      </c>
    </row>
    <row r="123" spans="13:20" ht="15" customHeight="1">
      <c r="M123" s="9">
        <v>122</v>
      </c>
      <c r="N123" s="9" t="str">
        <f t="shared" si="22"/>
        <v>A</v>
      </c>
      <c r="O123" s="11">
        <f t="shared" si="23"/>
        <v>10.16</v>
      </c>
      <c r="P123" s="12">
        <f t="shared" si="28"/>
        <v>782.01999999999862</v>
      </c>
      <c r="Q123" s="12">
        <f t="shared" si="24"/>
        <v>1024.0199999999986</v>
      </c>
      <c r="R123" s="9">
        <f t="shared" si="25"/>
        <v>0</v>
      </c>
      <c r="S123" s="9">
        <f t="shared" si="26"/>
        <v>0</v>
      </c>
      <c r="T123" s="9">
        <f t="shared" si="27"/>
        <v>0</v>
      </c>
    </row>
    <row r="124" spans="13:20" ht="15" customHeight="1">
      <c r="M124" s="9">
        <v>123</v>
      </c>
      <c r="N124" s="9" t="str">
        <f t="shared" si="22"/>
        <v>A</v>
      </c>
      <c r="O124" s="11">
        <f t="shared" si="23"/>
        <v>10.16</v>
      </c>
      <c r="P124" s="12">
        <f t="shared" si="28"/>
        <v>792.17999999999859</v>
      </c>
      <c r="Q124" s="12">
        <f t="shared" si="24"/>
        <v>1036.1799999999985</v>
      </c>
      <c r="R124" s="9">
        <f t="shared" si="25"/>
        <v>0</v>
      </c>
      <c r="S124" s="9">
        <f t="shared" si="26"/>
        <v>0</v>
      </c>
      <c r="T124" s="9">
        <f t="shared" si="27"/>
        <v>0</v>
      </c>
    </row>
    <row r="125" spans="13:20" ht="15" customHeight="1">
      <c r="M125" s="9">
        <v>124</v>
      </c>
      <c r="N125" s="9" t="str">
        <f t="shared" si="22"/>
        <v>B</v>
      </c>
      <c r="O125" s="11">
        <f t="shared" si="23"/>
        <v>4.0599999999999996</v>
      </c>
      <c r="P125" s="12">
        <f t="shared" si="28"/>
        <v>796.23999999999853</v>
      </c>
      <c r="Q125" s="12">
        <f t="shared" si="24"/>
        <v>1042.2399999999984</v>
      </c>
      <c r="R125" s="9">
        <f t="shared" si="25"/>
        <v>0</v>
      </c>
      <c r="S125" s="9">
        <f t="shared" si="26"/>
        <v>0</v>
      </c>
      <c r="T125" s="9">
        <f t="shared" si="27"/>
        <v>0</v>
      </c>
    </row>
    <row r="126" spans="13:20" ht="15" customHeight="1">
      <c r="M126" s="9">
        <v>125</v>
      </c>
      <c r="N126" s="9" t="str">
        <f t="shared" si="22"/>
        <v>B</v>
      </c>
      <c r="O126" s="11">
        <f t="shared" si="23"/>
        <v>4.0599999999999996</v>
      </c>
      <c r="P126" s="12">
        <f t="shared" si="28"/>
        <v>800.29999999999848</v>
      </c>
      <c r="Q126" s="12">
        <f t="shared" si="24"/>
        <v>1048.2999999999984</v>
      </c>
      <c r="R126" s="9">
        <f t="shared" si="25"/>
        <v>0</v>
      </c>
      <c r="S126" s="9">
        <f t="shared" si="26"/>
        <v>0</v>
      </c>
      <c r="T126" s="9">
        <f t="shared" si="27"/>
        <v>0</v>
      </c>
    </row>
    <row r="127" spans="13:20" ht="15" customHeight="1">
      <c r="M127" s="9">
        <v>126</v>
      </c>
      <c r="N127" s="9" t="str">
        <f t="shared" si="22"/>
        <v>B</v>
      </c>
      <c r="O127" s="11">
        <f t="shared" si="23"/>
        <v>4.0599999999999996</v>
      </c>
      <c r="P127" s="12">
        <f t="shared" si="28"/>
        <v>804.35999999999842</v>
      </c>
      <c r="Q127" s="12">
        <f t="shared" si="24"/>
        <v>1054.3599999999983</v>
      </c>
      <c r="R127" s="9">
        <f t="shared" si="25"/>
        <v>0</v>
      </c>
      <c r="S127" s="9">
        <f t="shared" si="26"/>
        <v>0</v>
      </c>
      <c r="T127" s="9">
        <f t="shared" si="27"/>
        <v>0</v>
      </c>
    </row>
    <row r="128" spans="13:20" ht="15" customHeight="1">
      <c r="M128" s="9">
        <v>127</v>
      </c>
      <c r="N128" s="9" t="str">
        <f t="shared" si="22"/>
        <v>B</v>
      </c>
      <c r="O128" s="11">
        <f t="shared" si="23"/>
        <v>4.0599999999999996</v>
      </c>
      <c r="P128" s="12">
        <f t="shared" si="28"/>
        <v>808.41999999999837</v>
      </c>
      <c r="Q128" s="12">
        <f t="shared" si="24"/>
        <v>1060.4199999999983</v>
      </c>
      <c r="R128" s="9">
        <f t="shared" si="25"/>
        <v>0</v>
      </c>
      <c r="S128" s="9">
        <f t="shared" si="26"/>
        <v>0</v>
      </c>
      <c r="T128" s="9">
        <f t="shared" si="27"/>
        <v>0</v>
      </c>
    </row>
    <row r="129" spans="13:20" ht="15" customHeight="1">
      <c r="M129" s="9">
        <v>128</v>
      </c>
      <c r="N129" s="9" t="str">
        <f t="shared" si="22"/>
        <v>B</v>
      </c>
      <c r="O129" s="11">
        <f t="shared" si="23"/>
        <v>4.0599999999999996</v>
      </c>
      <c r="P129" s="12">
        <f t="shared" si="28"/>
        <v>812.47999999999831</v>
      </c>
      <c r="Q129" s="12">
        <f t="shared" si="24"/>
        <v>1066.4799999999982</v>
      </c>
      <c r="R129" s="9">
        <f t="shared" si="25"/>
        <v>0</v>
      </c>
      <c r="S129" s="9">
        <f t="shared" si="26"/>
        <v>0</v>
      </c>
      <c r="T129" s="9">
        <f t="shared" si="27"/>
        <v>0</v>
      </c>
    </row>
    <row r="130" spans="13:20" ht="15" customHeight="1">
      <c r="M130" s="9">
        <v>129</v>
      </c>
      <c r="N130" s="9" t="str">
        <f t="shared" ref="N130:N161" si="29">IF(MOD(M130-1,$B$4+$B$7)&lt;$B$4,"A","B")</f>
        <v>A</v>
      </c>
      <c r="O130" s="11">
        <f t="shared" ref="O130:O161" si="30">IF(N130="A",$E$3,$E$4)</f>
        <v>10.16</v>
      </c>
      <c r="P130" s="12">
        <f t="shared" si="28"/>
        <v>822.63999999999828</v>
      </c>
      <c r="Q130" s="12">
        <f t="shared" ref="Q130:Q161" si="31">P130+(M130-1)*$B$8</f>
        <v>1078.6399999999983</v>
      </c>
      <c r="R130" s="9">
        <f t="shared" ref="R130:R161" si="32">IF(AND(Q130&lt;=$B$9,N130="A"),1,0)</f>
        <v>0</v>
      </c>
      <c r="S130" s="9">
        <f t="shared" ref="S130:S161" si="33">IF(AND(Q130&lt;=$B$9,N130="B"),1,0)</f>
        <v>0</v>
      </c>
      <c r="T130" s="9">
        <f t="shared" ref="T130:T161" si="34">IF(Q130&lt;=$B$9,1,0)</f>
        <v>0</v>
      </c>
    </row>
    <row r="131" spans="13:20" ht="15" customHeight="1">
      <c r="M131" s="9">
        <v>130</v>
      </c>
      <c r="N131" s="9" t="str">
        <f t="shared" si="29"/>
        <v>A</v>
      </c>
      <c r="O131" s="11">
        <f t="shared" si="30"/>
        <v>10.16</v>
      </c>
      <c r="P131" s="12">
        <f t="shared" ref="P131:P162" si="35">P130+O131</f>
        <v>832.79999999999825</v>
      </c>
      <c r="Q131" s="12">
        <f t="shared" si="31"/>
        <v>1090.7999999999984</v>
      </c>
      <c r="R131" s="9">
        <f t="shared" si="32"/>
        <v>0</v>
      </c>
      <c r="S131" s="9">
        <f t="shared" si="33"/>
        <v>0</v>
      </c>
      <c r="T131" s="9">
        <f t="shared" si="34"/>
        <v>0</v>
      </c>
    </row>
    <row r="132" spans="13:20" ht="15" customHeight="1">
      <c r="M132" s="9">
        <v>131</v>
      </c>
      <c r="N132" s="9" t="str">
        <f t="shared" si="29"/>
        <v>A</v>
      </c>
      <c r="O132" s="11">
        <f t="shared" si="30"/>
        <v>10.16</v>
      </c>
      <c r="P132" s="12">
        <f t="shared" si="35"/>
        <v>842.95999999999822</v>
      </c>
      <c r="Q132" s="12">
        <f t="shared" si="31"/>
        <v>1102.9599999999982</v>
      </c>
      <c r="R132" s="9">
        <f t="shared" si="32"/>
        <v>0</v>
      </c>
      <c r="S132" s="9">
        <f t="shared" si="33"/>
        <v>0</v>
      </c>
      <c r="T132" s="9">
        <f t="shared" si="34"/>
        <v>0</v>
      </c>
    </row>
    <row r="133" spans="13:20" ht="15" customHeight="1">
      <c r="M133" s="9">
        <v>132</v>
      </c>
      <c r="N133" s="9" t="str">
        <f t="shared" si="29"/>
        <v>B</v>
      </c>
      <c r="O133" s="11">
        <f t="shared" si="30"/>
        <v>4.0599999999999996</v>
      </c>
      <c r="P133" s="12">
        <f t="shared" si="35"/>
        <v>847.01999999999816</v>
      </c>
      <c r="Q133" s="12">
        <f t="shared" si="31"/>
        <v>1109.0199999999982</v>
      </c>
      <c r="R133" s="9">
        <f t="shared" si="32"/>
        <v>0</v>
      </c>
      <c r="S133" s="9">
        <f t="shared" si="33"/>
        <v>0</v>
      </c>
      <c r="T133" s="9">
        <f t="shared" si="34"/>
        <v>0</v>
      </c>
    </row>
    <row r="134" spans="13:20" ht="15" customHeight="1">
      <c r="M134" s="9">
        <v>133</v>
      </c>
      <c r="N134" s="9" t="str">
        <f t="shared" si="29"/>
        <v>B</v>
      </c>
      <c r="O134" s="11">
        <f t="shared" si="30"/>
        <v>4.0599999999999996</v>
      </c>
      <c r="P134" s="12">
        <f t="shared" si="35"/>
        <v>851.07999999999811</v>
      </c>
      <c r="Q134" s="12">
        <f t="shared" si="31"/>
        <v>1115.0799999999981</v>
      </c>
      <c r="R134" s="9">
        <f t="shared" si="32"/>
        <v>0</v>
      </c>
      <c r="S134" s="9">
        <f t="shared" si="33"/>
        <v>0</v>
      </c>
      <c r="T134" s="9">
        <f t="shared" si="34"/>
        <v>0</v>
      </c>
    </row>
    <row r="135" spans="13:20" ht="15" customHeight="1">
      <c r="M135" s="9">
        <v>134</v>
      </c>
      <c r="N135" s="9" t="str">
        <f t="shared" si="29"/>
        <v>B</v>
      </c>
      <c r="O135" s="11">
        <f t="shared" si="30"/>
        <v>4.0599999999999996</v>
      </c>
      <c r="P135" s="12">
        <f t="shared" si="35"/>
        <v>855.13999999999805</v>
      </c>
      <c r="Q135" s="12">
        <f t="shared" si="31"/>
        <v>1121.1399999999981</v>
      </c>
      <c r="R135" s="9">
        <f t="shared" si="32"/>
        <v>0</v>
      </c>
      <c r="S135" s="9">
        <f t="shared" si="33"/>
        <v>0</v>
      </c>
      <c r="T135" s="9">
        <f t="shared" si="34"/>
        <v>0</v>
      </c>
    </row>
    <row r="136" spans="13:20" ht="15" customHeight="1">
      <c r="M136" s="9">
        <v>135</v>
      </c>
      <c r="N136" s="9" t="str">
        <f t="shared" si="29"/>
        <v>B</v>
      </c>
      <c r="O136" s="11">
        <f t="shared" si="30"/>
        <v>4.0599999999999996</v>
      </c>
      <c r="P136" s="12">
        <f t="shared" si="35"/>
        <v>859.199999999998</v>
      </c>
      <c r="Q136" s="12">
        <f t="shared" si="31"/>
        <v>1127.199999999998</v>
      </c>
      <c r="R136" s="9">
        <f t="shared" si="32"/>
        <v>0</v>
      </c>
      <c r="S136" s="9">
        <f t="shared" si="33"/>
        <v>0</v>
      </c>
      <c r="T136" s="9">
        <f t="shared" si="34"/>
        <v>0</v>
      </c>
    </row>
    <row r="137" spans="13:20" ht="15" customHeight="1">
      <c r="M137" s="9">
        <v>136</v>
      </c>
      <c r="N137" s="9" t="str">
        <f t="shared" si="29"/>
        <v>B</v>
      </c>
      <c r="O137" s="11">
        <f t="shared" si="30"/>
        <v>4.0599999999999996</v>
      </c>
      <c r="P137" s="12">
        <f t="shared" si="35"/>
        <v>863.25999999999794</v>
      </c>
      <c r="Q137" s="12">
        <f t="shared" si="31"/>
        <v>1133.2599999999979</v>
      </c>
      <c r="R137" s="9">
        <f t="shared" si="32"/>
        <v>0</v>
      </c>
      <c r="S137" s="9">
        <f t="shared" si="33"/>
        <v>0</v>
      </c>
      <c r="T137" s="9">
        <f t="shared" si="34"/>
        <v>0</v>
      </c>
    </row>
    <row r="138" spans="13:20" ht="15" customHeight="1">
      <c r="M138" s="9">
        <v>137</v>
      </c>
      <c r="N138" s="9" t="str">
        <f t="shared" si="29"/>
        <v>A</v>
      </c>
      <c r="O138" s="11">
        <f t="shared" si="30"/>
        <v>10.16</v>
      </c>
      <c r="P138" s="12">
        <f t="shared" si="35"/>
        <v>873.41999999999791</v>
      </c>
      <c r="Q138" s="12">
        <f t="shared" si="31"/>
        <v>1145.4199999999978</v>
      </c>
      <c r="R138" s="9">
        <f t="shared" si="32"/>
        <v>0</v>
      </c>
      <c r="S138" s="9">
        <f t="shared" si="33"/>
        <v>0</v>
      </c>
      <c r="T138" s="9">
        <f t="shared" si="34"/>
        <v>0</v>
      </c>
    </row>
    <row r="139" spans="13:20" ht="15" customHeight="1">
      <c r="M139" s="9">
        <v>138</v>
      </c>
      <c r="N139" s="9" t="str">
        <f t="shared" si="29"/>
        <v>A</v>
      </c>
      <c r="O139" s="11">
        <f t="shared" si="30"/>
        <v>10.16</v>
      </c>
      <c r="P139" s="12">
        <f t="shared" si="35"/>
        <v>883.57999999999788</v>
      </c>
      <c r="Q139" s="12">
        <f t="shared" si="31"/>
        <v>1157.5799999999979</v>
      </c>
      <c r="R139" s="9">
        <f t="shared" si="32"/>
        <v>0</v>
      </c>
      <c r="S139" s="9">
        <f t="shared" si="33"/>
        <v>0</v>
      </c>
      <c r="T139" s="9">
        <f t="shared" si="34"/>
        <v>0</v>
      </c>
    </row>
    <row r="140" spans="13:20" ht="15" customHeight="1">
      <c r="M140" s="9">
        <v>139</v>
      </c>
      <c r="N140" s="9" t="str">
        <f t="shared" si="29"/>
        <v>A</v>
      </c>
      <c r="O140" s="11">
        <f t="shared" si="30"/>
        <v>10.16</v>
      </c>
      <c r="P140" s="12">
        <f t="shared" si="35"/>
        <v>893.73999999999785</v>
      </c>
      <c r="Q140" s="12">
        <f t="shared" si="31"/>
        <v>1169.739999999998</v>
      </c>
      <c r="R140" s="9">
        <f t="shared" si="32"/>
        <v>0</v>
      </c>
      <c r="S140" s="9">
        <f t="shared" si="33"/>
        <v>0</v>
      </c>
      <c r="T140" s="9">
        <f t="shared" si="34"/>
        <v>0</v>
      </c>
    </row>
    <row r="141" spans="13:20" ht="15" customHeight="1">
      <c r="M141" s="9">
        <v>140</v>
      </c>
      <c r="N141" s="9" t="str">
        <f t="shared" si="29"/>
        <v>B</v>
      </c>
      <c r="O141" s="11">
        <f t="shared" si="30"/>
        <v>4.0599999999999996</v>
      </c>
      <c r="P141" s="12">
        <f t="shared" si="35"/>
        <v>897.79999999999779</v>
      </c>
      <c r="Q141" s="12">
        <f t="shared" si="31"/>
        <v>1175.7999999999979</v>
      </c>
      <c r="R141" s="9">
        <f t="shared" si="32"/>
        <v>0</v>
      </c>
      <c r="S141" s="9">
        <f t="shared" si="33"/>
        <v>0</v>
      </c>
      <c r="T141" s="9">
        <f t="shared" si="34"/>
        <v>0</v>
      </c>
    </row>
    <row r="142" spans="13:20" ht="15" customHeight="1">
      <c r="M142" s="9">
        <v>141</v>
      </c>
      <c r="N142" s="9" t="str">
        <f t="shared" si="29"/>
        <v>B</v>
      </c>
      <c r="O142" s="11">
        <f t="shared" si="30"/>
        <v>4.0599999999999996</v>
      </c>
      <c r="P142" s="12">
        <f t="shared" si="35"/>
        <v>901.85999999999774</v>
      </c>
      <c r="Q142" s="12">
        <f t="shared" si="31"/>
        <v>1181.8599999999979</v>
      </c>
      <c r="R142" s="9">
        <f t="shared" si="32"/>
        <v>0</v>
      </c>
      <c r="S142" s="9">
        <f t="shared" si="33"/>
        <v>0</v>
      </c>
      <c r="T142" s="9">
        <f t="shared" si="34"/>
        <v>0</v>
      </c>
    </row>
    <row r="143" spans="13:20" ht="15" customHeight="1">
      <c r="M143" s="9">
        <v>142</v>
      </c>
      <c r="N143" s="9" t="str">
        <f t="shared" si="29"/>
        <v>B</v>
      </c>
      <c r="O143" s="11">
        <f t="shared" si="30"/>
        <v>4.0599999999999996</v>
      </c>
      <c r="P143" s="12">
        <f t="shared" si="35"/>
        <v>905.91999999999769</v>
      </c>
      <c r="Q143" s="12">
        <f t="shared" si="31"/>
        <v>1187.9199999999978</v>
      </c>
      <c r="R143" s="9">
        <f t="shared" si="32"/>
        <v>0</v>
      </c>
      <c r="S143" s="9">
        <f t="shared" si="33"/>
        <v>0</v>
      </c>
      <c r="T143" s="9">
        <f t="shared" si="34"/>
        <v>0</v>
      </c>
    </row>
    <row r="144" spans="13:20" ht="15" customHeight="1">
      <c r="M144" s="9">
        <v>143</v>
      </c>
      <c r="N144" s="9" t="str">
        <f t="shared" si="29"/>
        <v>B</v>
      </c>
      <c r="O144" s="11">
        <f t="shared" si="30"/>
        <v>4.0599999999999996</v>
      </c>
      <c r="P144" s="12">
        <f t="shared" si="35"/>
        <v>909.97999999999763</v>
      </c>
      <c r="Q144" s="12">
        <f t="shared" si="31"/>
        <v>1193.9799999999977</v>
      </c>
      <c r="R144" s="9">
        <f t="shared" si="32"/>
        <v>0</v>
      </c>
      <c r="S144" s="9">
        <f t="shared" si="33"/>
        <v>0</v>
      </c>
      <c r="T144" s="9">
        <f t="shared" si="34"/>
        <v>0</v>
      </c>
    </row>
    <row r="145" spans="13:20" ht="15" customHeight="1">
      <c r="M145" s="9">
        <v>144</v>
      </c>
      <c r="N145" s="9" t="str">
        <f t="shared" si="29"/>
        <v>B</v>
      </c>
      <c r="O145" s="11">
        <f t="shared" si="30"/>
        <v>4.0599999999999996</v>
      </c>
      <c r="P145" s="12">
        <f t="shared" si="35"/>
        <v>914.03999999999758</v>
      </c>
      <c r="Q145" s="12">
        <f t="shared" si="31"/>
        <v>1200.0399999999977</v>
      </c>
      <c r="R145" s="9">
        <f t="shared" si="32"/>
        <v>0</v>
      </c>
      <c r="S145" s="9">
        <f t="shared" si="33"/>
        <v>0</v>
      </c>
      <c r="T145" s="9">
        <f t="shared" si="34"/>
        <v>0</v>
      </c>
    </row>
    <row r="146" spans="13:20" ht="15" customHeight="1">
      <c r="M146" s="9">
        <v>145</v>
      </c>
      <c r="N146" s="9" t="str">
        <f t="shared" si="29"/>
        <v>A</v>
      </c>
      <c r="O146" s="11">
        <f t="shared" si="30"/>
        <v>10.16</v>
      </c>
      <c r="P146" s="12">
        <f t="shared" si="35"/>
        <v>924.19999999999754</v>
      </c>
      <c r="Q146" s="12">
        <f t="shared" si="31"/>
        <v>1212.1999999999975</v>
      </c>
      <c r="R146" s="9">
        <f t="shared" si="32"/>
        <v>0</v>
      </c>
      <c r="S146" s="9">
        <f t="shared" si="33"/>
        <v>0</v>
      </c>
      <c r="T146" s="9">
        <f t="shared" si="34"/>
        <v>0</v>
      </c>
    </row>
    <row r="147" spans="13:20" ht="15" customHeight="1">
      <c r="M147" s="9">
        <v>146</v>
      </c>
      <c r="N147" s="9" t="str">
        <f t="shared" si="29"/>
        <v>A</v>
      </c>
      <c r="O147" s="11">
        <f t="shared" si="30"/>
        <v>10.16</v>
      </c>
      <c r="P147" s="12">
        <f t="shared" si="35"/>
        <v>934.35999999999751</v>
      </c>
      <c r="Q147" s="12">
        <f t="shared" si="31"/>
        <v>1224.3599999999974</v>
      </c>
      <c r="R147" s="9">
        <f t="shared" si="32"/>
        <v>0</v>
      </c>
      <c r="S147" s="9">
        <f t="shared" si="33"/>
        <v>0</v>
      </c>
      <c r="T147" s="9">
        <f t="shared" si="34"/>
        <v>0</v>
      </c>
    </row>
    <row r="148" spans="13:20" ht="15" customHeight="1">
      <c r="M148" s="9">
        <v>147</v>
      </c>
      <c r="N148" s="9" t="str">
        <f t="shared" si="29"/>
        <v>A</v>
      </c>
      <c r="O148" s="11">
        <f t="shared" si="30"/>
        <v>10.16</v>
      </c>
      <c r="P148" s="12">
        <f t="shared" si="35"/>
        <v>944.51999999999748</v>
      </c>
      <c r="Q148" s="12">
        <f t="shared" si="31"/>
        <v>1236.5199999999975</v>
      </c>
      <c r="R148" s="9">
        <f t="shared" si="32"/>
        <v>0</v>
      </c>
      <c r="S148" s="9">
        <f t="shared" si="33"/>
        <v>0</v>
      </c>
      <c r="T148" s="9">
        <f t="shared" si="34"/>
        <v>0</v>
      </c>
    </row>
    <row r="149" spans="13:20" ht="15" customHeight="1">
      <c r="M149" s="9">
        <v>148</v>
      </c>
      <c r="N149" s="9" t="str">
        <f t="shared" si="29"/>
        <v>B</v>
      </c>
      <c r="O149" s="11">
        <f t="shared" si="30"/>
        <v>4.0599999999999996</v>
      </c>
      <c r="P149" s="12">
        <f t="shared" si="35"/>
        <v>948.57999999999743</v>
      </c>
      <c r="Q149" s="12">
        <f t="shared" si="31"/>
        <v>1242.5799999999974</v>
      </c>
      <c r="R149" s="9">
        <f t="shared" si="32"/>
        <v>0</v>
      </c>
      <c r="S149" s="9">
        <f t="shared" si="33"/>
        <v>0</v>
      </c>
      <c r="T149" s="9">
        <f t="shared" si="34"/>
        <v>0</v>
      </c>
    </row>
    <row r="150" spans="13:20" ht="15" customHeight="1">
      <c r="M150" s="9">
        <v>149</v>
      </c>
      <c r="N150" s="9" t="str">
        <f t="shared" si="29"/>
        <v>B</v>
      </c>
      <c r="O150" s="11">
        <f t="shared" si="30"/>
        <v>4.0599999999999996</v>
      </c>
      <c r="P150" s="12">
        <f t="shared" si="35"/>
        <v>952.63999999999737</v>
      </c>
      <c r="Q150" s="12">
        <f t="shared" si="31"/>
        <v>1248.6399999999974</v>
      </c>
      <c r="R150" s="9">
        <f t="shared" si="32"/>
        <v>0</v>
      </c>
      <c r="S150" s="9">
        <f t="shared" si="33"/>
        <v>0</v>
      </c>
      <c r="T150" s="9">
        <f t="shared" si="34"/>
        <v>0</v>
      </c>
    </row>
    <row r="151" spans="13:20" ht="15" customHeight="1">
      <c r="M151" s="9">
        <v>150</v>
      </c>
      <c r="N151" s="9" t="str">
        <f t="shared" si="29"/>
        <v>B</v>
      </c>
      <c r="O151" s="11">
        <f t="shared" si="30"/>
        <v>4.0599999999999996</v>
      </c>
      <c r="P151" s="12">
        <f t="shared" si="35"/>
        <v>956.69999999999732</v>
      </c>
      <c r="Q151" s="12">
        <f t="shared" si="31"/>
        <v>1254.6999999999973</v>
      </c>
      <c r="R151" s="9">
        <f t="shared" si="32"/>
        <v>0</v>
      </c>
      <c r="S151" s="9">
        <f t="shared" si="33"/>
        <v>0</v>
      </c>
      <c r="T151" s="9">
        <f t="shared" si="34"/>
        <v>0</v>
      </c>
    </row>
    <row r="152" spans="13:20" ht="15" customHeight="1">
      <c r="M152" s="9">
        <v>151</v>
      </c>
      <c r="N152" s="9" t="str">
        <f t="shared" si="29"/>
        <v>B</v>
      </c>
      <c r="O152" s="11">
        <f t="shared" si="30"/>
        <v>4.0599999999999996</v>
      </c>
      <c r="P152" s="12">
        <f t="shared" si="35"/>
        <v>960.75999999999726</v>
      </c>
      <c r="Q152" s="12">
        <f t="shared" si="31"/>
        <v>1260.7599999999973</v>
      </c>
      <c r="R152" s="9">
        <f t="shared" si="32"/>
        <v>0</v>
      </c>
      <c r="S152" s="9">
        <f t="shared" si="33"/>
        <v>0</v>
      </c>
      <c r="T152" s="9">
        <f t="shared" si="34"/>
        <v>0</v>
      </c>
    </row>
    <row r="153" spans="13:20" ht="15" customHeight="1">
      <c r="M153" s="9">
        <v>152</v>
      </c>
      <c r="N153" s="9" t="str">
        <f t="shared" si="29"/>
        <v>B</v>
      </c>
      <c r="O153" s="11">
        <f t="shared" si="30"/>
        <v>4.0599999999999996</v>
      </c>
      <c r="P153" s="12">
        <f t="shared" si="35"/>
        <v>964.81999999999721</v>
      </c>
      <c r="Q153" s="12">
        <f t="shared" si="31"/>
        <v>1266.8199999999972</v>
      </c>
      <c r="R153" s="9">
        <f t="shared" si="32"/>
        <v>0</v>
      </c>
      <c r="S153" s="9">
        <f t="shared" si="33"/>
        <v>0</v>
      </c>
      <c r="T153" s="9">
        <f t="shared" si="34"/>
        <v>0</v>
      </c>
    </row>
    <row r="154" spans="13:20" ht="15" customHeight="1">
      <c r="M154" s="9">
        <v>153</v>
      </c>
      <c r="N154" s="9" t="str">
        <f t="shared" si="29"/>
        <v>A</v>
      </c>
      <c r="O154" s="11">
        <f t="shared" si="30"/>
        <v>10.16</v>
      </c>
      <c r="P154" s="12">
        <f t="shared" si="35"/>
        <v>974.97999999999718</v>
      </c>
      <c r="Q154" s="12">
        <f t="shared" si="31"/>
        <v>1278.9799999999973</v>
      </c>
      <c r="R154" s="9">
        <f t="shared" si="32"/>
        <v>0</v>
      </c>
      <c r="S154" s="9">
        <f t="shared" si="33"/>
        <v>0</v>
      </c>
      <c r="T154" s="9">
        <f t="shared" si="34"/>
        <v>0</v>
      </c>
    </row>
    <row r="155" spans="13:20" ht="15" customHeight="1">
      <c r="M155" s="9">
        <v>154</v>
      </c>
      <c r="N155" s="9" t="str">
        <f t="shared" si="29"/>
        <v>A</v>
      </c>
      <c r="O155" s="11">
        <f t="shared" si="30"/>
        <v>10.16</v>
      </c>
      <c r="P155" s="12">
        <f t="shared" si="35"/>
        <v>985.13999999999714</v>
      </c>
      <c r="Q155" s="12">
        <f t="shared" si="31"/>
        <v>1291.1399999999971</v>
      </c>
      <c r="R155" s="9">
        <f t="shared" si="32"/>
        <v>0</v>
      </c>
      <c r="S155" s="9">
        <f t="shared" si="33"/>
        <v>0</v>
      </c>
      <c r="T155" s="9">
        <f t="shared" si="34"/>
        <v>0</v>
      </c>
    </row>
    <row r="156" spans="13:20" ht="15" customHeight="1">
      <c r="M156" s="9">
        <v>155</v>
      </c>
      <c r="N156" s="9" t="str">
        <f t="shared" si="29"/>
        <v>A</v>
      </c>
      <c r="O156" s="11">
        <f t="shared" si="30"/>
        <v>10.16</v>
      </c>
      <c r="P156" s="12">
        <f t="shared" si="35"/>
        <v>995.29999999999711</v>
      </c>
      <c r="Q156" s="12">
        <f t="shared" si="31"/>
        <v>1303.299999999997</v>
      </c>
      <c r="R156" s="9">
        <f t="shared" si="32"/>
        <v>0</v>
      </c>
      <c r="S156" s="9">
        <f t="shared" si="33"/>
        <v>0</v>
      </c>
      <c r="T156" s="9">
        <f t="shared" si="34"/>
        <v>0</v>
      </c>
    </row>
    <row r="157" spans="13:20" ht="15" customHeight="1">
      <c r="M157" s="9">
        <v>156</v>
      </c>
      <c r="N157" s="9" t="str">
        <f t="shared" si="29"/>
        <v>B</v>
      </c>
      <c r="O157" s="11">
        <f t="shared" si="30"/>
        <v>4.0599999999999996</v>
      </c>
      <c r="P157" s="12">
        <f t="shared" si="35"/>
        <v>999.35999999999706</v>
      </c>
      <c r="Q157" s="12">
        <f t="shared" si="31"/>
        <v>1309.3599999999969</v>
      </c>
      <c r="R157" s="9">
        <f t="shared" si="32"/>
        <v>0</v>
      </c>
      <c r="S157" s="9">
        <f t="shared" si="33"/>
        <v>0</v>
      </c>
      <c r="T157" s="9">
        <f t="shared" si="34"/>
        <v>0</v>
      </c>
    </row>
    <row r="158" spans="13:20" ht="15" customHeight="1">
      <c r="M158" s="9">
        <v>157</v>
      </c>
      <c r="N158" s="9" t="str">
        <f t="shared" si="29"/>
        <v>B</v>
      </c>
      <c r="O158" s="11">
        <f t="shared" si="30"/>
        <v>4.0599999999999996</v>
      </c>
      <c r="P158" s="12">
        <f t="shared" si="35"/>
        <v>1003.419999999997</v>
      </c>
      <c r="Q158" s="12">
        <f t="shared" si="31"/>
        <v>1315.4199999999969</v>
      </c>
      <c r="R158" s="9">
        <f t="shared" si="32"/>
        <v>0</v>
      </c>
      <c r="S158" s="9">
        <f t="shared" si="33"/>
        <v>0</v>
      </c>
      <c r="T158" s="9">
        <f t="shared" si="34"/>
        <v>0</v>
      </c>
    </row>
    <row r="159" spans="13:20" ht="15" customHeight="1">
      <c r="M159" s="9">
        <v>158</v>
      </c>
      <c r="N159" s="9" t="str">
        <f t="shared" si="29"/>
        <v>B</v>
      </c>
      <c r="O159" s="11">
        <f t="shared" si="30"/>
        <v>4.0599999999999996</v>
      </c>
      <c r="P159" s="12">
        <f t="shared" si="35"/>
        <v>1007.4799999999969</v>
      </c>
      <c r="Q159" s="12">
        <f t="shared" si="31"/>
        <v>1321.4799999999968</v>
      </c>
      <c r="R159" s="9">
        <f t="shared" si="32"/>
        <v>0</v>
      </c>
      <c r="S159" s="9">
        <f t="shared" si="33"/>
        <v>0</v>
      </c>
      <c r="T159" s="9">
        <f t="shared" si="34"/>
        <v>0</v>
      </c>
    </row>
    <row r="160" spans="13:20" ht="15" customHeight="1">
      <c r="M160" s="9">
        <v>159</v>
      </c>
      <c r="N160" s="9" t="str">
        <f t="shared" si="29"/>
        <v>B</v>
      </c>
      <c r="O160" s="11">
        <f t="shared" si="30"/>
        <v>4.0599999999999996</v>
      </c>
      <c r="P160" s="12">
        <f t="shared" si="35"/>
        <v>1011.5399999999969</v>
      </c>
      <c r="Q160" s="12">
        <f t="shared" si="31"/>
        <v>1327.5399999999968</v>
      </c>
      <c r="R160" s="9">
        <f t="shared" si="32"/>
        <v>0</v>
      </c>
      <c r="S160" s="9">
        <f t="shared" si="33"/>
        <v>0</v>
      </c>
      <c r="T160" s="9">
        <f t="shared" si="34"/>
        <v>0</v>
      </c>
    </row>
    <row r="161" spans="13:20" ht="15" customHeight="1">
      <c r="M161" s="9">
        <v>160</v>
      </c>
      <c r="N161" s="9" t="str">
        <f t="shared" si="29"/>
        <v>B</v>
      </c>
      <c r="O161" s="11">
        <f t="shared" si="30"/>
        <v>4.0599999999999996</v>
      </c>
      <c r="P161" s="12">
        <f t="shared" si="35"/>
        <v>1015.5999999999968</v>
      </c>
      <c r="Q161" s="12">
        <f t="shared" si="31"/>
        <v>1333.5999999999967</v>
      </c>
      <c r="R161" s="9">
        <f t="shared" si="32"/>
        <v>0</v>
      </c>
      <c r="S161" s="9">
        <f t="shared" si="33"/>
        <v>0</v>
      </c>
      <c r="T161" s="9">
        <f t="shared" si="34"/>
        <v>0</v>
      </c>
    </row>
    <row r="162" spans="13:20" ht="15" customHeight="1">
      <c r="M162" s="9">
        <v>161</v>
      </c>
      <c r="N162" s="9" t="str">
        <f t="shared" ref="N162:N193" si="36">IF(MOD(M162-1,$B$4+$B$7)&lt;$B$4,"A","B")</f>
        <v>A</v>
      </c>
      <c r="O162" s="11">
        <f t="shared" ref="O162:O193" si="37">IF(N162="A",$E$3,$E$4)</f>
        <v>10.16</v>
      </c>
      <c r="P162" s="12">
        <f t="shared" si="35"/>
        <v>1025.7599999999968</v>
      </c>
      <c r="Q162" s="12">
        <f t="shared" ref="Q162:Q193" si="38">P162+(M162-1)*$B$8</f>
        <v>1345.7599999999968</v>
      </c>
      <c r="R162" s="9">
        <f t="shared" ref="R162:R193" si="39">IF(AND(Q162&lt;=$B$9,N162="A"),1,0)</f>
        <v>0</v>
      </c>
      <c r="S162" s="9">
        <f t="shared" ref="S162:S193" si="40">IF(AND(Q162&lt;=$B$9,N162="B"),1,0)</f>
        <v>0</v>
      </c>
      <c r="T162" s="9">
        <f t="shared" ref="T162:T193" si="41">IF(Q162&lt;=$B$9,1,0)</f>
        <v>0</v>
      </c>
    </row>
    <row r="163" spans="13:20" ht="15" customHeight="1">
      <c r="M163" s="9">
        <v>162</v>
      </c>
      <c r="N163" s="9" t="str">
        <f t="shared" si="36"/>
        <v>A</v>
      </c>
      <c r="O163" s="11">
        <f t="shared" si="37"/>
        <v>10.16</v>
      </c>
      <c r="P163" s="12">
        <f t="shared" ref="P163:P194" si="42">P162+O163</f>
        <v>1035.9199999999969</v>
      </c>
      <c r="Q163" s="12">
        <f t="shared" si="38"/>
        <v>1357.9199999999969</v>
      </c>
      <c r="R163" s="9">
        <f t="shared" si="39"/>
        <v>0</v>
      </c>
      <c r="S163" s="9">
        <f t="shared" si="40"/>
        <v>0</v>
      </c>
      <c r="T163" s="9">
        <f t="shared" si="41"/>
        <v>0</v>
      </c>
    </row>
    <row r="164" spans="13:20" ht="15" customHeight="1">
      <c r="M164" s="9">
        <v>163</v>
      </c>
      <c r="N164" s="9" t="str">
        <f t="shared" si="36"/>
        <v>A</v>
      </c>
      <c r="O164" s="11">
        <f t="shared" si="37"/>
        <v>10.16</v>
      </c>
      <c r="P164" s="12">
        <f t="shared" si="42"/>
        <v>1046.079999999997</v>
      </c>
      <c r="Q164" s="12">
        <f t="shared" si="38"/>
        <v>1370.079999999997</v>
      </c>
      <c r="R164" s="9">
        <f t="shared" si="39"/>
        <v>0</v>
      </c>
      <c r="S164" s="9">
        <f t="shared" si="40"/>
        <v>0</v>
      </c>
      <c r="T164" s="9">
        <f t="shared" si="41"/>
        <v>0</v>
      </c>
    </row>
    <row r="165" spans="13:20" ht="15" customHeight="1">
      <c r="M165" s="9">
        <v>164</v>
      </c>
      <c r="N165" s="9" t="str">
        <f t="shared" si="36"/>
        <v>B</v>
      </c>
      <c r="O165" s="11">
        <f t="shared" si="37"/>
        <v>4.0599999999999996</v>
      </c>
      <c r="P165" s="12">
        <f t="shared" si="42"/>
        <v>1050.1399999999969</v>
      </c>
      <c r="Q165" s="12">
        <f t="shared" si="38"/>
        <v>1376.1399999999969</v>
      </c>
      <c r="R165" s="9">
        <f t="shared" si="39"/>
        <v>0</v>
      </c>
      <c r="S165" s="9">
        <f t="shared" si="40"/>
        <v>0</v>
      </c>
      <c r="T165" s="9">
        <f t="shared" si="41"/>
        <v>0</v>
      </c>
    </row>
    <row r="166" spans="13:20" ht="15" customHeight="1">
      <c r="M166" s="9">
        <v>165</v>
      </c>
      <c r="N166" s="9" t="str">
        <f t="shared" si="36"/>
        <v>B</v>
      </c>
      <c r="O166" s="11">
        <f t="shared" si="37"/>
        <v>4.0599999999999996</v>
      </c>
      <c r="P166" s="12">
        <f t="shared" si="42"/>
        <v>1054.1999999999969</v>
      </c>
      <c r="Q166" s="12">
        <f t="shared" si="38"/>
        <v>1382.1999999999969</v>
      </c>
      <c r="R166" s="9">
        <f t="shared" si="39"/>
        <v>0</v>
      </c>
      <c r="S166" s="9">
        <f t="shared" si="40"/>
        <v>0</v>
      </c>
      <c r="T166" s="9">
        <f t="shared" si="41"/>
        <v>0</v>
      </c>
    </row>
    <row r="167" spans="13:20" ht="15" customHeight="1">
      <c r="M167" s="9">
        <v>166</v>
      </c>
      <c r="N167" s="9" t="str">
        <f t="shared" si="36"/>
        <v>B</v>
      </c>
      <c r="O167" s="11">
        <f t="shared" si="37"/>
        <v>4.0599999999999996</v>
      </c>
      <c r="P167" s="12">
        <f t="shared" si="42"/>
        <v>1058.2599999999968</v>
      </c>
      <c r="Q167" s="12">
        <f t="shared" si="38"/>
        <v>1388.2599999999968</v>
      </c>
      <c r="R167" s="9">
        <f t="shared" si="39"/>
        <v>0</v>
      </c>
      <c r="S167" s="9">
        <f t="shared" si="40"/>
        <v>0</v>
      </c>
      <c r="T167" s="9">
        <f t="shared" si="41"/>
        <v>0</v>
      </c>
    </row>
    <row r="168" spans="13:20" ht="15" customHeight="1">
      <c r="M168" s="9">
        <v>167</v>
      </c>
      <c r="N168" s="9" t="str">
        <f t="shared" si="36"/>
        <v>B</v>
      </c>
      <c r="O168" s="11">
        <f t="shared" si="37"/>
        <v>4.0599999999999996</v>
      </c>
      <c r="P168" s="12">
        <f t="shared" si="42"/>
        <v>1062.3199999999968</v>
      </c>
      <c r="Q168" s="12">
        <f t="shared" si="38"/>
        <v>1394.3199999999968</v>
      </c>
      <c r="R168" s="9">
        <f t="shared" si="39"/>
        <v>0</v>
      </c>
      <c r="S168" s="9">
        <f t="shared" si="40"/>
        <v>0</v>
      </c>
      <c r="T168" s="9">
        <f t="shared" si="41"/>
        <v>0</v>
      </c>
    </row>
    <row r="169" spans="13:20" ht="15" customHeight="1">
      <c r="M169" s="9">
        <v>168</v>
      </c>
      <c r="N169" s="9" t="str">
        <f t="shared" si="36"/>
        <v>B</v>
      </c>
      <c r="O169" s="11">
        <f t="shared" si="37"/>
        <v>4.0599999999999996</v>
      </c>
      <c r="P169" s="12">
        <f t="shared" si="42"/>
        <v>1066.3799999999967</v>
      </c>
      <c r="Q169" s="12">
        <f t="shared" si="38"/>
        <v>1400.3799999999967</v>
      </c>
      <c r="R169" s="9">
        <f t="shared" si="39"/>
        <v>0</v>
      </c>
      <c r="S169" s="9">
        <f t="shared" si="40"/>
        <v>0</v>
      </c>
      <c r="T169" s="9">
        <f t="shared" si="41"/>
        <v>0</v>
      </c>
    </row>
    <row r="170" spans="13:20" ht="15" customHeight="1">
      <c r="M170" s="9">
        <v>169</v>
      </c>
      <c r="N170" s="9" t="str">
        <f t="shared" si="36"/>
        <v>A</v>
      </c>
      <c r="O170" s="11">
        <f t="shared" si="37"/>
        <v>10.16</v>
      </c>
      <c r="P170" s="12">
        <f t="shared" si="42"/>
        <v>1076.5399999999968</v>
      </c>
      <c r="Q170" s="12">
        <f t="shared" si="38"/>
        <v>1412.5399999999968</v>
      </c>
      <c r="R170" s="9">
        <f t="shared" si="39"/>
        <v>0</v>
      </c>
      <c r="S170" s="9">
        <f t="shared" si="40"/>
        <v>0</v>
      </c>
      <c r="T170" s="9">
        <f t="shared" si="41"/>
        <v>0</v>
      </c>
    </row>
    <row r="171" spans="13:20" ht="15" customHeight="1">
      <c r="M171" s="9">
        <v>170</v>
      </c>
      <c r="N171" s="9" t="str">
        <f t="shared" si="36"/>
        <v>A</v>
      </c>
      <c r="O171" s="11">
        <f t="shared" si="37"/>
        <v>10.16</v>
      </c>
      <c r="P171" s="12">
        <f t="shared" si="42"/>
        <v>1086.6999999999969</v>
      </c>
      <c r="Q171" s="12">
        <f t="shared" si="38"/>
        <v>1424.6999999999969</v>
      </c>
      <c r="R171" s="9">
        <f t="shared" si="39"/>
        <v>0</v>
      </c>
      <c r="S171" s="9">
        <f t="shared" si="40"/>
        <v>0</v>
      </c>
      <c r="T171" s="9">
        <f t="shared" si="41"/>
        <v>0</v>
      </c>
    </row>
    <row r="172" spans="13:20" ht="15" customHeight="1">
      <c r="M172" s="9">
        <v>171</v>
      </c>
      <c r="N172" s="9" t="str">
        <f t="shared" si="36"/>
        <v>A</v>
      </c>
      <c r="O172" s="11">
        <f t="shared" si="37"/>
        <v>10.16</v>
      </c>
      <c r="P172" s="12">
        <f t="shared" si="42"/>
        <v>1096.8599999999969</v>
      </c>
      <c r="Q172" s="12">
        <f t="shared" si="38"/>
        <v>1436.8599999999969</v>
      </c>
      <c r="R172" s="9">
        <f t="shared" si="39"/>
        <v>0</v>
      </c>
      <c r="S172" s="9">
        <f t="shared" si="40"/>
        <v>0</v>
      </c>
      <c r="T172" s="9">
        <f t="shared" si="41"/>
        <v>0</v>
      </c>
    </row>
    <row r="173" spans="13:20" ht="15" customHeight="1">
      <c r="M173" s="9">
        <v>172</v>
      </c>
      <c r="N173" s="9" t="str">
        <f t="shared" si="36"/>
        <v>B</v>
      </c>
      <c r="O173" s="11">
        <f t="shared" si="37"/>
        <v>4.0599999999999996</v>
      </c>
      <c r="P173" s="12">
        <f t="shared" si="42"/>
        <v>1100.9199999999969</v>
      </c>
      <c r="Q173" s="12">
        <f t="shared" si="38"/>
        <v>1442.9199999999969</v>
      </c>
      <c r="R173" s="9">
        <f t="shared" si="39"/>
        <v>0</v>
      </c>
      <c r="S173" s="9">
        <f t="shared" si="40"/>
        <v>0</v>
      </c>
      <c r="T173" s="9">
        <f t="shared" si="41"/>
        <v>0</v>
      </c>
    </row>
    <row r="174" spans="13:20" ht="15" customHeight="1">
      <c r="M174" s="9">
        <v>173</v>
      </c>
      <c r="N174" s="9" t="str">
        <f t="shared" si="36"/>
        <v>B</v>
      </c>
      <c r="O174" s="11">
        <f t="shared" si="37"/>
        <v>4.0599999999999996</v>
      </c>
      <c r="P174" s="12">
        <f t="shared" si="42"/>
        <v>1104.9799999999968</v>
      </c>
      <c r="Q174" s="12">
        <f t="shared" si="38"/>
        <v>1448.9799999999968</v>
      </c>
      <c r="R174" s="9">
        <f t="shared" si="39"/>
        <v>0</v>
      </c>
      <c r="S174" s="9">
        <f t="shared" si="40"/>
        <v>0</v>
      </c>
      <c r="T174" s="9">
        <f t="shared" si="41"/>
        <v>0</v>
      </c>
    </row>
    <row r="175" spans="13:20" ht="15" customHeight="1">
      <c r="M175" s="9">
        <v>174</v>
      </c>
      <c r="N175" s="9" t="str">
        <f t="shared" si="36"/>
        <v>B</v>
      </c>
      <c r="O175" s="11">
        <f t="shared" si="37"/>
        <v>4.0599999999999996</v>
      </c>
      <c r="P175" s="12">
        <f t="shared" si="42"/>
        <v>1109.0399999999968</v>
      </c>
      <c r="Q175" s="12">
        <f t="shared" si="38"/>
        <v>1455.0399999999968</v>
      </c>
      <c r="R175" s="9">
        <f t="shared" si="39"/>
        <v>0</v>
      </c>
      <c r="S175" s="9">
        <f t="shared" si="40"/>
        <v>0</v>
      </c>
      <c r="T175" s="9">
        <f t="shared" si="41"/>
        <v>0</v>
      </c>
    </row>
    <row r="176" spans="13:20" ht="15" customHeight="1">
      <c r="M176" s="9">
        <v>175</v>
      </c>
      <c r="N176" s="9" t="str">
        <f t="shared" si="36"/>
        <v>B</v>
      </c>
      <c r="O176" s="11">
        <f t="shared" si="37"/>
        <v>4.0599999999999996</v>
      </c>
      <c r="P176" s="12">
        <f t="shared" si="42"/>
        <v>1113.0999999999967</v>
      </c>
      <c r="Q176" s="12">
        <f t="shared" si="38"/>
        <v>1461.0999999999967</v>
      </c>
      <c r="R176" s="9">
        <f t="shared" si="39"/>
        <v>0</v>
      </c>
      <c r="S176" s="9">
        <f t="shared" si="40"/>
        <v>0</v>
      </c>
      <c r="T176" s="9">
        <f t="shared" si="41"/>
        <v>0</v>
      </c>
    </row>
    <row r="177" spans="13:20" ht="15" customHeight="1">
      <c r="M177" s="9">
        <v>176</v>
      </c>
      <c r="N177" s="9" t="str">
        <f t="shared" si="36"/>
        <v>B</v>
      </c>
      <c r="O177" s="11">
        <f t="shared" si="37"/>
        <v>4.0599999999999996</v>
      </c>
      <c r="P177" s="12">
        <f t="shared" si="42"/>
        <v>1117.1599999999967</v>
      </c>
      <c r="Q177" s="12">
        <f t="shared" si="38"/>
        <v>1467.1599999999967</v>
      </c>
      <c r="R177" s="9">
        <f t="shared" si="39"/>
        <v>0</v>
      </c>
      <c r="S177" s="9">
        <f t="shared" si="40"/>
        <v>0</v>
      </c>
      <c r="T177" s="9">
        <f t="shared" si="41"/>
        <v>0</v>
      </c>
    </row>
    <row r="178" spans="13:20" ht="15" customHeight="1">
      <c r="M178" s="9">
        <v>177</v>
      </c>
      <c r="N178" s="9" t="str">
        <f t="shared" si="36"/>
        <v>A</v>
      </c>
      <c r="O178" s="11">
        <f t="shared" si="37"/>
        <v>10.16</v>
      </c>
      <c r="P178" s="12">
        <f t="shared" si="42"/>
        <v>1127.3199999999968</v>
      </c>
      <c r="Q178" s="12">
        <f t="shared" si="38"/>
        <v>1479.3199999999968</v>
      </c>
      <c r="R178" s="9">
        <f t="shared" si="39"/>
        <v>0</v>
      </c>
      <c r="S178" s="9">
        <f t="shared" si="40"/>
        <v>0</v>
      </c>
      <c r="T178" s="9">
        <f t="shared" si="41"/>
        <v>0</v>
      </c>
    </row>
    <row r="179" spans="13:20" ht="15" customHeight="1">
      <c r="M179" s="9">
        <v>178</v>
      </c>
      <c r="N179" s="9" t="str">
        <f t="shared" si="36"/>
        <v>A</v>
      </c>
      <c r="O179" s="11">
        <f t="shared" si="37"/>
        <v>10.16</v>
      </c>
      <c r="P179" s="12">
        <f t="shared" si="42"/>
        <v>1137.4799999999968</v>
      </c>
      <c r="Q179" s="12">
        <f t="shared" si="38"/>
        <v>1491.4799999999968</v>
      </c>
      <c r="R179" s="9">
        <f t="shared" si="39"/>
        <v>0</v>
      </c>
      <c r="S179" s="9">
        <f t="shared" si="40"/>
        <v>0</v>
      </c>
      <c r="T179" s="9">
        <f t="shared" si="41"/>
        <v>0</v>
      </c>
    </row>
    <row r="180" spans="13:20" ht="15" customHeight="1">
      <c r="M180" s="9">
        <v>179</v>
      </c>
      <c r="N180" s="9" t="str">
        <f t="shared" si="36"/>
        <v>A</v>
      </c>
      <c r="O180" s="11">
        <f t="shared" si="37"/>
        <v>10.16</v>
      </c>
      <c r="P180" s="12">
        <f t="shared" si="42"/>
        <v>1147.6399999999969</v>
      </c>
      <c r="Q180" s="12">
        <f t="shared" si="38"/>
        <v>1503.6399999999969</v>
      </c>
      <c r="R180" s="9">
        <f t="shared" si="39"/>
        <v>0</v>
      </c>
      <c r="S180" s="9">
        <f t="shared" si="40"/>
        <v>0</v>
      </c>
      <c r="T180" s="9">
        <f t="shared" si="41"/>
        <v>0</v>
      </c>
    </row>
    <row r="181" spans="13:20" ht="15" customHeight="1">
      <c r="M181" s="9">
        <v>180</v>
      </c>
      <c r="N181" s="9" t="str">
        <f t="shared" si="36"/>
        <v>B</v>
      </c>
      <c r="O181" s="11">
        <f t="shared" si="37"/>
        <v>4.0599999999999996</v>
      </c>
      <c r="P181" s="12">
        <f t="shared" si="42"/>
        <v>1151.6999999999969</v>
      </c>
      <c r="Q181" s="12">
        <f t="shared" si="38"/>
        <v>1509.6999999999969</v>
      </c>
      <c r="R181" s="9">
        <f t="shared" si="39"/>
        <v>0</v>
      </c>
      <c r="S181" s="9">
        <f t="shared" si="40"/>
        <v>0</v>
      </c>
      <c r="T181" s="9">
        <f t="shared" si="41"/>
        <v>0</v>
      </c>
    </row>
    <row r="182" spans="13:20" ht="15" customHeight="1">
      <c r="M182" s="9">
        <v>181</v>
      </c>
      <c r="N182" s="9" t="str">
        <f t="shared" si="36"/>
        <v>B</v>
      </c>
      <c r="O182" s="11">
        <f t="shared" si="37"/>
        <v>4.0599999999999996</v>
      </c>
      <c r="P182" s="12">
        <f t="shared" si="42"/>
        <v>1155.7599999999968</v>
      </c>
      <c r="Q182" s="12">
        <f t="shared" si="38"/>
        <v>1515.7599999999968</v>
      </c>
      <c r="R182" s="9">
        <f t="shared" si="39"/>
        <v>0</v>
      </c>
      <c r="S182" s="9">
        <f t="shared" si="40"/>
        <v>0</v>
      </c>
      <c r="T182" s="9">
        <f t="shared" si="41"/>
        <v>0</v>
      </c>
    </row>
    <row r="183" spans="13:20" ht="15" customHeight="1">
      <c r="M183" s="9">
        <v>182</v>
      </c>
      <c r="N183" s="9" t="str">
        <f t="shared" si="36"/>
        <v>B</v>
      </c>
      <c r="O183" s="11">
        <f t="shared" si="37"/>
        <v>4.0599999999999996</v>
      </c>
      <c r="P183" s="12">
        <f t="shared" si="42"/>
        <v>1159.8199999999968</v>
      </c>
      <c r="Q183" s="12">
        <f t="shared" si="38"/>
        <v>1521.8199999999968</v>
      </c>
      <c r="R183" s="9">
        <f t="shared" si="39"/>
        <v>0</v>
      </c>
      <c r="S183" s="9">
        <f t="shared" si="40"/>
        <v>0</v>
      </c>
      <c r="T183" s="9">
        <f t="shared" si="41"/>
        <v>0</v>
      </c>
    </row>
    <row r="184" spans="13:20" ht="15" customHeight="1">
      <c r="M184" s="9">
        <v>183</v>
      </c>
      <c r="N184" s="9" t="str">
        <f t="shared" si="36"/>
        <v>B</v>
      </c>
      <c r="O184" s="11">
        <f t="shared" si="37"/>
        <v>4.0599999999999996</v>
      </c>
      <c r="P184" s="12">
        <f t="shared" si="42"/>
        <v>1163.8799999999967</v>
      </c>
      <c r="Q184" s="12">
        <f t="shared" si="38"/>
        <v>1527.8799999999967</v>
      </c>
      <c r="R184" s="9">
        <f t="shared" si="39"/>
        <v>0</v>
      </c>
      <c r="S184" s="9">
        <f t="shared" si="40"/>
        <v>0</v>
      </c>
      <c r="T184" s="9">
        <f t="shared" si="41"/>
        <v>0</v>
      </c>
    </row>
    <row r="185" spans="13:20" ht="15" customHeight="1">
      <c r="M185" s="9">
        <v>184</v>
      </c>
      <c r="N185" s="9" t="str">
        <f t="shared" si="36"/>
        <v>B</v>
      </c>
      <c r="O185" s="11">
        <f t="shared" si="37"/>
        <v>4.0599999999999996</v>
      </c>
      <c r="P185" s="12">
        <f t="shared" si="42"/>
        <v>1167.9399999999966</v>
      </c>
      <c r="Q185" s="12">
        <f t="shared" si="38"/>
        <v>1533.9399999999966</v>
      </c>
      <c r="R185" s="9">
        <f t="shared" si="39"/>
        <v>0</v>
      </c>
      <c r="S185" s="9">
        <f t="shared" si="40"/>
        <v>0</v>
      </c>
      <c r="T185" s="9">
        <f t="shared" si="41"/>
        <v>0</v>
      </c>
    </row>
    <row r="186" spans="13:20" ht="15" customHeight="1">
      <c r="M186" s="9">
        <v>185</v>
      </c>
      <c r="N186" s="9" t="str">
        <f t="shared" si="36"/>
        <v>A</v>
      </c>
      <c r="O186" s="11">
        <f t="shared" si="37"/>
        <v>10.16</v>
      </c>
      <c r="P186" s="12">
        <f t="shared" si="42"/>
        <v>1178.0999999999967</v>
      </c>
      <c r="Q186" s="12">
        <f t="shared" si="38"/>
        <v>1546.0999999999967</v>
      </c>
      <c r="R186" s="9">
        <f t="shared" si="39"/>
        <v>0</v>
      </c>
      <c r="S186" s="9">
        <f t="shared" si="40"/>
        <v>0</v>
      </c>
      <c r="T186" s="9">
        <f t="shared" si="41"/>
        <v>0</v>
      </c>
    </row>
    <row r="187" spans="13:20" ht="15" customHeight="1">
      <c r="M187" s="9">
        <v>186</v>
      </c>
      <c r="N187" s="9" t="str">
        <f t="shared" si="36"/>
        <v>A</v>
      </c>
      <c r="O187" s="11">
        <f t="shared" si="37"/>
        <v>10.16</v>
      </c>
      <c r="P187" s="12">
        <f t="shared" si="42"/>
        <v>1188.2599999999968</v>
      </c>
      <c r="Q187" s="12">
        <f t="shared" si="38"/>
        <v>1558.2599999999968</v>
      </c>
      <c r="R187" s="9">
        <f t="shared" si="39"/>
        <v>0</v>
      </c>
      <c r="S187" s="9">
        <f t="shared" si="40"/>
        <v>0</v>
      </c>
      <c r="T187" s="9">
        <f t="shared" si="41"/>
        <v>0</v>
      </c>
    </row>
    <row r="188" spans="13:20" ht="15" customHeight="1">
      <c r="M188" s="9">
        <v>187</v>
      </c>
      <c r="N188" s="9" t="str">
        <f t="shared" si="36"/>
        <v>A</v>
      </c>
      <c r="O188" s="11">
        <f t="shared" si="37"/>
        <v>10.16</v>
      </c>
      <c r="P188" s="12">
        <f t="shared" si="42"/>
        <v>1198.4199999999969</v>
      </c>
      <c r="Q188" s="12">
        <f t="shared" si="38"/>
        <v>1570.4199999999969</v>
      </c>
      <c r="R188" s="9">
        <f t="shared" si="39"/>
        <v>0</v>
      </c>
      <c r="S188" s="9">
        <f t="shared" si="40"/>
        <v>0</v>
      </c>
      <c r="T188" s="9">
        <f t="shared" si="41"/>
        <v>0</v>
      </c>
    </row>
    <row r="189" spans="13:20" ht="15" customHeight="1">
      <c r="M189" s="9">
        <v>188</v>
      </c>
      <c r="N189" s="9" t="str">
        <f t="shared" si="36"/>
        <v>B</v>
      </c>
      <c r="O189" s="11">
        <f t="shared" si="37"/>
        <v>4.0599999999999996</v>
      </c>
      <c r="P189" s="12">
        <f t="shared" si="42"/>
        <v>1202.4799999999968</v>
      </c>
      <c r="Q189" s="12">
        <f t="shared" si="38"/>
        <v>1576.4799999999968</v>
      </c>
      <c r="R189" s="9">
        <f t="shared" si="39"/>
        <v>0</v>
      </c>
      <c r="S189" s="9">
        <f t="shared" si="40"/>
        <v>0</v>
      </c>
      <c r="T189" s="9">
        <f t="shared" si="41"/>
        <v>0</v>
      </c>
    </row>
    <row r="190" spans="13:20" ht="15" customHeight="1">
      <c r="M190" s="9">
        <v>189</v>
      </c>
      <c r="N190" s="9" t="str">
        <f t="shared" si="36"/>
        <v>B</v>
      </c>
      <c r="O190" s="11">
        <f t="shared" si="37"/>
        <v>4.0599999999999996</v>
      </c>
      <c r="P190" s="12">
        <f t="shared" si="42"/>
        <v>1206.5399999999968</v>
      </c>
      <c r="Q190" s="12">
        <f t="shared" si="38"/>
        <v>1582.5399999999968</v>
      </c>
      <c r="R190" s="9">
        <f t="shared" si="39"/>
        <v>0</v>
      </c>
      <c r="S190" s="9">
        <f t="shared" si="40"/>
        <v>0</v>
      </c>
      <c r="T190" s="9">
        <f t="shared" si="41"/>
        <v>0</v>
      </c>
    </row>
    <row r="191" spans="13:20" ht="15" customHeight="1">
      <c r="M191" s="9">
        <v>190</v>
      </c>
      <c r="N191" s="9" t="str">
        <f t="shared" si="36"/>
        <v>B</v>
      </c>
      <c r="O191" s="11">
        <f t="shared" si="37"/>
        <v>4.0599999999999996</v>
      </c>
      <c r="P191" s="12">
        <f t="shared" si="42"/>
        <v>1210.5999999999967</v>
      </c>
      <c r="Q191" s="12">
        <f t="shared" si="38"/>
        <v>1588.5999999999967</v>
      </c>
      <c r="R191" s="9">
        <f t="shared" si="39"/>
        <v>0</v>
      </c>
      <c r="S191" s="9">
        <f t="shared" si="40"/>
        <v>0</v>
      </c>
      <c r="T191" s="9">
        <f t="shared" si="41"/>
        <v>0</v>
      </c>
    </row>
    <row r="192" spans="13:20" ht="15" customHeight="1">
      <c r="M192" s="9">
        <v>191</v>
      </c>
      <c r="N192" s="9" t="str">
        <f t="shared" si="36"/>
        <v>B</v>
      </c>
      <c r="O192" s="11">
        <f t="shared" si="37"/>
        <v>4.0599999999999996</v>
      </c>
      <c r="P192" s="12">
        <f t="shared" si="42"/>
        <v>1214.6599999999967</v>
      </c>
      <c r="Q192" s="12">
        <f t="shared" si="38"/>
        <v>1594.6599999999967</v>
      </c>
      <c r="R192" s="9">
        <f t="shared" si="39"/>
        <v>0</v>
      </c>
      <c r="S192" s="9">
        <f t="shared" si="40"/>
        <v>0</v>
      </c>
      <c r="T192" s="9">
        <f t="shared" si="41"/>
        <v>0</v>
      </c>
    </row>
    <row r="193" spans="1:20" ht="15" customHeight="1">
      <c r="M193" s="9">
        <v>192</v>
      </c>
      <c r="N193" s="9" t="str">
        <f t="shared" si="36"/>
        <v>B</v>
      </c>
      <c r="O193" s="11">
        <f t="shared" si="37"/>
        <v>4.0599999999999996</v>
      </c>
      <c r="P193" s="12">
        <f t="shared" si="42"/>
        <v>1218.7199999999966</v>
      </c>
      <c r="Q193" s="12">
        <f t="shared" si="38"/>
        <v>1600.7199999999966</v>
      </c>
      <c r="R193" s="9">
        <f t="shared" si="39"/>
        <v>0</v>
      </c>
      <c r="S193" s="9">
        <f t="shared" si="40"/>
        <v>0</v>
      </c>
      <c r="T193" s="9">
        <f t="shared" si="41"/>
        <v>0</v>
      </c>
    </row>
    <row r="194" spans="1:20" ht="15" customHeight="1">
      <c r="M194" s="9">
        <v>193</v>
      </c>
      <c r="N194" s="9" t="str">
        <f t="shared" ref="N194:N201" si="43">IF(MOD(M194-1,$B$4+$B$7)&lt;$B$4,"A","B")</f>
        <v>A</v>
      </c>
      <c r="O194" s="11">
        <f t="shared" ref="O194:O201" si="44">IF(N194="A",$E$3,$E$4)</f>
        <v>10.16</v>
      </c>
      <c r="P194" s="12">
        <f t="shared" si="42"/>
        <v>1228.8799999999967</v>
      </c>
      <c r="Q194" s="12">
        <f t="shared" ref="Q194:Q201" si="45">P194+(M194-1)*$B$8</f>
        <v>1612.8799999999967</v>
      </c>
      <c r="R194" s="9">
        <f t="shared" ref="R194:R201" si="46">IF(AND(Q194&lt;=$B$9,N194="A"),1,0)</f>
        <v>0</v>
      </c>
      <c r="S194" s="9">
        <f t="shared" ref="S194:S201" si="47">IF(AND(Q194&lt;=$B$9,N194="B"),1,0)</f>
        <v>0</v>
      </c>
      <c r="T194" s="9">
        <f t="shared" ref="T194:T201" si="48">IF(Q194&lt;=$B$9,1,0)</f>
        <v>0</v>
      </c>
    </row>
    <row r="195" spans="1:20" ht="15" customHeight="1">
      <c r="M195" s="9">
        <v>194</v>
      </c>
      <c r="N195" s="9" t="str">
        <f t="shared" si="43"/>
        <v>A</v>
      </c>
      <c r="O195" s="11">
        <f t="shared" si="44"/>
        <v>10.16</v>
      </c>
      <c r="P195" s="12">
        <f t="shared" ref="P195:P201" si="49">P194+O195</f>
        <v>1239.0399999999968</v>
      </c>
      <c r="Q195" s="12">
        <f t="shared" si="45"/>
        <v>1625.0399999999968</v>
      </c>
      <c r="R195" s="9">
        <f t="shared" si="46"/>
        <v>0</v>
      </c>
      <c r="S195" s="9">
        <f t="shared" si="47"/>
        <v>0</v>
      </c>
      <c r="T195" s="9">
        <f t="shared" si="48"/>
        <v>0</v>
      </c>
    </row>
    <row r="196" spans="1:20" ht="15" customHeight="1">
      <c r="M196" s="9">
        <v>195</v>
      </c>
      <c r="N196" s="9" t="str">
        <f t="shared" si="43"/>
        <v>A</v>
      </c>
      <c r="O196" s="11">
        <f t="shared" si="44"/>
        <v>10.16</v>
      </c>
      <c r="P196" s="12">
        <f t="shared" si="49"/>
        <v>1249.1999999999969</v>
      </c>
      <c r="Q196" s="12">
        <f t="shared" si="45"/>
        <v>1637.1999999999969</v>
      </c>
      <c r="R196" s="9">
        <f t="shared" si="46"/>
        <v>0</v>
      </c>
      <c r="S196" s="9">
        <f t="shared" si="47"/>
        <v>0</v>
      </c>
      <c r="T196" s="9">
        <f t="shared" si="48"/>
        <v>0</v>
      </c>
    </row>
    <row r="197" spans="1:20" ht="15" customHeight="1">
      <c r="M197" s="9">
        <v>196</v>
      </c>
      <c r="N197" s="9" t="str">
        <f t="shared" si="43"/>
        <v>B</v>
      </c>
      <c r="O197" s="11">
        <f t="shared" si="44"/>
        <v>4.0599999999999996</v>
      </c>
      <c r="P197" s="12">
        <f t="shared" si="49"/>
        <v>1253.2599999999968</v>
      </c>
      <c r="Q197" s="12">
        <f t="shared" si="45"/>
        <v>1643.2599999999968</v>
      </c>
      <c r="R197" s="9">
        <f t="shared" si="46"/>
        <v>0</v>
      </c>
      <c r="S197" s="9">
        <f t="shared" si="47"/>
        <v>0</v>
      </c>
      <c r="T197" s="9">
        <f t="shared" si="48"/>
        <v>0</v>
      </c>
    </row>
    <row r="198" spans="1:20" ht="15" customHeight="1">
      <c r="M198" s="9">
        <v>197</v>
      </c>
      <c r="N198" s="9" t="str">
        <f t="shared" si="43"/>
        <v>B</v>
      </c>
      <c r="O198" s="11">
        <f t="shared" si="44"/>
        <v>4.0599999999999996</v>
      </c>
      <c r="P198" s="12">
        <f t="shared" si="49"/>
        <v>1257.3199999999968</v>
      </c>
      <c r="Q198" s="12">
        <f t="shared" si="45"/>
        <v>1649.3199999999968</v>
      </c>
      <c r="R198" s="9">
        <f t="shared" si="46"/>
        <v>0</v>
      </c>
      <c r="S198" s="9">
        <f t="shared" si="47"/>
        <v>0</v>
      </c>
      <c r="T198" s="9">
        <f t="shared" si="48"/>
        <v>0</v>
      </c>
    </row>
    <row r="199" spans="1:20" ht="15" customHeight="1">
      <c r="M199" s="9">
        <v>198</v>
      </c>
      <c r="N199" s="9" t="str">
        <f t="shared" si="43"/>
        <v>B</v>
      </c>
      <c r="O199" s="11">
        <f t="shared" si="44"/>
        <v>4.0599999999999996</v>
      </c>
      <c r="P199" s="12">
        <f t="shared" si="49"/>
        <v>1261.3799999999967</v>
      </c>
      <c r="Q199" s="12">
        <f t="shared" si="45"/>
        <v>1655.3799999999967</v>
      </c>
      <c r="R199" s="9">
        <f t="shared" si="46"/>
        <v>0</v>
      </c>
      <c r="S199" s="9">
        <f t="shared" si="47"/>
        <v>0</v>
      </c>
      <c r="T199" s="9">
        <f t="shared" si="48"/>
        <v>0</v>
      </c>
    </row>
    <row r="200" spans="1:20" ht="15" customHeight="1">
      <c r="M200" s="9">
        <v>199</v>
      </c>
      <c r="N200" s="9" t="str">
        <f t="shared" si="43"/>
        <v>B</v>
      </c>
      <c r="O200" s="11">
        <f t="shared" si="44"/>
        <v>4.0599999999999996</v>
      </c>
      <c r="P200" s="12">
        <f t="shared" si="49"/>
        <v>1265.4399999999966</v>
      </c>
      <c r="Q200" s="12">
        <f t="shared" si="45"/>
        <v>1661.4399999999966</v>
      </c>
      <c r="R200" s="9">
        <f t="shared" si="46"/>
        <v>0</v>
      </c>
      <c r="S200" s="9">
        <f t="shared" si="47"/>
        <v>0</v>
      </c>
      <c r="T200" s="9">
        <f t="shared" si="48"/>
        <v>0</v>
      </c>
    </row>
    <row r="201" spans="1:20" ht="15" customHeight="1">
      <c r="M201" s="9">
        <v>200</v>
      </c>
      <c r="N201" s="9" t="str">
        <f t="shared" si="43"/>
        <v>B</v>
      </c>
      <c r="O201" s="11">
        <f t="shared" si="44"/>
        <v>4.0599999999999996</v>
      </c>
      <c r="P201" s="12">
        <f t="shared" si="49"/>
        <v>1269.4999999999966</v>
      </c>
      <c r="Q201" s="12">
        <f t="shared" si="45"/>
        <v>1667.4999999999966</v>
      </c>
      <c r="R201" s="9">
        <f t="shared" si="46"/>
        <v>0</v>
      </c>
      <c r="S201" s="9">
        <f t="shared" si="47"/>
        <v>0</v>
      </c>
      <c r="T201" s="9">
        <f t="shared" si="48"/>
        <v>0</v>
      </c>
    </row>
    <row r="203" spans="1:20" ht="15">
      <c r="A203" s="25" t="s">
        <v>3148</v>
      </c>
    </row>
    <row r="204" spans="1:20" ht="18" customHeight="1">
      <c r="A204" s="25" t="s">
        <v>1179</v>
      </c>
      <c r="B204" s="25" t="s">
        <v>7</v>
      </c>
      <c r="C204" s="25" t="s">
        <v>1734</v>
      </c>
    </row>
    <row r="205" spans="1:20" ht="15">
      <c r="A205" s="25" t="s">
        <v>1180</v>
      </c>
      <c r="B205" s="558">
        <f>ROUND(($C$216*$B$217-1)*100,0)</f>
        <v>50</v>
      </c>
      <c r="C205" s="25" t="s">
        <v>3149</v>
      </c>
    </row>
    <row r="206" spans="1:20" ht="15">
      <c r="A206" s="25" t="s">
        <v>1181</v>
      </c>
      <c r="B206" s="558">
        <f>ROUND(($D$216*$B$217-1)*100,0)</f>
        <v>40</v>
      </c>
      <c r="C206" s="25" t="s">
        <v>3149</v>
      </c>
    </row>
    <row r="207" spans="1:20" ht="15">
      <c r="A207" s="25" t="s">
        <v>3122</v>
      </c>
      <c r="B207" s="557">
        <v>30</v>
      </c>
      <c r="C207" s="25" t="s">
        <v>3150</v>
      </c>
    </row>
    <row r="208" spans="1:20">
      <c r="A208" s="494" t="s">
        <v>1138</v>
      </c>
      <c r="B208" s="495"/>
    </row>
    <row r="209" spans="1:6">
      <c r="A209" s="489" t="s">
        <v>3079</v>
      </c>
      <c r="B209" s="492">
        <f>SUM(D21,D22,D24)</f>
        <v>13130</v>
      </c>
    </row>
    <row r="210" spans="1:6">
      <c r="A210" s="489" t="s">
        <v>3080</v>
      </c>
      <c r="B210" s="492">
        <f>SUM(D23,D25)</f>
        <v>0</v>
      </c>
    </row>
    <row r="211" spans="1:6">
      <c r="A211" s="491" t="s">
        <v>1144</v>
      </c>
      <c r="B211" s="493">
        <f>SUM(B209:B210)</f>
        <v>13130</v>
      </c>
    </row>
    <row r="212" spans="1:6">
      <c r="A212" s="488" t="s">
        <v>3067</v>
      </c>
    </row>
    <row r="214" spans="1:6">
      <c r="A214" s="533" t="s">
        <v>3151</v>
      </c>
      <c r="B214" s="535"/>
      <c r="C214" s="533"/>
    </row>
    <row r="215" spans="1:6">
      <c r="A215" t="s">
        <v>3144</v>
      </c>
      <c r="B215" s="541">
        <v>25</v>
      </c>
      <c r="C215" t="s">
        <v>3152</v>
      </c>
    </row>
    <row r="216" spans="1:6">
      <c r="A216" t="s">
        <v>3153</v>
      </c>
      <c r="B216" s="542">
        <v>1.5</v>
      </c>
      <c r="C216" s="542">
        <v>1.5</v>
      </c>
      <c r="D216" s="542">
        <v>1.4</v>
      </c>
      <c r="E216" s="542" t="s">
        <v>3154</v>
      </c>
      <c r="F216" s="542"/>
    </row>
    <row r="217" spans="1:6">
      <c r="A217" t="s">
        <v>3155</v>
      </c>
      <c r="B217" s="542">
        <f>IFERROR((((D31)+(D32)+(D33))/(100/(100+B207)-B215/100))/(((D31)*$B$216+(D32)*$C$216+(D33)*$D$216)*(1+B207/100)),1)</f>
        <v>1.0015422650173373</v>
      </c>
      <c r="C217" t="s">
        <v>3156</v>
      </c>
    </row>
    <row r="219" spans="1:6">
      <c r="A219" s="533" t="s">
        <v>3126</v>
      </c>
      <c r="B219" s="535"/>
      <c r="C219" s="533"/>
    </row>
    <row r="220" spans="1:6">
      <c r="A220" s="533" t="s">
        <v>3127</v>
      </c>
      <c r="B220" s="534">
        <f>IFERROR(ROUND(D35-D35/(1+B207/100),0),0)</f>
        <v>8746</v>
      </c>
      <c r="C220" s="533" t="s">
        <v>3128</v>
      </c>
    </row>
    <row r="221" spans="1:6">
      <c r="A221" s="533" t="s">
        <v>3129</v>
      </c>
      <c r="B221" s="534">
        <f>D31+D32+D33+B220</f>
        <v>28400</v>
      </c>
      <c r="C221" s="533" t="s">
        <v>3130</v>
      </c>
    </row>
    <row r="222" spans="1:6">
      <c r="A222" s="536" t="s">
        <v>3131</v>
      </c>
      <c r="B222" s="537">
        <f>IFERROR((D35-B221)/D35,"")</f>
        <v>0.25065963060686014</v>
      </c>
      <c r="C222" s="536" t="s">
        <v>3157</v>
      </c>
    </row>
  </sheetData>
  <sheetProtection sheet="1" objects="1" scenarios="1"/>
  <mergeCells count="1">
    <mergeCell ref="A1:F1"/>
  </mergeCells>
  <dataValidations count="5">
    <dataValidation type="list" allowBlank="1" sqref="B2 B5" xr:uid="{00000000-0002-0000-1F00-000000000000}">
      <formula1>$J$2:$J$8</formula1>
      <formula2>0</formula2>
    </dataValidation>
    <dataValidation type="list" allowBlank="1" sqref="B11" xr:uid="{00000000-0002-0000-1F00-000002000000}">
      <formula1>$J$11:$J$15</formula1>
      <formula2>0</formula2>
    </dataValidation>
    <dataValidation type="list" sqref="B12" xr:uid="{00000000-0002-0000-1F00-000003000000}">
      <formula1>"รวม,ไม่รวม"</formula1>
    </dataValidation>
    <dataValidation type="list" sqref="B15" xr:uid="{00000000-0002-0000-1F00-000004000000}">
      <formula1>"ต่อ,ไม่ต่อ"</formula1>
    </dataValidation>
    <dataValidation type="list" allowBlank="1" showInputMessage="1" showErrorMessage="1" sqref="B3 B6" xr:uid="{923F9B92-173E-4427-80A4-F7D772E93085}">
      <formula1>"1 cm,5 cm,1"",1.5"",1.6"",4"""</formula1>
    </dataValidation>
  </dataValidations>
  <hyperlinks>
    <hyperlink ref="G1" location="'สารบัญ'!A1" display="🏠 สารบัญ" xr:uid="{00000000-0004-0000-1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5B9BD5"/>
  </sheetPr>
  <dimension ref="A1:AF78"/>
  <sheetViews>
    <sheetView zoomScaleNormal="100" workbookViewId="0">
      <selection sqref="A1:F1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4" width="19.109375" customWidth="1"/>
    <col min="5" max="5" width="6.44140625" customWidth="1"/>
    <col min="6" max="6" width="13.77734375" customWidth="1"/>
    <col min="7" max="7" width="24" customWidth="1"/>
    <col min="8" max="8" width="21.10937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4.44140625" customWidth="1"/>
    <col min="17" max="19" width="6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660" t="s">
        <v>1735</v>
      </c>
      <c r="B1" s="650"/>
      <c r="C1" s="650"/>
      <c r="D1" s="650"/>
      <c r="E1" s="650"/>
      <c r="F1" s="650"/>
      <c r="G1" s="293" t="s">
        <v>68</v>
      </c>
      <c r="H1" s="294"/>
      <c r="I1" s="243"/>
      <c r="J1" s="63" t="s">
        <v>1603</v>
      </c>
      <c r="W1" s="390" t="s">
        <v>3189</v>
      </c>
      <c r="AF1" t="str">
        <f>IFERROR(VLOOKUP(B2,$AB$2:$AD$8,2,0),"")</f>
        <v>1.6"</v>
      </c>
    </row>
    <row r="2" spans="1:32" ht="15" customHeight="1">
      <c r="A2" s="63" t="s">
        <v>1736</v>
      </c>
      <c r="B2" s="553" t="s">
        <v>570</v>
      </c>
      <c r="C2" s="21" t="s">
        <v>1737</v>
      </c>
      <c r="G2" s="65" t="s">
        <v>1643</v>
      </c>
      <c r="H2" s="67">
        <f>LOOKUP(B7,$V$2:$V$10)</f>
        <v>300</v>
      </c>
      <c r="J2" s="65" t="s">
        <v>666</v>
      </c>
      <c r="K2" s="67">
        <f>ราคาสี!$D$194</f>
        <v>500</v>
      </c>
      <c r="N2" s="9" t="s">
        <v>1608</v>
      </c>
      <c r="O2" s="10">
        <v>3300</v>
      </c>
      <c r="P2" s="10">
        <v>300</v>
      </c>
      <c r="Q2" s="10">
        <v>1000</v>
      </c>
      <c r="R2" s="10">
        <v>1700</v>
      </c>
      <c r="S2" s="10">
        <v>2400</v>
      </c>
      <c r="V2" s="9">
        <v>50</v>
      </c>
      <c r="W2" s="592" t="s">
        <v>1698</v>
      </c>
      <c r="X2" s="66">
        <f>(H8/100)*(H9/100)</f>
        <v>7</v>
      </c>
      <c r="AB2" t="s">
        <v>666</v>
      </c>
      <c r="AC2" t="s">
        <v>1609</v>
      </c>
      <c r="AD2" t="s">
        <v>1610</v>
      </c>
      <c r="AF2" t="str">
        <f>IFERROR(VLOOKUP(B2,$AB$2:$AD$8,3,0),"")</f>
        <v>4"</v>
      </c>
    </row>
    <row r="3" spans="1:32" ht="15" customHeight="1">
      <c r="A3" s="63" t="s">
        <v>1611</v>
      </c>
      <c r="B3" s="553" t="s">
        <v>1612</v>
      </c>
      <c r="C3" s="541" t="s">
        <v>1738</v>
      </c>
      <c r="G3" s="65" t="s">
        <v>1648</v>
      </c>
      <c r="H3" s="67">
        <f>IFERROR(INDEX($V$2:$V$10,MATCH(B7,$V$2:$V$10,1)+1),99999)</f>
        <v>600</v>
      </c>
      <c r="J3" s="65" t="s">
        <v>667</v>
      </c>
      <c r="K3" s="67">
        <f>ราคาสี!$D$195</f>
        <v>310</v>
      </c>
      <c r="N3" s="9" t="s">
        <v>1615</v>
      </c>
      <c r="O3" s="10">
        <v>4300</v>
      </c>
      <c r="P3" s="10">
        <v>400</v>
      </c>
      <c r="Q3" s="10">
        <v>1500</v>
      </c>
      <c r="R3" s="10">
        <v>2500</v>
      </c>
      <c r="S3" s="10">
        <v>3500</v>
      </c>
      <c r="V3" s="9">
        <v>60</v>
      </c>
      <c r="W3" s="65" t="s">
        <v>1739</v>
      </c>
      <c r="X3" s="66">
        <f>VLOOKUP(B3,$J$18:$K$26,2,0)</f>
        <v>4.0599999999999996</v>
      </c>
      <c r="AB3" t="s">
        <v>667</v>
      </c>
      <c r="AC3" t="s">
        <v>1616</v>
      </c>
      <c r="AD3" t="s">
        <v>1616</v>
      </c>
      <c r="AF3" t="str">
        <f>IFERROR(VLOOKUP(D6,$AB$2:$AD$8,2,0),"")</f>
        <v>1.6"</v>
      </c>
    </row>
    <row r="4" spans="1:32" ht="15" customHeight="1">
      <c r="A4" s="63" t="s">
        <v>1617</v>
      </c>
      <c r="B4" s="559">
        <v>5</v>
      </c>
      <c r="C4" s="305" t="s">
        <v>3263</v>
      </c>
      <c r="G4" s="65" t="s">
        <v>1651</v>
      </c>
      <c r="H4" s="67">
        <f>IF(B7-H2&lt;=20,H2,IF(H3-B7&lt;=20,H3,B7))</f>
        <v>350</v>
      </c>
      <c r="J4" s="65" t="s">
        <v>572</v>
      </c>
      <c r="K4" s="67">
        <f>ราคาสี!$D$196</f>
        <v>395</v>
      </c>
      <c r="N4" s="9" t="s">
        <v>1620</v>
      </c>
      <c r="O4" s="10">
        <v>5000</v>
      </c>
      <c r="P4" s="10">
        <v>500</v>
      </c>
      <c r="Q4" s="10">
        <v>1900</v>
      </c>
      <c r="R4" s="10">
        <v>3300</v>
      </c>
      <c r="S4" s="10">
        <v>4700</v>
      </c>
      <c r="V4" s="9">
        <v>75</v>
      </c>
      <c r="W4" s="65" t="s">
        <v>1740</v>
      </c>
      <c r="X4" s="66">
        <f>X3+B4</f>
        <v>9.0599999999999987</v>
      </c>
      <c r="AB4" t="s">
        <v>572</v>
      </c>
      <c r="AC4" t="s">
        <v>1616</v>
      </c>
      <c r="AD4" t="s">
        <v>1621</v>
      </c>
      <c r="AF4" t="str">
        <f>IFERROR(VLOOKUP(D6,$AB$2:$AD$8,3,0),"")</f>
        <v>1.6"</v>
      </c>
    </row>
    <row r="5" spans="1:32" ht="15" customHeight="1">
      <c r="A5" s="63" t="s">
        <v>1122</v>
      </c>
      <c r="B5" s="553" t="s">
        <v>100</v>
      </c>
      <c r="C5" s="271" t="s">
        <v>3185</v>
      </c>
      <c r="D5" s="615">
        <v>3</v>
      </c>
      <c r="G5" s="65" t="s">
        <v>1654</v>
      </c>
      <c r="H5" s="67">
        <f>LOOKUP(B8,$V$2:$V$10)</f>
        <v>150</v>
      </c>
      <c r="J5" s="65" t="s">
        <v>668</v>
      </c>
      <c r="K5" s="67">
        <f>ราคาสี!$D$197</f>
        <v>485</v>
      </c>
      <c r="N5" s="9" t="s">
        <v>1626</v>
      </c>
      <c r="O5" s="10">
        <v>2800</v>
      </c>
      <c r="P5" s="10">
        <v>200</v>
      </c>
      <c r="Q5" s="10">
        <v>800</v>
      </c>
      <c r="R5" s="10">
        <v>1100</v>
      </c>
      <c r="S5" s="10">
        <v>1600</v>
      </c>
      <c r="V5" s="9">
        <v>100</v>
      </c>
      <c r="W5" s="592" t="s">
        <v>1741</v>
      </c>
      <c r="X5" s="67">
        <f>IF(B6="นอน",H8,H9)</f>
        <v>200</v>
      </c>
      <c r="AB5" t="s">
        <v>668</v>
      </c>
      <c r="AC5" t="s">
        <v>1616</v>
      </c>
      <c r="AD5" t="s">
        <v>1612</v>
      </c>
    </row>
    <row r="6" spans="1:32" ht="15" customHeight="1">
      <c r="A6" s="63" t="s">
        <v>1631</v>
      </c>
      <c r="B6" s="553" t="s">
        <v>3159</v>
      </c>
      <c r="C6" s="271" t="s">
        <v>3186</v>
      </c>
      <c r="D6" s="615" t="s">
        <v>571</v>
      </c>
      <c r="G6" s="65" t="s">
        <v>1658</v>
      </c>
      <c r="H6" s="67">
        <f>IFERROR(INDEX($V$2:$V$10,MATCH(B8,$V$2:$V$10,1)+1),99999)</f>
        <v>200</v>
      </c>
      <c r="J6" s="65" t="s">
        <v>669</v>
      </c>
      <c r="K6" s="67">
        <f>ราคาสี!$D$198</f>
        <v>905</v>
      </c>
      <c r="N6" s="9" t="s">
        <v>1629</v>
      </c>
      <c r="O6" s="10">
        <v>3200</v>
      </c>
      <c r="P6" s="10">
        <v>200</v>
      </c>
      <c r="Q6" s="10">
        <v>1000</v>
      </c>
      <c r="R6" s="10">
        <v>1400</v>
      </c>
      <c r="S6" s="10">
        <v>2000</v>
      </c>
      <c r="V6" s="9">
        <v>120</v>
      </c>
      <c r="W6" s="592" t="s">
        <v>1742</v>
      </c>
      <c r="X6" s="67">
        <f>IF(B6="นอน",H9,H8)</f>
        <v>350</v>
      </c>
      <c r="AB6" t="s">
        <v>669</v>
      </c>
      <c r="AC6" t="s">
        <v>1616</v>
      </c>
      <c r="AD6" t="s">
        <v>1630</v>
      </c>
    </row>
    <row r="7" spans="1:32" ht="15" customHeight="1">
      <c r="A7" s="63" t="s">
        <v>1714</v>
      </c>
      <c r="B7" s="559">
        <v>350</v>
      </c>
      <c r="C7" s="271" t="s">
        <v>3187</v>
      </c>
      <c r="D7" s="615" t="s">
        <v>1612</v>
      </c>
      <c r="G7" s="65" t="s">
        <v>1660</v>
      </c>
      <c r="H7" s="67">
        <f>IF(B8-H5&lt;=20,H5,IF(H6-B8&lt;=20,H6,B8))</f>
        <v>200</v>
      </c>
      <c r="J7" s="65" t="s">
        <v>571</v>
      </c>
      <c r="K7" s="67">
        <f>ราคาสี!$D$199</f>
        <v>770</v>
      </c>
      <c r="N7" s="9" t="s">
        <v>1635</v>
      </c>
      <c r="O7" s="10">
        <v>3300</v>
      </c>
      <c r="P7" s="10">
        <v>300</v>
      </c>
      <c r="Q7" s="10">
        <v>1000</v>
      </c>
      <c r="R7" s="10">
        <v>1700</v>
      </c>
      <c r="S7" s="10">
        <v>2400</v>
      </c>
      <c r="V7" s="9">
        <v>150</v>
      </c>
      <c r="W7" s="592" t="s">
        <v>3184</v>
      </c>
      <c r="X7" s="67">
        <f>INT(X6/X4)+1</f>
        <v>39</v>
      </c>
      <c r="AB7" t="s">
        <v>571</v>
      </c>
      <c r="AC7" t="s">
        <v>1612</v>
      </c>
      <c r="AD7" t="s">
        <v>1612</v>
      </c>
    </row>
    <row r="8" spans="1:32" ht="15" customHeight="1">
      <c r="A8" s="63" t="s">
        <v>1717</v>
      </c>
      <c r="B8" s="559">
        <v>180</v>
      </c>
      <c r="C8" s="271" t="s">
        <v>3188</v>
      </c>
      <c r="D8" s="615">
        <v>5</v>
      </c>
      <c r="G8" s="65" t="s">
        <v>1662</v>
      </c>
      <c r="H8" s="67">
        <f>IF(B6="นอน",H4,B7)</f>
        <v>350</v>
      </c>
      <c r="J8" s="65" t="s">
        <v>570</v>
      </c>
      <c r="K8" s="67">
        <f>ราคาสี!$D$200</f>
        <v>1220</v>
      </c>
      <c r="N8" s="9" t="s">
        <v>1638</v>
      </c>
      <c r="O8" s="10">
        <v>3700</v>
      </c>
      <c r="P8" s="10">
        <v>300</v>
      </c>
      <c r="Q8" s="10">
        <v>1000</v>
      </c>
      <c r="R8" s="10">
        <v>1400</v>
      </c>
      <c r="S8" s="10">
        <v>2000</v>
      </c>
      <c r="V8" s="9">
        <v>200</v>
      </c>
      <c r="W8" s="592" t="s">
        <v>1636</v>
      </c>
      <c r="X8" s="67">
        <f>IF(B17="ต่อ",H13,H12)</f>
        <v>13</v>
      </c>
      <c r="AB8" t="s">
        <v>570</v>
      </c>
      <c r="AC8" t="s">
        <v>1612</v>
      </c>
      <c r="AD8" t="s">
        <v>1630</v>
      </c>
    </row>
    <row r="9" spans="1:32" ht="15" customHeight="1">
      <c r="A9" s="63" t="s">
        <v>1743</v>
      </c>
      <c r="B9" s="559">
        <v>7</v>
      </c>
      <c r="C9" s="271" t="s">
        <v>1711</v>
      </c>
      <c r="D9" s="615">
        <v>2</v>
      </c>
      <c r="G9" s="65" t="s">
        <v>1665</v>
      </c>
      <c r="H9" s="67">
        <f>IF(B6="ตั้ง",H7,B8)</f>
        <v>200</v>
      </c>
      <c r="N9" s="9" t="s">
        <v>1640</v>
      </c>
      <c r="O9" s="10">
        <v>4500</v>
      </c>
      <c r="P9" s="10">
        <v>400</v>
      </c>
      <c r="Q9" s="10">
        <v>1400</v>
      </c>
      <c r="R9" s="10">
        <v>1900</v>
      </c>
      <c r="S9" s="10">
        <v>2800</v>
      </c>
      <c r="V9" s="9">
        <v>300</v>
      </c>
      <c r="W9" s="592" t="s">
        <v>1639</v>
      </c>
      <c r="X9" s="69">
        <f>VLOOKUP(B5,$J$11:$L$15,2,0)</f>
        <v>1</v>
      </c>
    </row>
    <row r="10" spans="1:32" ht="15" customHeight="1">
      <c r="A10" s="63" t="s">
        <v>1744</v>
      </c>
      <c r="B10" s="554">
        <v>2</v>
      </c>
      <c r="C10" t="s">
        <v>3264</v>
      </c>
      <c r="D10" s="588" t="s">
        <v>669</v>
      </c>
      <c r="G10" s="65" t="s">
        <v>1704</v>
      </c>
      <c r="H10" s="67">
        <f>LOOKUP(X5,$V$2:$V$10)</f>
        <v>200</v>
      </c>
      <c r="N10" s="9" t="s">
        <v>1644</v>
      </c>
      <c r="O10" s="10">
        <v>4800</v>
      </c>
      <c r="P10" s="10">
        <v>500</v>
      </c>
      <c r="Q10" s="10">
        <v>1600</v>
      </c>
      <c r="R10" s="10">
        <v>2200</v>
      </c>
      <c r="S10" s="10">
        <v>3200</v>
      </c>
      <c r="V10" s="9">
        <v>600</v>
      </c>
      <c r="W10" s="65" t="s">
        <v>1745</v>
      </c>
      <c r="X10" s="67">
        <f>ROUND(VLOOKUP(B2,$J$2:$K$8,2,0)*X9/5,0)*5</f>
        <v>1220</v>
      </c>
    </row>
    <row r="11" spans="1:32" ht="15" customHeight="1">
      <c r="A11" s="63" t="s">
        <v>1746</v>
      </c>
      <c r="B11" s="554">
        <v>0</v>
      </c>
      <c r="C11" t="s">
        <v>3265</v>
      </c>
      <c r="D11" s="588" t="s">
        <v>1630</v>
      </c>
      <c r="G11" s="65" t="s">
        <v>1707</v>
      </c>
      <c r="H11" s="67">
        <f>X5-H10</f>
        <v>0</v>
      </c>
      <c r="J11" s="65" t="s">
        <v>100</v>
      </c>
      <c r="K11" s="69">
        <f>mult_mtong</f>
        <v>1</v>
      </c>
      <c r="L11" s="67">
        <v>0</v>
      </c>
      <c r="N11" s="9" t="s">
        <v>1649</v>
      </c>
      <c r="O11" s="10">
        <v>3200</v>
      </c>
      <c r="P11" s="10">
        <v>300</v>
      </c>
      <c r="Q11" s="10">
        <v>800</v>
      </c>
      <c r="R11" s="10">
        <v>1100</v>
      </c>
      <c r="S11" s="10">
        <v>1600</v>
      </c>
      <c r="W11" s="65" t="s">
        <v>1725</v>
      </c>
      <c r="X11" s="67">
        <f>VLOOKUP(B5,$J$11:$L$15,3,0)</f>
        <v>0</v>
      </c>
    </row>
    <row r="12" spans="1:32" ht="15" customHeight="1">
      <c r="A12" s="63" t="s">
        <v>1747</v>
      </c>
      <c r="B12" s="553" t="s">
        <v>1254</v>
      </c>
      <c r="G12" s="65" t="s">
        <v>1670</v>
      </c>
      <c r="H12" s="67">
        <f>ROUNDUP(X7/MAX(INT(600/X5),1),0)</f>
        <v>13</v>
      </c>
      <c r="J12" s="65" t="s">
        <v>81</v>
      </c>
      <c r="K12" s="69">
        <f>mult_mtong+rate_grey/192</f>
        <v>1.5208333333333335</v>
      </c>
      <c r="L12" s="67">
        <v>0</v>
      </c>
      <c r="N12" s="9" t="s">
        <v>1652</v>
      </c>
      <c r="O12" s="10">
        <v>3700</v>
      </c>
      <c r="P12" s="10">
        <v>300</v>
      </c>
      <c r="Q12" s="10">
        <v>1000</v>
      </c>
      <c r="R12" s="10">
        <v>1400</v>
      </c>
      <c r="S12" s="10">
        <v>2000</v>
      </c>
      <c r="W12" s="65" t="s">
        <v>1748</v>
      </c>
      <c r="X12" s="67">
        <f>ROUNDUP(2*(B7+B8)/600,0)</f>
        <v>2</v>
      </c>
    </row>
    <row r="13" spans="1:32" ht="15" customHeight="1">
      <c r="A13" s="63" t="s">
        <v>1749</v>
      </c>
      <c r="B13" s="553" t="s">
        <v>1164</v>
      </c>
      <c r="C13" t="str">
        <f>IF(B13="มี","◀ แบ่ง "&amp;X17&amp;" บาน (~"&amp;ROUND(B7/X17,0)&amp;" ซม./บาน)","")</f>
        <v/>
      </c>
      <c r="G13" s="65" t="s">
        <v>1671</v>
      </c>
      <c r="H13" s="67">
        <f>ROUNDUP(X7/(600/H10),0)+IF(H11&gt;0,ROUNDUP(X7/INT(600/H11),0),0)</f>
        <v>13</v>
      </c>
      <c r="J13" s="65" t="s">
        <v>1655</v>
      </c>
      <c r="K13" s="69">
        <f>mult_mtong+rate_woodstock/192</f>
        <v>1.5859375</v>
      </c>
      <c r="L13" s="67">
        <v>0</v>
      </c>
      <c r="N13" s="9" t="s">
        <v>1656</v>
      </c>
      <c r="O13" s="10">
        <v>4000</v>
      </c>
      <c r="P13" s="10">
        <v>400</v>
      </c>
      <c r="Q13" s="10">
        <v>1200</v>
      </c>
      <c r="R13" s="10">
        <v>1700</v>
      </c>
      <c r="S13" s="10">
        <v>2400</v>
      </c>
      <c r="W13" s="65" t="s">
        <v>1750</v>
      </c>
      <c r="X13" s="67">
        <f>ROUND(1540*X9/5,0)*5</f>
        <v>1540</v>
      </c>
    </row>
    <row r="14" spans="1:32" ht="15" customHeight="1">
      <c r="A14" s="63" t="s">
        <v>1751</v>
      </c>
      <c r="B14" s="553" t="s">
        <v>1164</v>
      </c>
      <c r="J14" s="65" t="s">
        <v>83</v>
      </c>
      <c r="K14" s="69">
        <f>mult_mtong+rate_special/192</f>
        <v>1.9010416666666665</v>
      </c>
      <c r="L14" s="67">
        <v>2000</v>
      </c>
      <c r="N14" s="9" t="s">
        <v>1659</v>
      </c>
      <c r="O14" s="10">
        <v>3200</v>
      </c>
      <c r="P14" s="10">
        <v>200</v>
      </c>
      <c r="Q14" s="10">
        <v>700</v>
      </c>
      <c r="R14" s="10">
        <v>1000</v>
      </c>
      <c r="S14" s="10">
        <v>1400</v>
      </c>
      <c r="W14" s="65" t="s">
        <v>1752</v>
      </c>
      <c r="X14" s="67">
        <f>ROUND(2210*X9/5,0)*5</f>
        <v>2210</v>
      </c>
    </row>
    <row r="15" spans="1:32" ht="15" customHeight="1">
      <c r="A15" s="63" t="s">
        <v>1753</v>
      </c>
      <c r="B15" s="553" t="s">
        <v>1164</v>
      </c>
      <c r="J15" s="65" t="s">
        <v>85</v>
      </c>
      <c r="K15" s="69">
        <f>mult_mtong+rate_woodbake/192</f>
        <v>1.9895833333333335</v>
      </c>
      <c r="L15" s="67">
        <v>2000</v>
      </c>
      <c r="N15" s="9" t="s">
        <v>1661</v>
      </c>
      <c r="O15" s="10">
        <v>3700</v>
      </c>
      <c r="P15" s="10">
        <v>300</v>
      </c>
      <c r="Q15" s="10">
        <v>1000</v>
      </c>
      <c r="R15" s="10">
        <v>1300</v>
      </c>
      <c r="S15" s="10">
        <v>1900</v>
      </c>
      <c r="W15" s="65" t="s">
        <v>1754</v>
      </c>
      <c r="X15" s="67">
        <f>ROUNDUP(B9/6,0)</f>
        <v>2</v>
      </c>
    </row>
    <row r="16" spans="1:32" ht="15" customHeight="1">
      <c r="A16" s="63" t="s">
        <v>1755</v>
      </c>
      <c r="B16" s="554">
        <v>0</v>
      </c>
      <c r="N16" s="9" t="s">
        <v>1663</v>
      </c>
      <c r="O16" s="10">
        <v>3900</v>
      </c>
      <c r="P16" s="10">
        <v>300</v>
      </c>
      <c r="Q16" s="10">
        <v>1100</v>
      </c>
      <c r="R16" s="10">
        <v>1500</v>
      </c>
      <c r="S16" s="10">
        <v>2200</v>
      </c>
      <c r="W16" s="65" t="s">
        <v>1756</v>
      </c>
      <c r="X16" s="67">
        <f>IF(B13="มี",2500,1500)</f>
        <v>1500</v>
      </c>
    </row>
    <row r="17" spans="1:24" ht="15" customHeight="1">
      <c r="A17" s="63" t="s">
        <v>1645</v>
      </c>
      <c r="B17" s="594" t="s">
        <v>1646</v>
      </c>
      <c r="N17" s="9" t="s">
        <v>2789</v>
      </c>
      <c r="O17" s="10">
        <v>3300</v>
      </c>
      <c r="P17" s="10">
        <v>300</v>
      </c>
      <c r="Q17" s="10">
        <v>900</v>
      </c>
      <c r="R17" s="10">
        <v>1400</v>
      </c>
      <c r="S17" s="10">
        <v>2000</v>
      </c>
      <c r="W17" t="s">
        <v>1757</v>
      </c>
      <c r="X17">
        <f>IF(B13="มี",ROUNDUP(B7/75,0),1)</f>
        <v>1</v>
      </c>
    </row>
    <row r="18" spans="1:24" ht="15" customHeight="1">
      <c r="A18" s="82" t="s">
        <v>606</v>
      </c>
      <c r="B18" s="82" t="s">
        <v>1124</v>
      </c>
      <c r="C18" s="82" t="s">
        <v>1125</v>
      </c>
      <c r="D18" s="82" t="s">
        <v>1242</v>
      </c>
      <c r="G18" s="83" t="s">
        <v>1758</v>
      </c>
      <c r="H18" s="84">
        <f>IF(B4&gt;=4,5,IF(B4&gt;=2.5,3,IF(B4&gt;=1,2,0)))</f>
        <v>5</v>
      </c>
      <c r="J18" s="83" t="s">
        <v>1609</v>
      </c>
      <c r="K18" s="85">
        <v>1</v>
      </c>
      <c r="N18" s="9" t="s">
        <v>2790</v>
      </c>
      <c r="O18" s="10">
        <v>4000</v>
      </c>
      <c r="P18" s="10">
        <v>400</v>
      </c>
      <c r="Q18" s="10">
        <v>1200</v>
      </c>
      <c r="R18" s="10">
        <v>1900</v>
      </c>
      <c r="S18" s="10">
        <v>2800</v>
      </c>
    </row>
    <row r="19" spans="1:24" ht="15" customHeight="1">
      <c r="A19" s="71" t="str">
        <f>IF($C$3="ระแนงสลับ",ระแนงสลับ_ประตู!A21,B2&amp;" (ใบระแนง+ต่อ)")</f>
        <v>กล่อง 1.6"×4" (ใบระแนง+ต่อ)</v>
      </c>
      <c r="B19" s="57">
        <f>IF($C$3="ระแนงสลับ",ระแนงสลับ_ประตู!B21,X8)</f>
        <v>13</v>
      </c>
      <c r="C19" s="57">
        <f>IF($C$3="ระแนงสลับ",ระแนงสลับ_ประตู!C21,X10)</f>
        <v>1220</v>
      </c>
      <c r="D19" s="57">
        <f>IF($C$3="ระแนงสลับ",ระแนงสลับ_ประตู!D21,X8*X10+IF(AND(B17="ต่อ",H11&gt;0),X7*80,0))</f>
        <v>15860</v>
      </c>
      <c r="G19" s="65" t="s">
        <v>1759</v>
      </c>
      <c r="H19" s="65" t="str">
        <f>B2&amp;"|"&amp;B3&amp;"|"&amp;H18</f>
        <v>กล่อง 1.6"×4"|1.6"|5</v>
      </c>
      <c r="J19" s="65" t="s">
        <v>1610</v>
      </c>
      <c r="K19" s="66">
        <v>5</v>
      </c>
      <c r="N19" s="9" t="s">
        <v>2791</v>
      </c>
      <c r="O19" s="10">
        <v>4300</v>
      </c>
      <c r="P19" s="10">
        <v>400</v>
      </c>
      <c r="Q19" s="10">
        <v>1400</v>
      </c>
      <c r="R19" s="10">
        <v>2200</v>
      </c>
      <c r="S19" s="10">
        <v>3200</v>
      </c>
    </row>
    <row r="20" spans="1:24" ht="15" customHeight="1">
      <c r="A20" s="188" t="str">
        <f>IF($C$3="ระแนงสลับ",ระแนงสลับ_ประตู!A22,"")</f>
        <v/>
      </c>
      <c r="B20" s="189" t="str">
        <f>IF($C$3="ระแนงสลับ",ระแนงสลับ_ประตู!B22,"")</f>
        <v/>
      </c>
      <c r="C20" s="189" t="str">
        <f>IF($C$3="ระแนงสลับ",ระแนงสลับ_ประตู!C22,"")</f>
        <v/>
      </c>
      <c r="D20" s="190">
        <f>IF($C$3="ระแนงสลับ",ระแนงสลับ_ประตู!D22,0)</f>
        <v>0</v>
      </c>
      <c r="G20" s="262" t="s">
        <v>1760</v>
      </c>
      <c r="H20" s="299">
        <f>ROUND((X6-X7*X3)/(X7-1),2)</f>
        <v>5.04</v>
      </c>
    </row>
    <row r="21" spans="1:24" ht="15" customHeight="1">
      <c r="A21" s="188" t="str">
        <f>IF($C$3="ระแนงสลับ",ระแนงสลับ_ประตู!A23,"")</f>
        <v/>
      </c>
      <c r="B21" s="189" t="str">
        <f>IF($C$3="ระแนงสลับ",ระแนงสลับ_ประตู!B23,"")</f>
        <v/>
      </c>
      <c r="C21" s="189" t="str">
        <f>IF($C$3="ระแนงสลับ",ระแนงสลับ_ประตู!C23,"")</f>
        <v/>
      </c>
      <c r="D21" s="190">
        <f>IF($C$3="ระแนงสลับ",ระแนงสลับ_ประตู!D23,0)</f>
        <v>0</v>
      </c>
      <c r="G21" s="262" t="s">
        <v>1761</v>
      </c>
      <c r="H21" s="299">
        <f>ระแนงสลับ_ประตู!E12</f>
        <v>2.1484999999999985</v>
      </c>
    </row>
    <row r="22" spans="1:24" ht="15" customHeight="1">
      <c r="A22" s="188" t="str">
        <f>IF($C$3="ระแนงสลับ",ระแนงสลับ_ประตู!A24,"")</f>
        <v/>
      </c>
      <c r="B22" s="189" t="str">
        <f>IF($C$3="ระแนงสลับ",ระแนงสลับ_ประตู!B24,"")</f>
        <v/>
      </c>
      <c r="C22" s="189" t="str">
        <f>IF($C$3="ระแนงสลับ",ระแนงสลับ_ประตู!C24,"")</f>
        <v/>
      </c>
      <c r="D22" s="190">
        <f>IF($C$3="ระแนงสลับ",ระแนงสลับ_ประตู!D24,0)</f>
        <v>0</v>
      </c>
    </row>
    <row r="23" spans="1:24" ht="15" customHeight="1">
      <c r="A23" s="71" t="s">
        <v>1762</v>
      </c>
      <c r="B23" s="57">
        <f>IF(B13="มี",X17*(2*(B7/X17+B8)/600)*buf_scrap,X12)</f>
        <v>2</v>
      </c>
      <c r="C23" s="57">
        <f>X13</f>
        <v>1540</v>
      </c>
      <c r="D23" s="57">
        <f t="shared" ref="D23:D28" si="0">B23*C23</f>
        <v>3080</v>
      </c>
      <c r="G23" s="65" t="s">
        <v>1653</v>
      </c>
      <c r="H23" s="67">
        <f>IFERROR(MATCH(H19,$N$2:$N$38,0),0)</f>
        <v>35</v>
      </c>
      <c r="J23" s="65" t="s">
        <v>1616</v>
      </c>
      <c r="K23" s="66">
        <v>2.54</v>
      </c>
      <c r="N23" s="9" t="s">
        <v>2792</v>
      </c>
      <c r="O23" s="10">
        <v>3300</v>
      </c>
      <c r="P23" s="10">
        <v>300</v>
      </c>
      <c r="Q23" s="10">
        <v>900</v>
      </c>
      <c r="R23" s="10">
        <v>1400</v>
      </c>
      <c r="S23" s="10">
        <v>2000</v>
      </c>
    </row>
    <row r="24" spans="1:24" ht="15" customHeight="1">
      <c r="A24" s="71" t="s">
        <v>1763</v>
      </c>
      <c r="B24" s="57">
        <v>1</v>
      </c>
      <c r="C24" s="57">
        <f>X14</f>
        <v>2210</v>
      </c>
      <c r="D24" s="57">
        <f t="shared" si="0"/>
        <v>2210</v>
      </c>
      <c r="G24" s="65" t="s">
        <v>1764</v>
      </c>
      <c r="H24" s="67">
        <f>IF(H23=0,0,INDEX($O$2:$O$38,H23)+IF(B5="เทาซาฮาร่า",INDEX($P$2:$P$38,H23),IF(B5="ลายไม้สต๊อก",INDEX($Q$2:$Q$38,H23),IF(B5="สีอบพิเศษ",INDEX($R$2:$R$38,H23),IF(B5="สีลายไม้อบพิเศษ",INDEX($S$2:$S$38,H23),0)))))</f>
        <v>5400</v>
      </c>
      <c r="J24" s="65" t="s">
        <v>1621</v>
      </c>
      <c r="K24" s="66">
        <v>3.81</v>
      </c>
      <c r="N24" s="9" t="s">
        <v>2793</v>
      </c>
      <c r="O24" s="10">
        <v>3700</v>
      </c>
      <c r="P24" s="10">
        <v>300</v>
      </c>
      <c r="Q24" s="10">
        <v>1000</v>
      </c>
      <c r="R24" s="10">
        <v>1700</v>
      </c>
      <c r="S24" s="10">
        <v>2400</v>
      </c>
    </row>
    <row r="25" spans="1:24" ht="15" customHeight="1">
      <c r="A25" s="71" t="s">
        <v>1765</v>
      </c>
      <c r="B25" s="57">
        <v>1</v>
      </c>
      <c r="C25" s="57">
        <f>ราคาเหล็ก!$D$10</f>
        <v>860</v>
      </c>
      <c r="D25" s="57">
        <f t="shared" si="0"/>
        <v>860</v>
      </c>
      <c r="J25" s="65" t="s">
        <v>1612</v>
      </c>
      <c r="K25" s="66">
        <v>4.0599999999999996</v>
      </c>
      <c r="N25" s="9" t="s">
        <v>2794</v>
      </c>
      <c r="O25" s="10">
        <v>3700</v>
      </c>
      <c r="P25" s="10">
        <v>300</v>
      </c>
      <c r="Q25" s="10">
        <v>1000</v>
      </c>
      <c r="R25" s="10">
        <v>1700</v>
      </c>
      <c r="S25" s="10">
        <v>2400</v>
      </c>
    </row>
    <row r="26" spans="1:24" ht="15" customHeight="1">
      <c r="A26" s="71" t="s">
        <v>1766</v>
      </c>
      <c r="B26" s="57">
        <f>IF(B13="มี",X17+1,B10)</f>
        <v>2</v>
      </c>
      <c r="C26" s="57">
        <f>IF(B13="มี",ชีทอุปกรณ์!$D$208,ชีทอุปกรณ์!$D$207)</f>
        <v>299</v>
      </c>
      <c r="D26" s="57">
        <f t="shared" si="0"/>
        <v>598</v>
      </c>
      <c r="J26" s="65" t="s">
        <v>1630</v>
      </c>
      <c r="K26" s="66">
        <v>10.16</v>
      </c>
      <c r="N26" s="9" t="s">
        <v>1674</v>
      </c>
      <c r="O26" s="10">
        <v>5500</v>
      </c>
      <c r="P26" s="10">
        <v>600</v>
      </c>
      <c r="Q26" s="10">
        <v>2000</v>
      </c>
      <c r="R26" s="10">
        <v>3700</v>
      </c>
      <c r="S26" s="10">
        <v>5300</v>
      </c>
    </row>
    <row r="27" spans="1:24" ht="15" customHeight="1">
      <c r="A27" s="71" t="s">
        <v>1767</v>
      </c>
      <c r="B27" s="57">
        <v>4</v>
      </c>
      <c r="C27" s="57">
        <v>30</v>
      </c>
      <c r="D27" s="57">
        <f t="shared" si="0"/>
        <v>120</v>
      </c>
      <c r="G27" s="390" t="s">
        <v>3183</v>
      </c>
      <c r="N27" s="9" t="s">
        <v>1675</v>
      </c>
      <c r="O27" s="10">
        <v>7100</v>
      </c>
      <c r="P27" s="10">
        <v>800</v>
      </c>
      <c r="Q27" s="10">
        <v>2700</v>
      </c>
      <c r="R27" s="10">
        <v>5200</v>
      </c>
      <c r="S27" s="10">
        <v>7500</v>
      </c>
    </row>
    <row r="28" spans="1:24" ht="15" customHeight="1">
      <c r="A28" s="71" t="s">
        <v>1768</v>
      </c>
      <c r="B28" s="57">
        <f>X15</f>
        <v>2</v>
      </c>
      <c r="C28" s="57">
        <f>ชีทอุปกรณ์!$D$209</f>
        <v>1090</v>
      </c>
      <c r="D28" s="57">
        <f t="shared" si="0"/>
        <v>2180</v>
      </c>
      <c r="G28" t="s">
        <v>1715</v>
      </c>
      <c r="H28" t="str">
        <f>IF($C$3="ระแนงสลับ",ระแนงสลับ_ประตู!E9,"—")</f>
        <v>—</v>
      </c>
      <c r="N28" s="9" t="s">
        <v>1676</v>
      </c>
      <c r="O28" s="10">
        <v>7900</v>
      </c>
      <c r="P28" s="10">
        <v>900</v>
      </c>
      <c r="Q28" s="10">
        <v>3100</v>
      </c>
      <c r="R28" s="10">
        <v>5900</v>
      </c>
      <c r="S28" s="10">
        <v>8500</v>
      </c>
    </row>
    <row r="29" spans="1:24" ht="15" customHeight="1">
      <c r="A29" s="71" t="s">
        <v>1769</v>
      </c>
      <c r="B29" s="57">
        <f>IF(B12="มี",1,0)</f>
        <v>1</v>
      </c>
      <c r="C29" s="57">
        <f>ราคาออโต้!$C$30</f>
        <v>10000</v>
      </c>
      <c r="D29" s="57">
        <f>IF(B12="มี",1,0)*C29</f>
        <v>10000</v>
      </c>
      <c r="G29" t="s">
        <v>1718</v>
      </c>
      <c r="H29" t="str">
        <f>IF($C$3="ระแนงสลับ",ระแนงสลับ_ประตู!E10,"—")</f>
        <v>—</v>
      </c>
      <c r="N29" s="9" t="s">
        <v>1678</v>
      </c>
      <c r="O29" s="10">
        <v>4000</v>
      </c>
      <c r="P29" s="10">
        <v>400</v>
      </c>
      <c r="Q29" s="10">
        <v>1200</v>
      </c>
      <c r="R29" s="10">
        <v>2300</v>
      </c>
      <c r="S29" s="10">
        <v>3200</v>
      </c>
    </row>
    <row r="30" spans="1:24" ht="15" customHeight="1">
      <c r="A30" s="71" t="s">
        <v>1770</v>
      </c>
      <c r="B30" s="57">
        <f>B11</f>
        <v>0</v>
      </c>
      <c r="C30" s="57">
        <f>ราคาออโต้!$C$31</f>
        <v>500</v>
      </c>
      <c r="D30" s="57">
        <f>B30*C30</f>
        <v>0</v>
      </c>
      <c r="G30" t="s">
        <v>1712</v>
      </c>
      <c r="H30" s="390" t="str">
        <f>IF($C$3="ระแนงสลับ",ระแนงสลับ_ประตู!E8,"—")</f>
        <v>—</v>
      </c>
      <c r="N30" s="9" t="s">
        <v>1680</v>
      </c>
      <c r="O30" s="10">
        <v>4000</v>
      </c>
      <c r="P30" s="10">
        <v>400</v>
      </c>
      <c r="Q30" s="10">
        <v>1200</v>
      </c>
      <c r="R30" s="10">
        <v>2300</v>
      </c>
      <c r="S30" s="10">
        <v>3200</v>
      </c>
    </row>
    <row r="31" spans="1:24" ht="15" customHeight="1">
      <c r="A31" s="71" t="s">
        <v>1771</v>
      </c>
      <c r="B31" s="57">
        <f>IF(B14="มี",B9,0)</f>
        <v>0</v>
      </c>
      <c r="C31" s="57">
        <f>X16</f>
        <v>1500</v>
      </c>
      <c r="D31" s="57">
        <f>B31*C31</f>
        <v>0</v>
      </c>
      <c r="N31" s="9" t="s">
        <v>1682</v>
      </c>
      <c r="O31" s="10">
        <v>4800</v>
      </c>
      <c r="P31" s="10">
        <v>500</v>
      </c>
      <c r="Q31" s="10">
        <v>1600</v>
      </c>
      <c r="R31" s="10">
        <v>3000</v>
      </c>
      <c r="S31" s="10">
        <v>4300</v>
      </c>
    </row>
    <row r="32" spans="1:24" ht="15" customHeight="1">
      <c r="A32" s="71" t="s">
        <v>1772</v>
      </c>
      <c r="B32" s="57">
        <f>IF(B15="มี",1,0)</f>
        <v>0</v>
      </c>
      <c r="C32" s="57">
        <f>ราคาออโต้!$C$32</f>
        <v>2000</v>
      </c>
      <c r="D32" s="57">
        <f>B32*C32</f>
        <v>0</v>
      </c>
      <c r="N32" s="9" t="s">
        <v>1684</v>
      </c>
      <c r="O32" s="10">
        <v>5100</v>
      </c>
      <c r="P32" s="10">
        <v>500</v>
      </c>
      <c r="Q32" s="10">
        <v>1600</v>
      </c>
      <c r="R32" s="10">
        <v>3000</v>
      </c>
      <c r="S32" s="10">
        <v>4300</v>
      </c>
    </row>
    <row r="33" spans="1:19" ht="15" customHeight="1">
      <c r="A33" s="71" t="s">
        <v>1666</v>
      </c>
      <c r="B33" s="57">
        <f>IF(X11&gt;0,1,0)</f>
        <v>0</v>
      </c>
      <c r="C33" s="57">
        <f>X11</f>
        <v>0</v>
      </c>
      <c r="D33" s="57">
        <f>B33*C33</f>
        <v>0</v>
      </c>
      <c r="N33" s="9" t="s">
        <v>1685</v>
      </c>
      <c r="O33" s="10">
        <v>3900</v>
      </c>
      <c r="P33" s="10">
        <v>300</v>
      </c>
      <c r="Q33" s="10">
        <v>1100</v>
      </c>
      <c r="R33" s="10">
        <v>2000</v>
      </c>
      <c r="S33" s="10">
        <v>2800</v>
      </c>
    </row>
    <row r="34" spans="1:19" ht="15" customHeight="1">
      <c r="A34" s="71" t="s">
        <v>1773</v>
      </c>
      <c r="B34" s="57">
        <v>1</v>
      </c>
      <c r="C34" s="57"/>
      <c r="D34" s="57">
        <f>D51</f>
        <v>2600</v>
      </c>
      <c r="N34" s="9" t="s">
        <v>1686</v>
      </c>
      <c r="O34" s="10">
        <v>4400</v>
      </c>
      <c r="P34" s="10">
        <v>400</v>
      </c>
      <c r="Q34" s="10">
        <v>1400</v>
      </c>
      <c r="R34" s="10">
        <v>2400</v>
      </c>
      <c r="S34" s="10">
        <v>3500</v>
      </c>
    </row>
    <row r="35" spans="1:19" ht="15" customHeight="1">
      <c r="A35" s="90" t="s">
        <v>1774</v>
      </c>
      <c r="B35" s="117"/>
      <c r="C35" s="117"/>
      <c r="D35" s="122">
        <f>D52</f>
        <v>11327</v>
      </c>
      <c r="N35" s="9" t="s">
        <v>1687</v>
      </c>
      <c r="O35" s="10">
        <v>5000</v>
      </c>
      <c r="P35" s="10">
        <v>500</v>
      </c>
      <c r="Q35" s="10">
        <v>1700</v>
      </c>
      <c r="R35" s="10">
        <v>2900</v>
      </c>
      <c r="S35" s="10">
        <v>4200</v>
      </c>
    </row>
    <row r="36" spans="1:19" ht="15" customHeight="1">
      <c r="A36" s="73" t="s">
        <v>1775</v>
      </c>
      <c r="B36" s="117"/>
      <c r="C36" s="117"/>
      <c r="D36" s="123">
        <f>SUM(D19:D35)</f>
        <v>48835</v>
      </c>
      <c r="N36" s="9" t="s">
        <v>1688</v>
      </c>
      <c r="O36" s="10">
        <v>5400</v>
      </c>
      <c r="P36" s="10">
        <v>600</v>
      </c>
      <c r="Q36" s="10">
        <v>1900</v>
      </c>
      <c r="R36" s="10">
        <v>3300</v>
      </c>
      <c r="S36" s="10">
        <v>4700</v>
      </c>
    </row>
    <row r="37" spans="1:19" ht="15" customHeight="1">
      <c r="A37" s="26" t="s">
        <v>1045</v>
      </c>
      <c r="B37" s="616" t="s">
        <v>1738</v>
      </c>
      <c r="D37" s="42">
        <f>D36/X2</f>
        <v>6976.4285714285716</v>
      </c>
      <c r="N37" s="9" t="s">
        <v>1689</v>
      </c>
      <c r="O37" s="10">
        <v>6500</v>
      </c>
      <c r="P37" s="10">
        <v>700</v>
      </c>
      <c r="Q37" s="10">
        <v>2400</v>
      </c>
      <c r="R37" s="10">
        <v>4100</v>
      </c>
      <c r="S37" s="10">
        <v>5900</v>
      </c>
    </row>
    <row r="38" spans="1:19" ht="15" customHeight="1">
      <c r="A38" s="79" t="s">
        <v>1776</v>
      </c>
      <c r="B38" s="616" t="s">
        <v>1738</v>
      </c>
      <c r="N38" s="9" t="s">
        <v>1690</v>
      </c>
      <c r="O38" s="10">
        <v>7300</v>
      </c>
      <c r="P38" s="10">
        <v>800</v>
      </c>
      <c r="Q38" s="10">
        <v>2900</v>
      </c>
      <c r="R38" s="10">
        <v>4900</v>
      </c>
      <c r="S38" s="10">
        <v>7000</v>
      </c>
    </row>
    <row r="39" spans="1:19" ht="15" customHeight="1">
      <c r="A39" s="124" t="s">
        <v>1777</v>
      </c>
      <c r="N39" s="9" t="s">
        <v>1691</v>
      </c>
      <c r="O39" s="10">
        <v>4600</v>
      </c>
      <c r="P39" s="10">
        <v>400</v>
      </c>
      <c r="Q39" s="10">
        <v>1500</v>
      </c>
      <c r="R39" s="10">
        <v>2500</v>
      </c>
      <c r="S39" s="10">
        <v>3500</v>
      </c>
    </row>
    <row r="40" spans="1:19">
      <c r="A40" s="63" t="s">
        <v>3046</v>
      </c>
      <c r="N40" s="9" t="s">
        <v>1692</v>
      </c>
      <c r="O40" s="10">
        <v>4600</v>
      </c>
      <c r="P40" s="10">
        <v>400</v>
      </c>
      <c r="Q40" s="10">
        <v>1500</v>
      </c>
      <c r="R40" s="10">
        <v>2500</v>
      </c>
      <c r="S40" s="10">
        <v>3500</v>
      </c>
    </row>
    <row r="41" spans="1:19" ht="15" customHeight="1">
      <c r="A41" s="71" t="s">
        <v>1778</v>
      </c>
      <c r="D41" s="57">
        <f>H24*X2</f>
        <v>37800</v>
      </c>
      <c r="N41" s="9" t="s">
        <v>1693</v>
      </c>
      <c r="O41" s="10">
        <v>5400</v>
      </c>
      <c r="P41" s="10">
        <v>600</v>
      </c>
      <c r="Q41" s="10">
        <v>1900</v>
      </c>
      <c r="R41" s="10">
        <v>3300</v>
      </c>
      <c r="S41" s="10">
        <v>4700</v>
      </c>
    </row>
    <row r="42" spans="1:19" ht="15" customHeight="1">
      <c r="A42" s="71" t="s">
        <v>1779</v>
      </c>
      <c r="D42" s="57">
        <v>6000</v>
      </c>
    </row>
    <row r="43" spans="1:19" ht="15" customHeight="1">
      <c r="A43" s="71" t="s">
        <v>1780</v>
      </c>
      <c r="D43" s="57">
        <f>IF(B14="มี",X16*B9,X16*B9)</f>
        <v>10500</v>
      </c>
    </row>
    <row r="44" spans="1:19" ht="15" customHeight="1">
      <c r="A44" s="71" t="s">
        <v>1781</v>
      </c>
      <c r="D44" s="57">
        <f>IF(B12="มี",30000,0)</f>
        <v>30000</v>
      </c>
    </row>
    <row r="45" spans="1:19">
      <c r="A45" s="71" t="s">
        <v>1782</v>
      </c>
      <c r="D45" s="57">
        <f>IF(B15="มี",2000,0)</f>
        <v>0</v>
      </c>
    </row>
    <row r="46" spans="1:19" ht="15" customHeight="1">
      <c r="A46" s="75" t="s">
        <v>3047</v>
      </c>
      <c r="B46" s="117"/>
      <c r="C46" s="117"/>
      <c r="D46" s="77">
        <f>SUM(D41:D45)</f>
        <v>84300</v>
      </c>
    </row>
    <row r="47" spans="1:19">
      <c r="B47" s="117"/>
      <c r="C47" s="117"/>
    </row>
    <row r="48" spans="1:19">
      <c r="A48" s="483" t="s">
        <v>3048</v>
      </c>
      <c r="B48" s="483"/>
      <c r="C48" s="483"/>
      <c r="D48" s="484">
        <f>ROUNDUP((ROUNDUP(((ROUNDUP(((D36-D34-D35)*(1+$B$55/100))/100,0)*100+ROUNDUP((D34*(1+$B$76/100))/100,0)*100)*(1+$B$56/100))/100,0)*100*1)/100,0)*100+ROUNDUP((ROUNDUP(((ROUNDUP((D35*(1+$B$77/100))/100,0)*100)*(1+$B$56/100))/100,0)*100*1)/100,0)*100</f>
        <v>104400</v>
      </c>
    </row>
    <row r="51" spans="1:4">
      <c r="A51" s="26" t="s">
        <v>1773</v>
      </c>
      <c r="D51" s="42">
        <f>ROUND(VLOOKUP("ประตูรั้ว",ค่าแรง!$A$12:$N$117,2,0)+VLOOKUP("ประตูรั้ว",ค่าแรง!$A$12:$N$117,3,0)*X2,0)</f>
        <v>2600</v>
      </c>
    </row>
    <row r="52" spans="1:4">
      <c r="A52" s="26" t="s">
        <v>1774</v>
      </c>
      <c r="D52" s="42">
        <f>ROUND(VLOOKUP("ประตูรั้ว",ค่าแรง!$A$12:$N$117,4,0)+VLOOKUP("ประตูรั้ว",ค่าแรง!$A$12:$N$117,5,0)*X2,0)</f>
        <v>11327</v>
      </c>
    </row>
    <row r="54" spans="1:4">
      <c r="A54" s="390" t="s">
        <v>3148</v>
      </c>
    </row>
    <row r="55" spans="1:4">
      <c r="A55" t="s">
        <v>1179</v>
      </c>
      <c r="B55" s="542">
        <f>ROUND(($B$66*$B$67-1)*100,0)</f>
        <v>70</v>
      </c>
      <c r="C55" t="s">
        <v>3149</v>
      </c>
    </row>
    <row r="56" spans="1:4">
      <c r="A56" t="s">
        <v>3122</v>
      </c>
      <c r="B56" s="541">
        <v>30</v>
      </c>
      <c r="C56" t="s">
        <v>3150</v>
      </c>
    </row>
    <row r="57" spans="1:4">
      <c r="A57" s="613" t="s">
        <v>1138</v>
      </c>
      <c r="B57" s="614"/>
    </row>
    <row r="58" spans="1:4">
      <c r="A58" s="489" t="s">
        <v>3083</v>
      </c>
      <c r="B58" s="492">
        <f>SUM(D19:D24)</f>
        <v>21150</v>
      </c>
    </row>
    <row r="59" spans="1:4">
      <c r="A59" s="489" t="s">
        <v>3084</v>
      </c>
      <c r="B59" s="492">
        <f>SUM(D25,D26,D27,D28)</f>
        <v>3758</v>
      </c>
    </row>
    <row r="60" spans="1:4">
      <c r="A60" s="489" t="s">
        <v>3085</v>
      </c>
      <c r="B60" s="492">
        <f>SUM(D29,D30,D31,D32,D33)</f>
        <v>10000</v>
      </c>
    </row>
    <row r="61" spans="1:4">
      <c r="A61" s="491" t="s">
        <v>1144</v>
      </c>
      <c r="B61" s="493">
        <f>SUM(B58:B60)</f>
        <v>34908</v>
      </c>
    </row>
    <row r="62" spans="1:4">
      <c r="A62" s="488" t="s">
        <v>3067</v>
      </c>
    </row>
    <row r="64" spans="1:4">
      <c r="A64" s="533" t="s">
        <v>3151</v>
      </c>
      <c r="B64" s="535"/>
      <c r="C64" s="533"/>
    </row>
    <row r="65" spans="1:6">
      <c r="A65" t="s">
        <v>3144</v>
      </c>
      <c r="B65" s="541">
        <v>30</v>
      </c>
      <c r="C65" t="s">
        <v>3152</v>
      </c>
    </row>
    <row r="66" spans="1:6">
      <c r="A66" t="s">
        <v>3153</v>
      </c>
      <c r="B66" s="542">
        <v>1.6220000000000001</v>
      </c>
      <c r="C66" s="542">
        <v>1.431</v>
      </c>
      <c r="D66" s="542">
        <v>1.431</v>
      </c>
      <c r="E66" s="542" t="s">
        <v>3154</v>
      </c>
      <c r="F66" s="542"/>
    </row>
    <row r="67" spans="1:6">
      <c r="A67" t="s">
        <v>3155</v>
      </c>
      <c r="B67" s="542">
        <f>IFERROR((((D36-D34-D35)+(D34)+(D35))/(100/(100+B56)-B65/100))/(((D36-D34-D35)*$B$66+(D34)*$C$66+(D35)*$D$66)*(1+B56/100)),1)</f>
        <v>1.0458138433631263</v>
      </c>
      <c r="C67" t="s">
        <v>3156</v>
      </c>
    </row>
    <row r="69" spans="1:6">
      <c r="A69" s="533" t="s">
        <v>3126</v>
      </c>
      <c r="B69" s="535"/>
      <c r="C69" s="533"/>
    </row>
    <row r="70" spans="1:6">
      <c r="A70" s="533" t="s">
        <v>3127</v>
      </c>
      <c r="B70" s="534">
        <f>IFERROR(ROUND(D48-D48/(1+B56/100),0),0)</f>
        <v>24092</v>
      </c>
      <c r="C70" s="533" t="s">
        <v>3128</v>
      </c>
    </row>
    <row r="71" spans="1:6">
      <c r="A71" s="533" t="s">
        <v>3129</v>
      </c>
      <c r="B71" s="534">
        <f>D36-D34-D35+D34+D35+B70</f>
        <v>72927</v>
      </c>
      <c r="C71" s="533" t="s">
        <v>3130</v>
      </c>
    </row>
    <row r="72" spans="1:6">
      <c r="A72" s="536" t="s">
        <v>3131</v>
      </c>
      <c r="B72" s="537">
        <f>IFERROR((D48-B71)/D48,"")</f>
        <v>0.30146551724137932</v>
      </c>
      <c r="C72" s="536" t="s">
        <v>3157</v>
      </c>
    </row>
    <row r="75" spans="1:6">
      <c r="A75" t="s">
        <v>3160</v>
      </c>
      <c r="B75" t="s">
        <v>3133</v>
      </c>
      <c r="C75" t="s">
        <v>3161</v>
      </c>
    </row>
    <row r="76" spans="1:6">
      <c r="A76" t="s">
        <v>1180</v>
      </c>
      <c r="B76" s="542">
        <f>ROUND(($C$66*$B$67-1)*100,0)</f>
        <v>50</v>
      </c>
      <c r="C76" t="s">
        <v>3149</v>
      </c>
    </row>
    <row r="77" spans="1:6">
      <c r="A77" t="s">
        <v>1181</v>
      </c>
      <c r="B77" s="542">
        <f>ROUND(($D$66*$B$67-1)*100,0)</f>
        <v>50</v>
      </c>
      <c r="C77" t="s">
        <v>3149</v>
      </c>
    </row>
    <row r="78" spans="1:6">
      <c r="A78" t="s">
        <v>2518</v>
      </c>
      <c r="B78">
        <f>ROUNDUP((ROUNDUP(((ROUNDUP(((D36-D34-D35)*(1+$B$55/100))/100,0)*100+ROUNDUP((D34*(1+$B$76/100))/100,0)*100)*(1+$B$56/100))/100,0)*100*1)/100,0)*100</f>
        <v>82300</v>
      </c>
      <c r="C78" t="s">
        <v>3133</v>
      </c>
    </row>
  </sheetData>
  <sheetProtection sheet="1" objects="1" scenarios="1"/>
  <mergeCells count="1">
    <mergeCell ref="A1:F1"/>
  </mergeCells>
  <dataValidations count="11">
    <dataValidation type="list" allowBlank="1" sqref="B2" xr:uid="{00000000-0002-0000-2000-000000000000}">
      <formula1>$J$2:$J$8</formula1>
      <formula2>0</formula2>
    </dataValidation>
    <dataValidation type="list" allowBlank="1" sqref="B5" xr:uid="{00000000-0002-0000-2000-000001000000}">
      <formula1>$J$11:$J$15</formula1>
      <formula2>0</formula2>
    </dataValidation>
    <dataValidation type="list" allowBlank="1" sqref="B6" xr:uid="{00000000-0002-0000-2000-000002000000}">
      <formula1>"นอน,ตั้ง"</formula1>
      <formula2>0</formula2>
    </dataValidation>
    <dataValidation type="list" sqref="B17" xr:uid="{00000000-0002-0000-2000-000003000000}">
      <formula1>"ต่อ,ไม่ต่อ"</formula1>
    </dataValidation>
    <dataValidation type="list" sqref="B12:B15" xr:uid="{00000000-0002-0000-2000-000004000000}">
      <formula1>"มี,ไม่มี"</formula1>
    </dataValidation>
    <dataValidation type="list" allowBlank="1" sqref="C3" xr:uid="{00000000-0002-0000-2000-000008000000}">
      <formula1>"ระแนง,ระแนงสลับ"</formula1>
    </dataValidation>
    <dataValidation type="list" allowBlank="1" sqref="D6" xr:uid="{00000000-0002-0000-2000-00000A000000}">
      <formula1>$J$2:$J$8</formula1>
    </dataValidation>
    <dataValidation type="list" allowBlank="1" sqref="D7" xr:uid="{00000000-0002-0000-2000-00000B000000}">
      <formula1>$AF$3:$AF$4</formula1>
    </dataValidation>
    <dataValidation type="list" allowBlank="1" showInputMessage="1" showErrorMessage="1" sqref="D10" xr:uid="{EBC79EDD-22D7-4C85-8D49-EE1A43DA2443}">
      <formula1>"กล่อง 1×5 cm,กล่อง 1""×1"",กล่อง 1""×1½"",กล่อง 1""×1.6"",กล่อง 1""×4"",กล่อง 1.6""×1.6"",กล่อง 1.6""×4"""</formula1>
    </dataValidation>
    <dataValidation type="list" allowBlank="1" showInputMessage="1" showErrorMessage="1" sqref="D11" xr:uid="{41B4A6BB-4BFB-4D64-BFA9-E129621734BF}">
      <formula1>"1"",1.5"",1.6"",4"""</formula1>
    </dataValidation>
    <dataValidation type="list" allowBlank="1" showInputMessage="1" showErrorMessage="1" sqref="B3" xr:uid="{C455470C-B8BE-429B-B68E-9FE1BDC31F72}">
      <formula1>"1 cm,5 cm,1"",1.5"",1.6"",4"""</formula1>
    </dataValidation>
  </dataValidations>
  <hyperlinks>
    <hyperlink ref="G1" location="'สารบัญ'!A1" display="🏠 สารบัญ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5B9BD5"/>
  </sheetPr>
  <dimension ref="A1:AD60"/>
  <sheetViews>
    <sheetView workbookViewId="0"/>
  </sheetViews>
  <sheetFormatPr defaultRowHeight="14.4"/>
  <cols>
    <col min="1" max="1" width="24" customWidth="1"/>
    <col min="2" max="2" width="12.6640625" customWidth="1"/>
    <col min="3" max="3" width="42.6640625" customWidth="1"/>
    <col min="4" max="5" width="18" customWidth="1"/>
    <col min="7" max="7" width="8.5546875" customWidth="1"/>
    <col min="27" max="27" width="7.44140625" hidden="1" customWidth="1"/>
    <col min="28" max="28" width="4.44140625" hidden="1" customWidth="1"/>
    <col min="29" max="29" width="24" hidden="1" customWidth="1"/>
    <col min="30" max="30" width="7.44140625" customWidth="1"/>
  </cols>
  <sheetData>
    <row r="1" spans="1:30" ht="15.6">
      <c r="A1" s="99" t="s">
        <v>1783</v>
      </c>
      <c r="B1" s="243"/>
      <c r="G1" s="293" t="s">
        <v>68</v>
      </c>
      <c r="H1" s="294"/>
      <c r="AA1" s="21" t="s">
        <v>1784</v>
      </c>
      <c r="AB1" s="21" t="s">
        <v>1785</v>
      </c>
      <c r="AD1" t="s">
        <v>1786</v>
      </c>
    </row>
    <row r="2" spans="1:30">
      <c r="A2" s="26" t="s">
        <v>1105</v>
      </c>
      <c r="B2" s="560">
        <v>300</v>
      </c>
      <c r="D2" s="26" t="s">
        <v>1787</v>
      </c>
      <c r="E2" s="109">
        <f>B2/B4</f>
        <v>150</v>
      </c>
      <c r="AA2" s="26">
        <v>29.5</v>
      </c>
      <c r="AB2" s="26">
        <v>3</v>
      </c>
      <c r="AC2" s="26" t="s">
        <v>733</v>
      </c>
      <c r="AD2">
        <v>1</v>
      </c>
    </row>
    <row r="3" spans="1:30">
      <c r="A3" s="26" t="s">
        <v>1107</v>
      </c>
      <c r="B3" s="560">
        <v>150</v>
      </c>
      <c r="D3" s="26" t="s">
        <v>1788</v>
      </c>
      <c r="E3" s="109">
        <f>IF(B5="นอน",B3,E2)</f>
        <v>150</v>
      </c>
      <c r="AA3" s="26">
        <v>38.4</v>
      </c>
      <c r="AB3" s="26">
        <v>4</v>
      </c>
      <c r="AC3" s="26" t="s">
        <v>746</v>
      </c>
      <c r="AD3">
        <v>1</v>
      </c>
    </row>
    <row r="4" spans="1:30">
      <c r="A4" s="26" t="s">
        <v>1418</v>
      </c>
      <c r="B4" s="560">
        <v>2</v>
      </c>
      <c r="D4" s="26" t="s">
        <v>1789</v>
      </c>
      <c r="E4" s="109">
        <f>IF(B5="นอน",E2,B3)</f>
        <v>150</v>
      </c>
      <c r="AA4" s="26">
        <v>47.3</v>
      </c>
      <c r="AB4" s="26">
        <v>5</v>
      </c>
      <c r="AC4" s="26" t="s">
        <v>734</v>
      </c>
      <c r="AD4">
        <v>1</v>
      </c>
    </row>
    <row r="5" spans="1:30">
      <c r="A5" s="26" t="s">
        <v>1631</v>
      </c>
      <c r="B5" s="560" t="s">
        <v>1632</v>
      </c>
      <c r="D5" s="26" t="s">
        <v>1790</v>
      </c>
      <c r="E5" s="109">
        <f>IF(B5="นอน",E2,B3)</f>
        <v>150</v>
      </c>
      <c r="AA5" s="26">
        <v>56.2</v>
      </c>
      <c r="AB5" s="26">
        <v>6</v>
      </c>
      <c r="AC5" s="26" t="s">
        <v>730</v>
      </c>
      <c r="AD5">
        <v>1</v>
      </c>
    </row>
    <row r="6" spans="1:30">
      <c r="A6" s="26" t="s">
        <v>1791</v>
      </c>
      <c r="B6" s="560" t="s">
        <v>396</v>
      </c>
      <c r="C6" s="390" t="str">
        <f>IF(B6="","⚠ ยังไม่เลือกชนิดใบเกล็ด — ค่าใบเกล็ดจะไม่ถูกคิด","")</f>
        <v/>
      </c>
      <c r="D6" s="26" t="s">
        <v>1792</v>
      </c>
      <c r="E6" s="26">
        <f>IF(B8="สีอบขาว/ดำ",1,IF(B8="เทาซาฮาร่า",1+rate_grey/192,IF(B8="ลายไม้ stock",1.6,IF(B8="สีอบพิเศษ",1+rate_special/192,1+rate_woodbake/192))))</f>
        <v>1</v>
      </c>
      <c r="AA6" s="26">
        <v>65.099999999999994</v>
      </c>
      <c r="AB6" s="26">
        <v>7</v>
      </c>
      <c r="AC6" s="26" t="s">
        <v>748</v>
      </c>
      <c r="AD6">
        <v>1</v>
      </c>
    </row>
    <row r="7" spans="1:30">
      <c r="A7" s="26" t="s">
        <v>1793</v>
      </c>
      <c r="B7" s="560" t="s">
        <v>733</v>
      </c>
      <c r="D7" s="26" t="s">
        <v>1135</v>
      </c>
      <c r="E7" s="26">
        <f>IF(OR(B8="สีอบพิเศษ",B8="สีลายไม้อบพิเศษ"),อัปเดตราคาอลู!$B$17,0)</f>
        <v>0</v>
      </c>
      <c r="AA7" s="26">
        <v>74</v>
      </c>
      <c r="AB7" s="26">
        <v>8</v>
      </c>
      <c r="AC7" s="26" t="s">
        <v>749</v>
      </c>
      <c r="AD7">
        <v>1</v>
      </c>
    </row>
    <row r="8" spans="1:30">
      <c r="A8" s="26" t="s">
        <v>1236</v>
      </c>
      <c r="B8" s="560" t="s">
        <v>1123</v>
      </c>
      <c r="D8" s="26" t="s">
        <v>1794</v>
      </c>
      <c r="E8" s="26">
        <f>IF(B8="สีอบขาว/ดำ",0,1)</f>
        <v>0</v>
      </c>
      <c r="AA8" s="26">
        <v>82.9</v>
      </c>
      <c r="AB8" s="26">
        <v>9</v>
      </c>
      <c r="AC8" s="26" t="s">
        <v>750</v>
      </c>
      <c r="AD8">
        <v>1</v>
      </c>
    </row>
    <row r="9" spans="1:30">
      <c r="A9" s="26" t="s">
        <v>1747</v>
      </c>
      <c r="B9" s="560" t="s">
        <v>1164</v>
      </c>
      <c r="D9" s="26" t="s">
        <v>1795</v>
      </c>
      <c r="E9" s="26">
        <f>IFERROR(MATCH(E3,$AA$2:$AA$34,1),1)</f>
        <v>14</v>
      </c>
      <c r="AA9" s="26">
        <v>91.8</v>
      </c>
      <c r="AB9" s="26">
        <v>10</v>
      </c>
      <c r="AC9" s="26" t="s">
        <v>737</v>
      </c>
      <c r="AD9">
        <v>1</v>
      </c>
    </row>
    <row r="10" spans="1:30">
      <c r="A10" s="26" t="s">
        <v>1116</v>
      </c>
      <c r="B10" s="386">
        <f>$B$41</f>
        <v>60</v>
      </c>
      <c r="C10" s="588" t="s">
        <v>2702</v>
      </c>
      <c r="D10" s="26" t="s">
        <v>1796</v>
      </c>
      <c r="E10" s="26">
        <f>INDEX($AB$2:$AB$34,E9)</f>
        <v>16</v>
      </c>
      <c r="AA10" s="26">
        <v>100.7</v>
      </c>
      <c r="AB10" s="26">
        <v>11</v>
      </c>
      <c r="AC10" s="26" t="s">
        <v>752</v>
      </c>
      <c r="AD10">
        <v>2</v>
      </c>
    </row>
    <row r="11" spans="1:30">
      <c r="A11" s="262" t="s">
        <v>1797</v>
      </c>
      <c r="D11" s="26" t="s">
        <v>1798</v>
      </c>
      <c r="E11" s="109">
        <f>INDEX($AA$2:$AA$34,E9)</f>
        <v>145.19999999999999</v>
      </c>
      <c r="AA11" s="26">
        <v>109.6</v>
      </c>
      <c r="AB11" s="26">
        <v>12</v>
      </c>
      <c r="AC11" s="26" t="s">
        <v>755</v>
      </c>
      <c r="AD11">
        <v>2</v>
      </c>
    </row>
    <row r="12" spans="1:30">
      <c r="A12" s="271" t="s">
        <v>1799</v>
      </c>
      <c r="B12" s="299">
        <f>E10</f>
        <v>16</v>
      </c>
      <c r="D12" s="26" t="s">
        <v>1800</v>
      </c>
      <c r="E12" s="109">
        <f>MAX(0,E3-E11)</f>
        <v>4.8000000000000114</v>
      </c>
      <c r="AA12" s="26">
        <v>118.5</v>
      </c>
      <c r="AB12" s="26">
        <v>13</v>
      </c>
      <c r="AC12" s="26" t="s">
        <v>759</v>
      </c>
      <c r="AD12">
        <v>2</v>
      </c>
    </row>
    <row r="13" spans="1:30">
      <c r="A13" s="271" t="s">
        <v>1801</v>
      </c>
      <c r="B13" s="299">
        <f>ROUND(E11*10,0)</f>
        <v>1452</v>
      </c>
      <c r="D13" s="26" t="s">
        <v>1802</v>
      </c>
      <c r="E13" s="26">
        <f>IF(E12&gt;0,ROUNDUP(E12/8.9,0),0)</f>
        <v>1</v>
      </c>
      <c r="AA13" s="26">
        <v>127.4</v>
      </c>
      <c r="AB13" s="26">
        <v>14</v>
      </c>
      <c r="AC13" s="26" t="s">
        <v>762</v>
      </c>
      <c r="AD13">
        <v>2</v>
      </c>
    </row>
    <row r="14" spans="1:30">
      <c r="A14" s="271" t="s">
        <v>1803</v>
      </c>
      <c r="B14" s="299">
        <f>INDEX($AD$2:$AD$34,E9)</f>
        <v>2</v>
      </c>
      <c r="D14" s="26" t="s">
        <v>1804</v>
      </c>
      <c r="E14" s="26">
        <f>E10+E13</f>
        <v>17</v>
      </c>
      <c r="AA14" s="26">
        <v>136.30000000000001</v>
      </c>
      <c r="AB14" s="26">
        <v>15</v>
      </c>
      <c r="AC14" s="26" t="s">
        <v>764</v>
      </c>
      <c r="AD14">
        <v>2</v>
      </c>
    </row>
    <row r="15" spans="1:30">
      <c r="A15" s="271" t="s">
        <v>1805</v>
      </c>
      <c r="B15" s="299">
        <f>B25</f>
        <v>2</v>
      </c>
      <c r="D15" s="26" t="s">
        <v>1806</v>
      </c>
      <c r="E15" s="26">
        <f>E14*B4</f>
        <v>34</v>
      </c>
      <c r="AA15" s="26">
        <v>145.19999999999999</v>
      </c>
      <c r="AB15" s="26">
        <v>16</v>
      </c>
      <c r="AC15" s="26" t="s">
        <v>765</v>
      </c>
      <c r="AD15">
        <v>2</v>
      </c>
    </row>
    <row r="16" spans="1:30">
      <c r="D16" s="26" t="s">
        <v>1807</v>
      </c>
      <c r="E16" s="26">
        <f>IF(B6="ลูกฟูก",IF(E8=1,94,90),IF(E8=1,92,88))</f>
        <v>90</v>
      </c>
      <c r="AA16" s="26">
        <v>154.1</v>
      </c>
      <c r="AB16" s="26">
        <v>17</v>
      </c>
      <c r="AC16" s="26" t="s">
        <v>766</v>
      </c>
      <c r="AD16">
        <v>2</v>
      </c>
    </row>
    <row r="17" spans="1:30">
      <c r="D17" s="26" t="s">
        <v>1808</v>
      </c>
      <c r="E17" s="109">
        <f>2*(B2+B3)+(B4-1)*B3</f>
        <v>1050</v>
      </c>
      <c r="AA17" s="26">
        <v>163</v>
      </c>
      <c r="AB17" s="26">
        <v>18</v>
      </c>
      <c r="AC17" s="26" t="s">
        <v>1064</v>
      </c>
      <c r="AD17">
        <v>2</v>
      </c>
    </row>
    <row r="18" spans="1:30">
      <c r="D18" s="26" t="s">
        <v>1809</v>
      </c>
      <c r="E18" s="26">
        <f>ROUNDUP(E17/600,0)</f>
        <v>2</v>
      </c>
      <c r="AA18" s="26">
        <v>171.9</v>
      </c>
      <c r="AB18" s="26">
        <v>19</v>
      </c>
      <c r="AC18" s="26" t="s">
        <v>767</v>
      </c>
      <c r="AD18">
        <v>2</v>
      </c>
    </row>
    <row r="19" spans="1:30">
      <c r="D19" s="26" t="s">
        <v>1810</v>
      </c>
      <c r="E19" s="26">
        <f>IFERROR(INDEX(ราคากระจก!$B$3:$B$206,MATCH(B7,ราคากระจก!$A$3:$A$206,0)),264)</f>
        <v>264</v>
      </c>
      <c r="AA19" s="26">
        <v>180.8</v>
      </c>
      <c r="AB19" s="26">
        <v>20</v>
      </c>
      <c r="AC19" s="26" t="s">
        <v>769</v>
      </c>
      <c r="AD19">
        <v>2</v>
      </c>
    </row>
    <row r="20" spans="1:30">
      <c r="D20" s="26" t="s">
        <v>1811</v>
      </c>
      <c r="E20" s="26">
        <f>IF(B9="มี",INDEX(ราคาออโต้!$C:$C,MATCH("มอเตอร์บานเกล็ด",ราคาออโต้!$B:$B,0)),0)</f>
        <v>0</v>
      </c>
      <c r="AA20" s="26">
        <v>189.7</v>
      </c>
      <c r="AB20" s="26">
        <v>21</v>
      </c>
      <c r="AC20" s="26" t="s">
        <v>738</v>
      </c>
      <c r="AD20">
        <v>3</v>
      </c>
    </row>
    <row r="21" spans="1:30">
      <c r="AA21" s="26">
        <v>198.6</v>
      </c>
      <c r="AB21" s="26">
        <v>22</v>
      </c>
      <c r="AC21" s="26" t="s">
        <v>742</v>
      </c>
      <c r="AD21">
        <v>4</v>
      </c>
    </row>
    <row r="22" spans="1:30">
      <c r="AA22" s="26">
        <v>207.5</v>
      </c>
      <c r="AB22" s="26">
        <v>23</v>
      </c>
      <c r="AC22" s="26" t="s">
        <v>790</v>
      </c>
      <c r="AD22">
        <v>4</v>
      </c>
    </row>
    <row r="23" spans="1:30">
      <c r="A23" s="96" t="s">
        <v>1241</v>
      </c>
      <c r="B23" s="96" t="s">
        <v>1124</v>
      </c>
      <c r="C23" s="96" t="s">
        <v>1125</v>
      </c>
      <c r="D23" s="96" t="s">
        <v>1242</v>
      </c>
      <c r="AA23" s="26">
        <v>216.4</v>
      </c>
      <c r="AB23" s="26">
        <v>24</v>
      </c>
      <c r="AD23">
        <v>4</v>
      </c>
    </row>
    <row r="24" spans="1:30">
      <c r="A24" s="26" t="s">
        <v>1812</v>
      </c>
      <c r="B24" s="104">
        <f>E18</f>
        <v>2</v>
      </c>
      <c r="C24" s="104">
        <f>ราคาสี!$D$198*E6*mult_mtong</f>
        <v>905</v>
      </c>
      <c r="D24" s="105">
        <f>B24*C24</f>
        <v>1810</v>
      </c>
      <c r="AA24" s="26">
        <v>225.3</v>
      </c>
      <c r="AB24" s="26">
        <v>25</v>
      </c>
      <c r="AD24">
        <v>4</v>
      </c>
    </row>
    <row r="25" spans="1:30">
      <c r="A25" s="26" t="s">
        <v>1813</v>
      </c>
      <c r="B25" s="104">
        <f>B4</f>
        <v>2</v>
      </c>
      <c r="C25" s="104">
        <f>E10*E16</f>
        <v>1440</v>
      </c>
      <c r="D25" s="105">
        <f>E10*E16*B4</f>
        <v>2880</v>
      </c>
      <c r="AA25" s="26">
        <v>234.2</v>
      </c>
      <c r="AB25" s="26">
        <v>26</v>
      </c>
      <c r="AD25">
        <v>4</v>
      </c>
    </row>
    <row r="26" spans="1:30">
      <c r="A26" s="26" t="s">
        <v>1814</v>
      </c>
      <c r="B26" s="104">
        <f>IF(B6="ลูกฟูก",(E15*E4/600)*buf_scrap,ROUND(E15*0.102*E4/100,2))</f>
        <v>11.05</v>
      </c>
      <c r="C26" s="104">
        <f>IF(B6="ลูกฟูก",ชีทอุปกรณ์!$D$210*E6*mult_mtong,E19)</f>
        <v>572</v>
      </c>
      <c r="D26" s="105">
        <f>B26*C26</f>
        <v>6320.6</v>
      </c>
      <c r="AA26" s="26">
        <v>243.1</v>
      </c>
      <c r="AB26" s="26">
        <v>27</v>
      </c>
      <c r="AD26">
        <v>4</v>
      </c>
    </row>
    <row r="27" spans="1:30">
      <c r="A27" s="26" t="s">
        <v>1815</v>
      </c>
      <c r="B27" s="104">
        <f>IF(E13&gt;0,2*B4,0)</f>
        <v>4</v>
      </c>
      <c r="C27" s="104">
        <f>IF(E13&gt;0,(E12/600)*ชีทอุปกรณ์!$D$211,0)</f>
        <v>1.2000000000000028</v>
      </c>
      <c r="D27" s="105">
        <f>B27*C27</f>
        <v>4.8000000000000114</v>
      </c>
      <c r="AA27" s="26">
        <v>252</v>
      </c>
      <c r="AB27" s="26">
        <v>28</v>
      </c>
      <c r="AD27">
        <v>4</v>
      </c>
    </row>
    <row r="28" spans="1:30">
      <c r="A28" s="26" t="s">
        <v>1250</v>
      </c>
      <c r="B28" s="104">
        <f>IF(E7&gt;0,1,0)</f>
        <v>0</v>
      </c>
      <c r="C28" s="104">
        <f>E7</f>
        <v>0</v>
      </c>
      <c r="D28" s="105">
        <f>B28*C28</f>
        <v>0</v>
      </c>
      <c r="AA28" s="26">
        <v>260.89999999999998</v>
      </c>
      <c r="AB28" s="26">
        <v>29</v>
      </c>
      <c r="AD28">
        <v>4</v>
      </c>
    </row>
    <row r="29" spans="1:30">
      <c r="A29" s="26" t="s">
        <v>535</v>
      </c>
      <c r="B29" s="104">
        <f>IF(B9="มี",1,0)</f>
        <v>0</v>
      </c>
      <c r="C29" s="104">
        <f>E20</f>
        <v>0</v>
      </c>
      <c r="D29" s="105">
        <f>B29*C29</f>
        <v>0</v>
      </c>
      <c r="AA29" s="26">
        <v>269.8</v>
      </c>
      <c r="AB29" s="26">
        <v>30</v>
      </c>
      <c r="AD29">
        <v>4</v>
      </c>
    </row>
    <row r="30" spans="1:30">
      <c r="A30" s="21" t="s">
        <v>1816</v>
      </c>
      <c r="D30" s="106">
        <f>SUM(D24:D29)</f>
        <v>11015.4</v>
      </c>
      <c r="AA30" s="26">
        <v>278.7</v>
      </c>
      <c r="AB30" s="26">
        <v>31</v>
      </c>
      <c r="AD30">
        <v>4</v>
      </c>
    </row>
    <row r="31" spans="1:30">
      <c r="A31" s="26" t="s">
        <v>1606</v>
      </c>
      <c r="D31" s="107">
        <f>B2*B3/10000</f>
        <v>4.5</v>
      </c>
      <c r="AA31" s="26">
        <v>287.60000000000002</v>
      </c>
      <c r="AB31" s="26">
        <v>32</v>
      </c>
      <c r="AD31">
        <v>4</v>
      </c>
    </row>
    <row r="32" spans="1:30">
      <c r="A32" s="26" t="s">
        <v>1817</v>
      </c>
      <c r="D32" s="105">
        <f>ROUND(VLOOKUP("บานเกล็ด",ค่าแรง!$A$12:$N$117,2,0)+VLOOKUP("บานเกล็ด",ค่าแรง!$A$12:$N$117,3,0)*D31,0)</f>
        <v>440</v>
      </c>
      <c r="AA32" s="26">
        <v>296.5</v>
      </c>
      <c r="AB32" s="26">
        <v>33</v>
      </c>
      <c r="AD32">
        <v>6</v>
      </c>
    </row>
    <row r="33" spans="1:30">
      <c r="A33" s="26" t="s">
        <v>1818</v>
      </c>
      <c r="D33" s="105">
        <f>ROUND(VLOOKUP("บานเกล็ด",ค่าแรง!$A$12:$N$117,4,0)+VLOOKUP("บานเกล็ด",ค่าแรง!$A$12:$N$117,5,0)*D31,0)</f>
        <v>1111</v>
      </c>
      <c r="AA33" s="26">
        <v>305.39999999999998</v>
      </c>
      <c r="AB33" s="26">
        <v>34</v>
      </c>
      <c r="AD33">
        <v>6</v>
      </c>
    </row>
    <row r="34" spans="1:30">
      <c r="A34" s="21" t="s">
        <v>1428</v>
      </c>
      <c r="D34" s="108">
        <f>ROUNDUP((ROUNDUP((ROUNDUP(D30*(1+B10/100)/100,0)*100+ROUNDUP(D32*(1+B42/100)/100,0)*100)*(1+$B$44/100)/100,0)*100)*1/100,0)*100</f>
        <v>24100</v>
      </c>
      <c r="AA34" s="26">
        <v>314.3</v>
      </c>
      <c r="AB34" s="26">
        <v>35</v>
      </c>
      <c r="AD34">
        <v>6</v>
      </c>
    </row>
    <row r="35" spans="1:30">
      <c r="A35" s="21" t="s">
        <v>1429</v>
      </c>
      <c r="D35" s="108">
        <f>D34+ROUNDUP((ROUNDUP((ROUNDUP(D33*(1+B43/100)/100,0)*100)*(1+$B$44/100)/100,0)*100)*1/100,0)*100</f>
        <v>27100</v>
      </c>
      <c r="AA35" s="26"/>
      <c r="AB35" s="26"/>
    </row>
    <row r="36" spans="1:30">
      <c r="AA36" s="26"/>
      <c r="AB36" s="26"/>
    </row>
    <row r="37" spans="1:30">
      <c r="A37" s="26" t="s">
        <v>1819</v>
      </c>
    </row>
    <row r="38" spans="1:30">
      <c r="A38" s="271" t="s">
        <v>1820</v>
      </c>
      <c r="D38" s="271">
        <f>ROUND((D30+D32+D33)/D31,0)</f>
        <v>2793</v>
      </c>
    </row>
    <row r="40" spans="1:30">
      <c r="A40" s="271" t="s">
        <v>3148</v>
      </c>
    </row>
    <row r="41" spans="1:30">
      <c r="A41" s="271" t="s">
        <v>1179</v>
      </c>
      <c r="B41" s="561">
        <f>ROUND(($B$54*$B$55-1)*100,0)</f>
        <v>60</v>
      </c>
      <c r="C41" s="271" t="s">
        <v>3149</v>
      </c>
    </row>
    <row r="42" spans="1:30">
      <c r="A42" s="271" t="s">
        <v>1180</v>
      </c>
      <c r="B42" s="561">
        <f>ROUND(($C$54*$B$55-1)*100,0)</f>
        <v>60</v>
      </c>
      <c r="C42" s="271" t="s">
        <v>3149</v>
      </c>
    </row>
    <row r="43" spans="1:30">
      <c r="A43" s="271" t="s">
        <v>1181</v>
      </c>
      <c r="B43" s="561">
        <f>ROUND(($D$54*$B$55-1)*100,0)</f>
        <v>101</v>
      </c>
      <c r="C43" s="271" t="s">
        <v>3149</v>
      </c>
    </row>
    <row r="44" spans="1:30">
      <c r="A44" s="271" t="s">
        <v>3122</v>
      </c>
      <c r="B44" s="560">
        <v>30</v>
      </c>
      <c r="C44" s="271" t="s">
        <v>3150</v>
      </c>
    </row>
    <row r="45" spans="1:30">
      <c r="A45" s="613" t="s">
        <v>1138</v>
      </c>
      <c r="B45" s="614"/>
    </row>
    <row r="46" spans="1:30">
      <c r="A46" s="489" t="s">
        <v>3068</v>
      </c>
      <c r="B46" s="492">
        <f>SUM(D24,D25,D27)</f>
        <v>4694.8</v>
      </c>
    </row>
    <row r="47" spans="1:30">
      <c r="A47" s="489" t="s">
        <v>3069</v>
      </c>
      <c r="B47" s="492">
        <f>SUM(D26)</f>
        <v>6320.6</v>
      </c>
    </row>
    <row r="48" spans="1:30">
      <c r="A48" s="489" t="s">
        <v>3070</v>
      </c>
      <c r="B48" s="492">
        <f>SUM(D28,D29)</f>
        <v>0</v>
      </c>
    </row>
    <row r="49" spans="1:6">
      <c r="A49" s="491" t="s">
        <v>1144</v>
      </c>
      <c r="B49" s="493">
        <f>SUM(B46:B48)</f>
        <v>11015.400000000001</v>
      </c>
    </row>
    <row r="50" spans="1:6">
      <c r="A50" s="488" t="s">
        <v>3067</v>
      </c>
    </row>
    <row r="52" spans="1:6">
      <c r="A52" s="533" t="s">
        <v>3151</v>
      </c>
      <c r="B52" s="535"/>
      <c r="C52" s="533"/>
    </row>
    <row r="53" spans="1:6">
      <c r="A53" t="s">
        <v>3144</v>
      </c>
      <c r="B53" s="541">
        <v>30</v>
      </c>
      <c r="C53" t="s">
        <v>3152</v>
      </c>
    </row>
    <row r="54" spans="1:6">
      <c r="A54" t="s">
        <v>3153</v>
      </c>
      <c r="B54" s="542">
        <v>1.7230000000000001</v>
      </c>
      <c r="C54" s="542">
        <v>1.7230000000000001</v>
      </c>
      <c r="D54" s="542">
        <v>2.1539999999999999</v>
      </c>
      <c r="E54" s="542" t="s">
        <v>3154</v>
      </c>
      <c r="F54" s="542"/>
    </row>
    <row r="55" spans="1:6">
      <c r="A55" t="s">
        <v>3155</v>
      </c>
      <c r="B55" s="542">
        <f>IFERROR((((D30)+(D32)+(D33))/(100/(100+B44)-B53/100))/(((D30)*$B$54+(D32)*$C$54+(D33)*$D$54)*(1+B44/100)),1)</f>
        <v>0.93086124118049085</v>
      </c>
      <c r="C55" t="s">
        <v>3156</v>
      </c>
    </row>
    <row r="57" spans="1:6">
      <c r="A57" s="533" t="s">
        <v>3126</v>
      </c>
      <c r="B57" s="535"/>
      <c r="C57" s="533"/>
    </row>
    <row r="58" spans="1:6">
      <c r="A58" s="533" t="s">
        <v>3127</v>
      </c>
      <c r="B58" s="534">
        <f>IFERROR(ROUND(D35-D35/(1+B44/100),0),0)</f>
        <v>6254</v>
      </c>
      <c r="C58" s="533" t="s">
        <v>3128</v>
      </c>
    </row>
    <row r="59" spans="1:6">
      <c r="A59" s="533" t="s">
        <v>3129</v>
      </c>
      <c r="B59" s="534">
        <f>D30+D32+D33+B58</f>
        <v>18820.400000000001</v>
      </c>
      <c r="C59" s="533" t="s">
        <v>3130</v>
      </c>
    </row>
    <row r="60" spans="1:6">
      <c r="A60" s="536" t="s">
        <v>3131</v>
      </c>
      <c r="B60" s="537">
        <f>IFERROR((D35-B59)/D35,"")</f>
        <v>0.30552029520295199</v>
      </c>
      <c r="C60" s="536" t="s">
        <v>3157</v>
      </c>
    </row>
  </sheetData>
  <sheetProtection sheet="1" objects="1" scenarios="1"/>
  <dataValidations count="5">
    <dataValidation type="list" allowBlank="1" sqref="B5" xr:uid="{00000000-0002-0000-2100-000000000000}">
      <formula1>"นอน,ตั้ง"</formula1>
    </dataValidation>
    <dataValidation type="list" allowBlank="1" sqref="B6" xr:uid="{00000000-0002-0000-2100-000001000000}">
      <formula1>"ลูกฟูก,กระจก"</formula1>
    </dataValidation>
    <dataValidation type="list" allowBlank="1" sqref="B8" xr:uid="{00000000-0002-0000-2100-000002000000}">
      <formula1>"สีอบขาว/ดำ,เทาซาฮาร่า,ลายไม้ stock,สีอบพิเศษ,สีลายไม้อบพิเศษ"</formula1>
    </dataValidation>
    <dataValidation type="list" allowBlank="1" sqref="B9" xr:uid="{00000000-0002-0000-2100-000003000000}">
      <formula1>"มี,ไม่มี"</formula1>
    </dataValidation>
    <dataValidation type="list" allowBlank="1" sqref="B7" xr:uid="{00000000-0002-0000-2100-000004000000}">
      <formula1>$AC$2:$AC$22</formula1>
    </dataValidation>
  </dataValidations>
  <hyperlinks>
    <hyperlink ref="G1" location="'สารบัญ'!A1" display="🏠 สารบัญ" xr:uid="{00000000-0004-0000-2100-000000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B9BD5"/>
  </sheetPr>
  <dimension ref="A1:AF54"/>
  <sheetViews>
    <sheetView workbookViewId="0">
      <selection activeCell="A26" sqref="A26:D26"/>
    </sheetView>
  </sheetViews>
  <sheetFormatPr defaultColWidth="8.6640625" defaultRowHeight="14.4"/>
  <cols>
    <col min="1" max="1" width="24" customWidth="1"/>
    <col min="2" max="2" width="13.77734375" customWidth="1"/>
    <col min="3" max="3" width="42.6640625" customWidth="1"/>
    <col min="4" max="4" width="18" customWidth="1"/>
    <col min="5" max="5" width="21.109375" customWidth="1"/>
    <col min="6" max="6" width="3" customWidth="1"/>
    <col min="7" max="7" width="13.77734375" customWidth="1"/>
    <col min="8" max="8" width="7.4414062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7.44140625" customWidth="1"/>
    <col min="17" max="17" width="4.44140625" customWidth="1"/>
    <col min="18" max="20" width="6.44140625" customWidth="1"/>
    <col min="22" max="22" width="10.66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660" t="s">
        <v>1821</v>
      </c>
      <c r="B1" s="650"/>
      <c r="C1" s="650"/>
      <c r="D1" s="650"/>
      <c r="E1" s="650"/>
      <c r="F1" s="650"/>
      <c r="G1" s="293" t="s">
        <v>68</v>
      </c>
      <c r="H1" s="294"/>
      <c r="I1" s="243"/>
      <c r="J1" s="63" t="s">
        <v>1603</v>
      </c>
      <c r="V1" s="8" t="s">
        <v>1604</v>
      </c>
      <c r="AF1" t="str">
        <f>IFERROR(VLOOKUP(B2,$AB$2:$AD$8,2,0),"")</f>
        <v>1.6"</v>
      </c>
    </row>
    <row r="2" spans="1:32" ht="15" customHeight="1">
      <c r="A2" s="63" t="s">
        <v>1605</v>
      </c>
      <c r="B2" s="553" t="s">
        <v>570</v>
      </c>
      <c r="D2" s="65" t="s">
        <v>1606</v>
      </c>
      <c r="E2" s="66">
        <f>(H16/100)*(H17/100)</f>
        <v>4.8</v>
      </c>
      <c r="G2" s="65" t="s">
        <v>1607</v>
      </c>
      <c r="H2" s="67">
        <f>IF(B5="รวม",ROUNDUP(IF(B9&lt;=250,2,3)/MAX(INT(600/B8),1),0),0)</f>
        <v>0</v>
      </c>
      <c r="J2" s="65" t="s">
        <v>666</v>
      </c>
      <c r="K2" s="67">
        <f>ราคาสี!$D$194</f>
        <v>500</v>
      </c>
      <c r="N2" s="9" t="s">
        <v>1608</v>
      </c>
      <c r="O2" s="10">
        <v>3300</v>
      </c>
      <c r="P2" s="10">
        <v>5200</v>
      </c>
      <c r="Q2" s="10">
        <v>300</v>
      </c>
      <c r="R2" s="10">
        <v>1000</v>
      </c>
      <c r="S2" s="10">
        <v>1700</v>
      </c>
      <c r="T2" s="10">
        <v>2400</v>
      </c>
      <c r="V2" s="9">
        <v>50</v>
      </c>
      <c r="AB2" t="s">
        <v>666</v>
      </c>
      <c r="AC2" t="s">
        <v>1609</v>
      </c>
      <c r="AD2" t="s">
        <v>1610</v>
      </c>
      <c r="AF2" t="str">
        <f>IFERROR(VLOOKUP(B2,$AB$2:$AD$8,3,0),"")</f>
        <v>4"</v>
      </c>
    </row>
    <row r="3" spans="1:32" ht="15" customHeight="1">
      <c r="A3" s="63" t="s">
        <v>1611</v>
      </c>
      <c r="B3" s="553" t="s">
        <v>1612</v>
      </c>
      <c r="D3" s="65" t="s">
        <v>1613</v>
      </c>
      <c r="E3" s="66">
        <f>VLOOKUP(B3,$J$18:$K$23,2,0)</f>
        <v>4.0599999999999996</v>
      </c>
      <c r="G3" s="65" t="s">
        <v>1614</v>
      </c>
      <c r="H3" s="67">
        <f>ROUND(485*E9/5,0)*5</f>
        <v>485</v>
      </c>
      <c r="J3" s="65" t="s">
        <v>667</v>
      </c>
      <c r="K3" s="67">
        <f>ราคาสี!$D$195</f>
        <v>310</v>
      </c>
      <c r="N3" s="9" t="s">
        <v>1615</v>
      </c>
      <c r="O3" s="10">
        <v>4300</v>
      </c>
      <c r="P3" s="10">
        <v>6000</v>
      </c>
      <c r="Q3" s="10">
        <v>400</v>
      </c>
      <c r="R3" s="10">
        <v>1500</v>
      </c>
      <c r="S3" s="10">
        <v>2500</v>
      </c>
      <c r="T3" s="10">
        <v>3500</v>
      </c>
      <c r="V3" s="9">
        <v>60</v>
      </c>
      <c r="AB3" t="s">
        <v>667</v>
      </c>
      <c r="AC3" t="s">
        <v>1616</v>
      </c>
      <c r="AD3" t="s">
        <v>1616</v>
      </c>
    </row>
    <row r="4" spans="1:32" ht="15" customHeight="1">
      <c r="A4" s="63" t="s">
        <v>1822</v>
      </c>
      <c r="B4" s="554">
        <v>0.2</v>
      </c>
      <c r="D4" s="65" t="s">
        <v>1618</v>
      </c>
      <c r="E4" s="66">
        <f>E3+B4</f>
        <v>4.26</v>
      </c>
      <c r="G4" s="65" t="s">
        <v>1619</v>
      </c>
      <c r="H4" s="67">
        <f>VLOOKUP(B6,$J$11:$L$15,3,0)</f>
        <v>0</v>
      </c>
      <c r="J4" s="65" t="s">
        <v>572</v>
      </c>
      <c r="K4" s="67">
        <f>ราคาสี!$D$196</f>
        <v>395</v>
      </c>
      <c r="N4" s="9" t="s">
        <v>1620</v>
      </c>
      <c r="O4" s="10">
        <v>5000</v>
      </c>
      <c r="P4" s="10">
        <v>7200</v>
      </c>
      <c r="Q4" s="10">
        <v>500</v>
      </c>
      <c r="R4" s="10">
        <v>1900</v>
      </c>
      <c r="S4" s="10">
        <v>3300</v>
      </c>
      <c r="T4" s="10">
        <v>4700</v>
      </c>
      <c r="V4" s="9">
        <v>75</v>
      </c>
      <c r="AB4" t="s">
        <v>572</v>
      </c>
      <c r="AC4" t="s">
        <v>1616</v>
      </c>
      <c r="AD4" t="s">
        <v>1621</v>
      </c>
    </row>
    <row r="5" spans="1:32" ht="15" customHeight="1">
      <c r="A5" s="63" t="s">
        <v>1622</v>
      </c>
      <c r="B5" s="553" t="s">
        <v>1623</v>
      </c>
      <c r="C5" s="390" t="str">
        <f>IF(B5="","⚠ ยังไม่เลือกโครง — ค่าโครงดามจะไม่ถูกคิด","")</f>
        <v/>
      </c>
      <c r="D5" s="65" t="s">
        <v>1624</v>
      </c>
      <c r="E5" s="67">
        <f>IF(B7="นอน",H16,H17)</f>
        <v>200</v>
      </c>
      <c r="G5" s="65" t="s">
        <v>1625</v>
      </c>
      <c r="H5" s="67">
        <f>IF(E13=0,0,INDEX($O$2:$O$38,E13))</f>
        <v>0</v>
      </c>
      <c r="J5" s="65" t="s">
        <v>668</v>
      </c>
      <c r="K5" s="67">
        <f>ราคาสี!$D$197</f>
        <v>485</v>
      </c>
      <c r="N5" s="9" t="s">
        <v>1626</v>
      </c>
      <c r="O5" s="10">
        <v>2800</v>
      </c>
      <c r="P5" s="10">
        <v>4500</v>
      </c>
      <c r="Q5" s="10">
        <v>200</v>
      </c>
      <c r="R5" s="10">
        <v>800</v>
      </c>
      <c r="S5" s="10">
        <v>1100</v>
      </c>
      <c r="T5" s="10">
        <v>1600</v>
      </c>
      <c r="V5" s="9">
        <v>100</v>
      </c>
      <c r="AB5" t="s">
        <v>668</v>
      </c>
      <c r="AC5" t="s">
        <v>1616</v>
      </c>
      <c r="AD5" t="s">
        <v>1612</v>
      </c>
    </row>
    <row r="6" spans="1:32" ht="15" customHeight="1">
      <c r="A6" s="63" t="s">
        <v>1122</v>
      </c>
      <c r="B6" s="553" t="s">
        <v>100</v>
      </c>
      <c r="D6" s="65" t="s">
        <v>1627</v>
      </c>
      <c r="E6" s="67">
        <f>IF(B7="นอน",H17,H16)</f>
        <v>240</v>
      </c>
      <c r="G6" s="65" t="s">
        <v>1628</v>
      </c>
      <c r="H6" s="67">
        <f>IF(E13=0,0,INDEX($P$2:$P$38,E13))</f>
        <v>0</v>
      </c>
      <c r="J6" s="65" t="s">
        <v>669</v>
      </c>
      <c r="K6" s="67">
        <f>ราคาสี!$D$198</f>
        <v>905</v>
      </c>
      <c r="N6" s="9" t="s">
        <v>1629</v>
      </c>
      <c r="O6" s="10">
        <v>3200</v>
      </c>
      <c r="P6" s="10">
        <v>4800</v>
      </c>
      <c r="Q6" s="10">
        <v>200</v>
      </c>
      <c r="R6" s="10">
        <v>1000</v>
      </c>
      <c r="S6" s="10">
        <v>1400</v>
      </c>
      <c r="T6" s="10">
        <v>2000</v>
      </c>
      <c r="V6" s="9">
        <v>120</v>
      </c>
      <c r="AB6" t="s">
        <v>669</v>
      </c>
      <c r="AC6" t="s">
        <v>1616</v>
      </c>
      <c r="AD6" t="s">
        <v>1630</v>
      </c>
    </row>
    <row r="7" spans="1:32" ht="15" customHeight="1">
      <c r="A7" s="63" t="s">
        <v>1631</v>
      </c>
      <c r="B7" s="553" t="s">
        <v>1632</v>
      </c>
      <c r="D7" s="65" t="s">
        <v>1633</v>
      </c>
      <c r="E7" s="67">
        <f>INT(E6/E4)+1</f>
        <v>57</v>
      </c>
      <c r="G7" s="65" t="s">
        <v>1634</v>
      </c>
      <c r="H7" s="67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65" t="s">
        <v>571</v>
      </c>
      <c r="K7" s="67">
        <f>ราคาสี!$D$199</f>
        <v>770</v>
      </c>
      <c r="N7" s="9" t="s">
        <v>1635</v>
      </c>
      <c r="O7" s="10">
        <v>3300</v>
      </c>
      <c r="P7" s="10">
        <v>5100</v>
      </c>
      <c r="Q7" s="10">
        <v>300</v>
      </c>
      <c r="R7" s="10">
        <v>1000</v>
      </c>
      <c r="S7" s="10">
        <v>1700</v>
      </c>
      <c r="T7" s="10">
        <v>2400</v>
      </c>
      <c r="V7" s="9">
        <v>150</v>
      </c>
      <c r="AB7" t="s">
        <v>571</v>
      </c>
      <c r="AC7" t="s">
        <v>1612</v>
      </c>
      <c r="AD7" t="s">
        <v>1612</v>
      </c>
    </row>
    <row r="8" spans="1:32" ht="15" customHeight="1">
      <c r="A8" s="63" t="s">
        <v>1569</v>
      </c>
      <c r="B8" s="554">
        <v>200</v>
      </c>
      <c r="D8" s="65" t="s">
        <v>1636</v>
      </c>
      <c r="E8" s="67">
        <f>IF(B11="ต่อ",H21,H20)</f>
        <v>19</v>
      </c>
      <c r="G8" s="65" t="s">
        <v>1637</v>
      </c>
      <c r="H8" s="67">
        <f>IF(B5="ไม่รวม",H5,H6)+H7</f>
        <v>0</v>
      </c>
      <c r="J8" s="65" t="s">
        <v>570</v>
      </c>
      <c r="K8" s="67">
        <f>ราคาสี!$D$200</f>
        <v>1220</v>
      </c>
      <c r="N8" s="9" t="s">
        <v>1638</v>
      </c>
      <c r="O8" s="10">
        <v>3700</v>
      </c>
      <c r="P8" s="10">
        <v>5300</v>
      </c>
      <c r="Q8" s="10">
        <v>300</v>
      </c>
      <c r="R8" s="10">
        <v>1000</v>
      </c>
      <c r="S8" s="10">
        <v>1400</v>
      </c>
      <c r="T8" s="10">
        <v>2000</v>
      </c>
      <c r="V8" s="9">
        <v>200</v>
      </c>
      <c r="AB8" t="s">
        <v>570</v>
      </c>
      <c r="AC8" t="s">
        <v>1612</v>
      </c>
      <c r="AD8" t="s">
        <v>1630</v>
      </c>
    </row>
    <row r="9" spans="1:32" ht="15" customHeight="1">
      <c r="A9" s="63" t="s">
        <v>1107</v>
      </c>
      <c r="B9" s="554">
        <v>240</v>
      </c>
      <c r="D9" s="65" t="s">
        <v>1639</v>
      </c>
      <c r="E9" s="69">
        <f>VLOOKUP(B6,$J$11:$L$15,2,0)</f>
        <v>1</v>
      </c>
      <c r="N9" s="9" t="s">
        <v>1640</v>
      </c>
      <c r="O9" s="10">
        <v>4500</v>
      </c>
      <c r="P9" s="10">
        <v>6400</v>
      </c>
      <c r="Q9" s="10">
        <v>400</v>
      </c>
      <c r="R9" s="10">
        <v>1400</v>
      </c>
      <c r="S9" s="10">
        <v>1900</v>
      </c>
      <c r="T9" s="10">
        <v>2800</v>
      </c>
      <c r="V9" s="9">
        <v>300</v>
      </c>
    </row>
    <row r="10" spans="1:32" ht="15" customHeight="1">
      <c r="A10" s="63" t="s">
        <v>1641</v>
      </c>
      <c r="B10" s="68">
        <f>VLOOKUP("ระแนงหมุน",ค่าแรง!$A$12:$N$117,3,0)+VLOOKUP("ระแนงหมุน",ค่าแรง!$A$12:$N$117,2,0)/MAX(B22,0.01)</f>
        <v>399.21875</v>
      </c>
      <c r="D10" s="592" t="s">
        <v>1642</v>
      </c>
      <c r="E10" s="67">
        <f>ROUND(VLOOKUP(B2,$J$2:$K$8,2,0)*E9/5,0)*5</f>
        <v>1220</v>
      </c>
      <c r="G10" s="65" t="s">
        <v>1643</v>
      </c>
      <c r="H10" s="67">
        <f>LOOKUP(B8,$V$2:$V$10)</f>
        <v>200</v>
      </c>
      <c r="N10" s="9" t="s">
        <v>1644</v>
      </c>
      <c r="O10" s="10">
        <v>4800</v>
      </c>
      <c r="P10" s="10">
        <v>6900</v>
      </c>
      <c r="Q10" s="10">
        <v>500</v>
      </c>
      <c r="R10" s="10">
        <v>1600</v>
      </c>
      <c r="S10" s="10">
        <v>2200</v>
      </c>
      <c r="T10" s="10">
        <v>3200</v>
      </c>
      <c r="V10" s="9">
        <v>600</v>
      </c>
    </row>
    <row r="11" spans="1:32" ht="15" customHeight="1">
      <c r="A11" s="63" t="s">
        <v>1645</v>
      </c>
      <c r="B11" s="553" t="s">
        <v>1646</v>
      </c>
      <c r="D11" s="65" t="s">
        <v>1647</v>
      </c>
      <c r="E11" s="67">
        <f>IF(B4&gt;=4,5,IF(B4&gt;=2.5,3,IF(B4&gt;=1,2,0)))</f>
        <v>0</v>
      </c>
      <c r="G11" s="65" t="s">
        <v>1648</v>
      </c>
      <c r="H11" s="67">
        <f>IFERROR(INDEX($V$2:$V$10,MATCH(B8,$V$2:$V$10,1)+1),99999)</f>
        <v>300</v>
      </c>
      <c r="J11" s="65" t="s">
        <v>100</v>
      </c>
      <c r="K11" s="69">
        <f>mult_mtong</f>
        <v>1</v>
      </c>
      <c r="L11" s="67">
        <v>0</v>
      </c>
      <c r="N11" s="9" t="s">
        <v>1649</v>
      </c>
      <c r="O11" s="10">
        <v>3200</v>
      </c>
      <c r="P11" s="10">
        <v>4900</v>
      </c>
      <c r="Q11" s="10">
        <v>300</v>
      </c>
      <c r="R11" s="10">
        <v>800</v>
      </c>
      <c r="S11" s="10">
        <v>1100</v>
      </c>
      <c r="T11" s="10">
        <v>1600</v>
      </c>
    </row>
    <row r="12" spans="1:32" ht="15" customHeight="1">
      <c r="A12" s="21" t="s">
        <v>1650</v>
      </c>
      <c r="B12" s="68">
        <f>VLOOKUP("ระแนงหมุน",ค่าแรง!$A$12:$N$117,5,0)+VLOOKUP("ระแนงหมุน",ค่าแรง!$A$12:$N$117,4,0)/MAX(B22,0.01)</f>
        <v>862.16666666666674</v>
      </c>
      <c r="D12" s="592" t="s">
        <v>798</v>
      </c>
      <c r="E12" s="65" t="str">
        <f>B2&amp;"|"&amp;B3&amp;"|"&amp;E11</f>
        <v>กล่อง 1.6"×4"|1.6"|0</v>
      </c>
      <c r="G12" s="65" t="s">
        <v>1651</v>
      </c>
      <c r="H12" s="67">
        <f>IF(B8-H10&lt;=20,H10,IF(H11-B8&lt;=20,H11,B8))</f>
        <v>200</v>
      </c>
      <c r="J12" s="65" t="s">
        <v>81</v>
      </c>
      <c r="K12" s="69">
        <f>mult_mtong+rate_grey/192</f>
        <v>1.5208333333333335</v>
      </c>
      <c r="L12" s="67">
        <v>0</v>
      </c>
      <c r="N12" s="9" t="s">
        <v>1652</v>
      </c>
      <c r="O12" s="10">
        <v>3700</v>
      </c>
      <c r="P12" s="10">
        <v>5300</v>
      </c>
      <c r="Q12" s="10">
        <v>300</v>
      </c>
      <c r="R12" s="10">
        <v>1000</v>
      </c>
      <c r="S12" s="10">
        <v>1400</v>
      </c>
      <c r="T12" s="10">
        <v>2000</v>
      </c>
    </row>
    <row r="13" spans="1:32" ht="15" customHeight="1">
      <c r="A13" s="271" t="s">
        <v>1823</v>
      </c>
      <c r="B13" s="562" t="s">
        <v>1824</v>
      </c>
      <c r="D13" s="65" t="s">
        <v>1653</v>
      </c>
      <c r="E13" s="67">
        <f>IFERROR(MATCH(E12,$N$2:$N$38,0),0)</f>
        <v>0</v>
      </c>
      <c r="G13" s="65" t="s">
        <v>1654</v>
      </c>
      <c r="H13" s="67">
        <f>LOOKUP(B9,$V$2:$V$10)</f>
        <v>200</v>
      </c>
      <c r="J13" s="65" t="s">
        <v>1655</v>
      </c>
      <c r="K13" s="69">
        <f>mult_mtong+rate_woodstock/192</f>
        <v>1.5859375</v>
      </c>
      <c r="L13" s="67">
        <v>0</v>
      </c>
      <c r="N13" s="9" t="s">
        <v>1656</v>
      </c>
      <c r="O13" s="10">
        <v>4000</v>
      </c>
      <c r="P13" s="10">
        <v>5800</v>
      </c>
      <c r="Q13" s="10">
        <v>400</v>
      </c>
      <c r="R13" s="10">
        <v>1200</v>
      </c>
      <c r="S13" s="10">
        <v>1700</v>
      </c>
      <c r="T13" s="10">
        <v>2400</v>
      </c>
    </row>
    <row r="14" spans="1:32" ht="15" customHeight="1">
      <c r="D14" s="262" t="s">
        <v>1657</v>
      </c>
      <c r="E14" s="299">
        <f>ROUND((E6-E7*E3)/(E7-1),2)</f>
        <v>0.15</v>
      </c>
      <c r="G14" s="65" t="s">
        <v>1658</v>
      </c>
      <c r="H14" s="67">
        <f>IFERROR(INDEX($V$2:$V$10,MATCH(B9,$V$2:$V$10,1)+1),99999)</f>
        <v>300</v>
      </c>
      <c r="J14" s="65" t="s">
        <v>83</v>
      </c>
      <c r="K14" s="69">
        <f>mult_mtong+rate_special/192</f>
        <v>1.9010416666666665</v>
      </c>
      <c r="L14" s="67">
        <v>2000</v>
      </c>
      <c r="N14" s="9" t="s">
        <v>1659</v>
      </c>
      <c r="O14" s="10">
        <v>3200</v>
      </c>
      <c r="P14" s="10">
        <v>4700</v>
      </c>
      <c r="Q14" s="10">
        <v>200</v>
      </c>
      <c r="R14" s="10">
        <v>700</v>
      </c>
      <c r="S14" s="10">
        <v>1000</v>
      </c>
      <c r="T14" s="10">
        <v>1400</v>
      </c>
    </row>
    <row r="15" spans="1:32" ht="15" customHeight="1">
      <c r="A15" s="70" t="s">
        <v>1241</v>
      </c>
      <c r="B15" s="555" t="s">
        <v>1124</v>
      </c>
      <c r="C15" s="555" t="s">
        <v>1125</v>
      </c>
      <c r="D15" s="70" t="s">
        <v>1242</v>
      </c>
      <c r="G15" s="65" t="s">
        <v>1660</v>
      </c>
      <c r="H15" s="67">
        <f>IF(B9-H13&lt;=20,H13,IF(H14-B9&lt;=20,H14,B9))</f>
        <v>240</v>
      </c>
      <c r="J15" s="65" t="s">
        <v>85</v>
      </c>
      <c r="K15" s="69">
        <f>mult_mtong+rate_woodbake/192</f>
        <v>1.9895833333333335</v>
      </c>
      <c r="L15" s="67">
        <v>2000</v>
      </c>
      <c r="N15" s="9" t="s">
        <v>1661</v>
      </c>
      <c r="O15" s="10">
        <v>3700</v>
      </c>
      <c r="P15" s="10">
        <v>5400</v>
      </c>
      <c r="Q15" s="10">
        <v>300</v>
      </c>
      <c r="R15" s="10">
        <v>1000</v>
      </c>
      <c r="S15" s="10">
        <v>1300</v>
      </c>
      <c r="T15" s="10">
        <v>1900</v>
      </c>
    </row>
    <row r="16" spans="1:32" ht="15" customHeight="1">
      <c r="A16" s="71" t="str">
        <f>B2&amp;" (ใบระแนง)"</f>
        <v>กล่อง 1.6"×4" (ใบระแนง)</v>
      </c>
      <c r="B16" s="57">
        <f>E8</f>
        <v>19</v>
      </c>
      <c r="C16" s="57">
        <f>E10</f>
        <v>1220</v>
      </c>
      <c r="D16" s="57">
        <f>IF(B11="ต่อ",H23,H22)</f>
        <v>23180</v>
      </c>
      <c r="G16" s="65" t="s">
        <v>1662</v>
      </c>
      <c r="H16" s="67">
        <f>IF(B7="นอน",H12,B8)</f>
        <v>200</v>
      </c>
      <c r="N16" s="9" t="s">
        <v>1663</v>
      </c>
      <c r="O16" s="10">
        <v>3900</v>
      </c>
      <c r="P16" s="10">
        <v>5600</v>
      </c>
      <c r="Q16" s="10">
        <v>300</v>
      </c>
      <c r="R16" s="10">
        <v>1100</v>
      </c>
      <c r="S16" s="10">
        <v>1500</v>
      </c>
      <c r="T16" s="10">
        <v>2200</v>
      </c>
    </row>
    <row r="17" spans="1:20" ht="15" customHeight="1">
      <c r="A17" s="71" t="s">
        <v>1664</v>
      </c>
      <c r="B17" s="57">
        <f>H2</f>
        <v>0</v>
      </c>
      <c r="C17" s="57">
        <f>H3</f>
        <v>485</v>
      </c>
      <c r="D17" s="57">
        <f>B17*C17</f>
        <v>0</v>
      </c>
      <c r="G17" s="65" t="s">
        <v>1665</v>
      </c>
      <c r="H17" s="67">
        <f>IF(B7="ตั้ง",H15,B9)</f>
        <v>240</v>
      </c>
      <c r="N17" s="9" t="s">
        <v>2789</v>
      </c>
      <c r="O17" s="10">
        <v>3300</v>
      </c>
      <c r="P17" s="10">
        <v>5200</v>
      </c>
      <c r="Q17" s="10">
        <v>300</v>
      </c>
      <c r="R17" s="10">
        <v>900</v>
      </c>
      <c r="S17" s="10">
        <v>1400</v>
      </c>
      <c r="T17" s="10">
        <v>2000</v>
      </c>
    </row>
    <row r="18" spans="1:20" ht="15" customHeight="1">
      <c r="A18" s="71" t="s">
        <v>1825</v>
      </c>
      <c r="B18" s="57">
        <f>(B8/600)*buf_scrap</f>
        <v>0.43333333333333335</v>
      </c>
      <c r="C18" s="57">
        <f>ROUND(ราคาสี!$D$203*E9,0)</f>
        <v>2208</v>
      </c>
      <c r="D18" s="57">
        <f>B18*C18</f>
        <v>956.80000000000007</v>
      </c>
      <c r="G18" s="65" t="s">
        <v>1667</v>
      </c>
      <c r="H18" s="67">
        <f>LOOKUP(E5,$V$2:$V$10)</f>
        <v>200</v>
      </c>
      <c r="J18" s="65" t="s">
        <v>1609</v>
      </c>
      <c r="K18" s="66">
        <v>1</v>
      </c>
      <c r="N18" s="9" t="s">
        <v>2790</v>
      </c>
      <c r="O18" s="10">
        <v>4000</v>
      </c>
      <c r="P18" s="10">
        <v>6100</v>
      </c>
      <c r="Q18" s="10">
        <v>400</v>
      </c>
      <c r="R18" s="10">
        <v>1200</v>
      </c>
      <c r="S18" s="10">
        <v>1900</v>
      </c>
      <c r="T18" s="10">
        <v>2800</v>
      </c>
    </row>
    <row r="19" spans="1:20" ht="15" customHeight="1">
      <c r="A19" s="72" t="s">
        <v>538</v>
      </c>
      <c r="B19" s="57">
        <f>IF(B13="ไม่เอา",0,1)</f>
        <v>1</v>
      </c>
      <c r="C19" s="57">
        <f>INDEX(ราคาออโต้!$C:$C,MATCH("มอเตอร์ระแนงหมุน",ราคาออโต้!$B:$B,0))</f>
        <v>1800</v>
      </c>
      <c r="D19" s="57">
        <f>B19*C19</f>
        <v>1800</v>
      </c>
      <c r="G19" s="65" t="s">
        <v>1669</v>
      </c>
      <c r="H19" s="67">
        <f>E5-H18</f>
        <v>0</v>
      </c>
      <c r="J19" s="65" t="s">
        <v>1610</v>
      </c>
      <c r="K19" s="66">
        <v>5</v>
      </c>
      <c r="N19" s="9" t="s">
        <v>2791</v>
      </c>
      <c r="O19" s="10">
        <v>4300</v>
      </c>
      <c r="P19" s="10">
        <v>6500</v>
      </c>
      <c r="Q19" s="10">
        <v>400</v>
      </c>
      <c r="R19" s="10">
        <v>1400</v>
      </c>
      <c r="S19" s="10">
        <v>2200</v>
      </c>
      <c r="T19" s="10">
        <v>3200</v>
      </c>
    </row>
    <row r="20" spans="1:20" ht="15" customHeight="1">
      <c r="A20" s="73" t="s">
        <v>1826</v>
      </c>
      <c r="B20" s="117"/>
      <c r="C20" s="117"/>
      <c r="D20" s="74">
        <f>ROUND(ชีทอุปกรณ์!$D$212*B8/100,0)+ROUND(ชีทอุปกรณ์!$D$213*E7,0)</f>
        <v>9520</v>
      </c>
      <c r="G20" s="65" t="s">
        <v>1670</v>
      </c>
      <c r="H20" s="67">
        <f>ROUNDUP(E7/MAX(INT(600/E5),1),0)</f>
        <v>19</v>
      </c>
      <c r="J20" s="65" t="s">
        <v>1616</v>
      </c>
      <c r="K20" s="66">
        <v>2.54</v>
      </c>
      <c r="N20" s="9" t="s">
        <v>2792</v>
      </c>
      <c r="O20" s="10">
        <v>3300</v>
      </c>
      <c r="P20" s="10">
        <v>5200</v>
      </c>
      <c r="Q20" s="10">
        <v>300</v>
      </c>
      <c r="R20" s="10">
        <v>900</v>
      </c>
      <c r="S20" s="10">
        <v>1400</v>
      </c>
      <c r="T20" s="10">
        <v>2000</v>
      </c>
    </row>
    <row r="21" spans="1:20" ht="15" customHeight="1">
      <c r="A21" s="73" t="s">
        <v>1666</v>
      </c>
      <c r="B21" s="117">
        <f>IF(H4&gt;0,1,0)</f>
        <v>0</v>
      </c>
      <c r="C21" s="117">
        <f>อัปเดตราคาอลู!$B$17</f>
        <v>2000</v>
      </c>
      <c r="D21" s="74">
        <f>B21*C21</f>
        <v>0</v>
      </c>
      <c r="G21" s="65" t="s">
        <v>1671</v>
      </c>
      <c r="H21" s="67">
        <f>ROUNDUP(E7/(600/H18),0)+IF(H19&gt;0,ROUNDUP(E7/INT(600/H19),0),0)</f>
        <v>19</v>
      </c>
      <c r="J21" s="65" t="s">
        <v>1621</v>
      </c>
      <c r="K21" s="66">
        <v>3.81</v>
      </c>
      <c r="N21" s="9" t="s">
        <v>2793</v>
      </c>
      <c r="O21" s="10">
        <v>3700</v>
      </c>
      <c r="P21" s="10">
        <v>5600</v>
      </c>
      <c r="Q21" s="10">
        <v>300</v>
      </c>
      <c r="R21" s="10">
        <v>1000</v>
      </c>
      <c r="S21" s="10">
        <v>1700</v>
      </c>
      <c r="T21" s="10">
        <v>2400</v>
      </c>
    </row>
    <row r="22" spans="1:20" ht="15" customHeight="1">
      <c r="A22" s="75" t="s">
        <v>1668</v>
      </c>
      <c r="B22" s="117">
        <f>E2</f>
        <v>4.8</v>
      </c>
      <c r="C22" s="117">
        <f>B10+B12</f>
        <v>1261.3854166666667</v>
      </c>
      <c r="D22" s="76">
        <f>B22*C22</f>
        <v>6054.6500000000005</v>
      </c>
      <c r="G22" s="65" t="s">
        <v>1672</v>
      </c>
      <c r="H22" s="67">
        <f>H20*E10</f>
        <v>23180</v>
      </c>
      <c r="J22" s="65" t="s">
        <v>1612</v>
      </c>
      <c r="K22" s="66">
        <v>4.0599999999999996</v>
      </c>
      <c r="N22" s="9" t="s">
        <v>2794</v>
      </c>
      <c r="O22" s="10">
        <v>3700</v>
      </c>
      <c r="P22" s="10">
        <v>5600</v>
      </c>
      <c r="Q22" s="10">
        <v>300</v>
      </c>
      <c r="R22" s="10">
        <v>1000</v>
      </c>
      <c r="S22" s="10">
        <v>1700</v>
      </c>
      <c r="T22" s="10">
        <v>2400</v>
      </c>
    </row>
    <row r="23" spans="1:20" ht="15" customHeight="1">
      <c r="A23" s="75" t="s">
        <v>1137</v>
      </c>
      <c r="B23" s="117"/>
      <c r="C23" s="117"/>
      <c r="D23" s="77">
        <f>SUM(D16:D22)</f>
        <v>41511.450000000004</v>
      </c>
      <c r="G23" s="65" t="s">
        <v>1673</v>
      </c>
      <c r="H23" s="67">
        <f>H21*E10+IF(H19&gt;0,E7*80,0)</f>
        <v>23180</v>
      </c>
      <c r="J23" s="65" t="s">
        <v>1630</v>
      </c>
      <c r="K23" s="66">
        <v>10.16</v>
      </c>
      <c r="N23" s="9" t="s">
        <v>1674</v>
      </c>
      <c r="O23" s="10">
        <v>5500</v>
      </c>
      <c r="P23" s="10">
        <v>8100</v>
      </c>
      <c r="Q23" s="10">
        <v>600</v>
      </c>
      <c r="R23" s="10">
        <v>2000</v>
      </c>
      <c r="S23" s="10">
        <v>3700</v>
      </c>
      <c r="T23" s="10">
        <v>5300</v>
      </c>
    </row>
    <row r="24" spans="1:20" ht="15" customHeight="1">
      <c r="A24" s="78" t="s">
        <v>1045</v>
      </c>
      <c r="B24" s="117"/>
      <c r="C24" s="117"/>
      <c r="D24" s="369">
        <f>IFERROR(D23/E2,0)</f>
        <v>8648.2187500000018</v>
      </c>
      <c r="N24" s="9" t="s">
        <v>1675</v>
      </c>
      <c r="O24" s="10">
        <v>7100</v>
      </c>
      <c r="P24" s="10">
        <v>10100</v>
      </c>
      <c r="Q24" s="10">
        <v>800</v>
      </c>
      <c r="R24" s="10">
        <v>2700</v>
      </c>
      <c r="S24" s="10">
        <v>5200</v>
      </c>
      <c r="T24" s="10">
        <v>7500</v>
      </c>
    </row>
    <row r="25" spans="1:20" ht="15" customHeight="1">
      <c r="A25" t="s">
        <v>1161</v>
      </c>
      <c r="D25">
        <f>ROUNDUP((ROUNDUP((ROUNDUP((D23-D22)*($B$44*$B$45)/100,0)*100+ROUNDUP(B22*B10*(1+B32/100)/100,0)*100+ROUNDUP(B22*B12*(1+B33/100)/100,0)*100)*(1+$B$34/100)/100,0)*100)*1/100,0)*100</f>
        <v>80100</v>
      </c>
      <c r="N25" s="9" t="s">
        <v>1676</v>
      </c>
      <c r="O25" s="10">
        <v>7900</v>
      </c>
      <c r="P25" s="10">
        <v>10800</v>
      </c>
      <c r="Q25" s="10">
        <v>900</v>
      </c>
      <c r="R25" s="10">
        <v>3100</v>
      </c>
      <c r="S25" s="10">
        <v>5900</v>
      </c>
      <c r="T25" s="10">
        <v>8500</v>
      </c>
    </row>
    <row r="26" spans="1:20">
      <c r="A26" t="s">
        <v>2518</v>
      </c>
      <c r="D26">
        <f>ROUNDUP((ROUNDUP((ROUNDUP((D23-D22)*($B$44*$B$45)/100,0)*100+ROUNDUP(B22*B10*(1+B32/100)/100,0)*100)*(1+$B$34/100)/100,0)*100)*1/100,0)*100</f>
        <v>72600</v>
      </c>
      <c r="N26" s="9" t="s">
        <v>1678</v>
      </c>
      <c r="O26" s="10">
        <v>4000</v>
      </c>
      <c r="P26" s="10">
        <v>6000</v>
      </c>
      <c r="Q26" s="10">
        <v>400</v>
      </c>
      <c r="R26" s="10">
        <v>1200</v>
      </c>
      <c r="S26" s="10">
        <v>2300</v>
      </c>
      <c r="T26" s="10">
        <v>3200</v>
      </c>
    </row>
    <row r="27" spans="1:20" ht="15" customHeight="1">
      <c r="A27" s="80" t="s">
        <v>1679</v>
      </c>
      <c r="D27" s="81">
        <f>H22</f>
        <v>23180</v>
      </c>
      <c r="N27" s="9" t="s">
        <v>1680</v>
      </c>
      <c r="O27" s="10">
        <v>4000</v>
      </c>
      <c r="P27" s="10">
        <v>6000</v>
      </c>
      <c r="Q27" s="10">
        <v>400</v>
      </c>
      <c r="R27" s="10">
        <v>1200</v>
      </c>
      <c r="S27" s="10">
        <v>2300</v>
      </c>
      <c r="T27" s="10">
        <v>3200</v>
      </c>
    </row>
    <row r="28" spans="1:20" ht="15" customHeight="1">
      <c r="A28" s="80" t="s">
        <v>1681</v>
      </c>
      <c r="D28" s="81">
        <f>H23</f>
        <v>23180</v>
      </c>
      <c r="N28" s="9" t="s">
        <v>1682</v>
      </c>
      <c r="O28" s="10">
        <v>4800</v>
      </c>
      <c r="P28" s="10">
        <v>6900</v>
      </c>
      <c r="Q28" s="10">
        <v>500</v>
      </c>
      <c r="R28" s="10">
        <v>1600</v>
      </c>
      <c r="S28" s="10">
        <v>3000</v>
      </c>
      <c r="T28" s="10">
        <v>4300</v>
      </c>
    </row>
    <row r="29" spans="1:20" ht="15" customHeight="1">
      <c r="A29" s="80" t="s">
        <v>1683</v>
      </c>
      <c r="D29" s="81">
        <f>H22-H23</f>
        <v>0</v>
      </c>
      <c r="N29" s="9" t="s">
        <v>1684</v>
      </c>
      <c r="O29" s="10">
        <v>5100</v>
      </c>
      <c r="P29" s="10">
        <v>6900</v>
      </c>
      <c r="Q29" s="10">
        <v>500</v>
      </c>
      <c r="R29" s="10">
        <v>1600</v>
      </c>
      <c r="S29" s="10">
        <v>3000</v>
      </c>
      <c r="T29" s="10">
        <v>4300</v>
      </c>
    </row>
    <row r="30" spans="1:20" ht="15" customHeight="1">
      <c r="A30" s="25" t="s">
        <v>3148</v>
      </c>
      <c r="N30" s="9" t="s">
        <v>1685</v>
      </c>
      <c r="O30" s="10">
        <v>3900</v>
      </c>
      <c r="P30" s="10">
        <v>5600</v>
      </c>
      <c r="Q30" s="10">
        <v>300</v>
      </c>
      <c r="R30" s="10">
        <v>1100</v>
      </c>
      <c r="S30" s="10">
        <v>2000</v>
      </c>
      <c r="T30" s="10">
        <v>2800</v>
      </c>
    </row>
    <row r="31" spans="1:20" ht="15" customHeight="1">
      <c r="A31" s="25" t="s">
        <v>1179</v>
      </c>
      <c r="B31" s="25" t="s">
        <v>7</v>
      </c>
      <c r="C31" s="25" t="s">
        <v>1734</v>
      </c>
      <c r="N31" s="9" t="s">
        <v>1686</v>
      </c>
      <c r="O31" s="10">
        <v>4400</v>
      </c>
      <c r="P31" s="10">
        <v>6400</v>
      </c>
      <c r="Q31" s="10">
        <v>400</v>
      </c>
      <c r="R31" s="10">
        <v>1400</v>
      </c>
      <c r="S31" s="10">
        <v>2400</v>
      </c>
      <c r="T31" s="10">
        <v>3500</v>
      </c>
    </row>
    <row r="32" spans="1:20" ht="15" customHeight="1">
      <c r="A32" s="25" t="s">
        <v>1180</v>
      </c>
      <c r="B32" s="558">
        <f>ROUND(($C$44*$B$45-1)*100,0)</f>
        <v>49</v>
      </c>
      <c r="C32" s="25" t="s">
        <v>3149</v>
      </c>
      <c r="N32" s="9" t="s">
        <v>1687</v>
      </c>
      <c r="O32" s="10">
        <v>5000</v>
      </c>
      <c r="P32" s="10">
        <v>7200</v>
      </c>
      <c r="Q32" s="10">
        <v>500</v>
      </c>
      <c r="R32" s="10">
        <v>1700</v>
      </c>
      <c r="S32" s="10">
        <v>2900</v>
      </c>
      <c r="T32" s="10">
        <v>4200</v>
      </c>
    </row>
    <row r="33" spans="1:20" ht="15" customHeight="1">
      <c r="A33" s="25" t="s">
        <v>1181</v>
      </c>
      <c r="B33" s="558">
        <f>ROUND(($D$44*$B$45-1)*100,0)</f>
        <v>39</v>
      </c>
      <c r="C33" s="25" t="s">
        <v>3149</v>
      </c>
      <c r="N33" s="9" t="s">
        <v>1688</v>
      </c>
      <c r="O33" s="10">
        <v>5400</v>
      </c>
      <c r="P33" s="10">
        <v>7900</v>
      </c>
      <c r="Q33" s="10">
        <v>600</v>
      </c>
      <c r="R33" s="10">
        <v>1900</v>
      </c>
      <c r="S33" s="10">
        <v>3300</v>
      </c>
      <c r="T33" s="10">
        <v>4700</v>
      </c>
    </row>
    <row r="34" spans="1:20" ht="15" customHeight="1">
      <c r="A34" s="25" t="s">
        <v>3122</v>
      </c>
      <c r="B34" s="557">
        <v>30</v>
      </c>
      <c r="C34" s="25" t="s">
        <v>3150</v>
      </c>
      <c r="N34" s="9" t="s">
        <v>1689</v>
      </c>
      <c r="O34" s="10">
        <v>6500</v>
      </c>
      <c r="P34" s="10">
        <v>9200</v>
      </c>
      <c r="Q34" s="10">
        <v>700</v>
      </c>
      <c r="R34" s="10">
        <v>2400</v>
      </c>
      <c r="S34" s="10">
        <v>4100</v>
      </c>
      <c r="T34" s="10">
        <v>5900</v>
      </c>
    </row>
    <row r="35" spans="1:20" ht="15" customHeight="1">
      <c r="A35" s="613" t="s">
        <v>1138</v>
      </c>
      <c r="B35" s="614"/>
      <c r="N35" s="9" t="s">
        <v>1690</v>
      </c>
      <c r="O35" s="10">
        <v>7300</v>
      </c>
      <c r="P35" s="10">
        <v>10600</v>
      </c>
      <c r="Q35" s="10">
        <v>800</v>
      </c>
      <c r="R35" s="10">
        <v>2900</v>
      </c>
      <c r="S35" s="10">
        <v>4900</v>
      </c>
      <c r="T35" s="10">
        <v>7000</v>
      </c>
    </row>
    <row r="36" spans="1:20" ht="15" customHeight="1">
      <c r="A36" s="489" t="s">
        <v>3081</v>
      </c>
      <c r="B36" s="492">
        <f>SUM(D16,D17,D18)</f>
        <v>24136.799999999999</v>
      </c>
      <c r="N36" s="9" t="s">
        <v>1691</v>
      </c>
      <c r="O36" s="10">
        <v>4600</v>
      </c>
      <c r="P36" s="10">
        <v>6500</v>
      </c>
      <c r="Q36" s="10">
        <v>400</v>
      </c>
      <c r="R36" s="10">
        <v>1500</v>
      </c>
      <c r="S36" s="10">
        <v>2500</v>
      </c>
      <c r="T36" s="10">
        <v>3500</v>
      </c>
    </row>
    <row r="37" spans="1:20" ht="15" customHeight="1">
      <c r="A37" s="489" t="s">
        <v>3082</v>
      </c>
      <c r="B37" s="492">
        <f>SUM(D19,D20)</f>
        <v>11320</v>
      </c>
      <c r="N37" s="9" t="s">
        <v>1692</v>
      </c>
      <c r="O37" s="10">
        <v>4600</v>
      </c>
      <c r="P37" s="10">
        <v>6500</v>
      </c>
      <c r="Q37" s="10">
        <v>400</v>
      </c>
      <c r="R37" s="10">
        <v>1500</v>
      </c>
      <c r="S37" s="10">
        <v>2500</v>
      </c>
      <c r="T37" s="10">
        <v>3500</v>
      </c>
    </row>
    <row r="38" spans="1:20" ht="15" customHeight="1">
      <c r="A38" s="489" t="s">
        <v>1250</v>
      </c>
      <c r="B38" s="492">
        <f>SUM(D21)</f>
        <v>0</v>
      </c>
      <c r="N38" s="9" t="s">
        <v>1693</v>
      </c>
      <c r="O38" s="10">
        <v>5400</v>
      </c>
      <c r="P38" s="10">
        <v>7900</v>
      </c>
      <c r="Q38" s="10">
        <v>600</v>
      </c>
      <c r="R38" s="10">
        <v>1900</v>
      </c>
      <c r="S38" s="10">
        <v>3300</v>
      </c>
      <c r="T38" s="10">
        <v>4700</v>
      </c>
    </row>
    <row r="39" spans="1:20">
      <c r="A39" s="491" t="s">
        <v>1144</v>
      </c>
      <c r="B39" s="493">
        <f>SUM(B36:B38)</f>
        <v>35456.800000000003</v>
      </c>
    </row>
    <row r="40" spans="1:20">
      <c r="A40" s="488" t="s">
        <v>3067</v>
      </c>
    </row>
    <row r="41" spans="1:20" ht="18" customHeight="1"/>
    <row r="42" spans="1:20">
      <c r="A42" s="533" t="s">
        <v>3151</v>
      </c>
      <c r="B42" s="535"/>
      <c r="C42" s="533"/>
    </row>
    <row r="43" spans="1:20">
      <c r="A43" t="s">
        <v>3144</v>
      </c>
      <c r="B43" s="541">
        <v>25</v>
      </c>
      <c r="C43" t="s">
        <v>3152</v>
      </c>
    </row>
    <row r="44" spans="1:20">
      <c r="A44" t="s">
        <v>3153</v>
      </c>
      <c r="B44" s="542">
        <v>1.5</v>
      </c>
      <c r="C44" s="542">
        <v>1.5</v>
      </c>
      <c r="D44" s="542">
        <v>1.4</v>
      </c>
      <c r="E44" s="542" t="s">
        <v>3154</v>
      </c>
    </row>
    <row r="45" spans="1:20">
      <c r="A45" t="s">
        <v>3155</v>
      </c>
      <c r="B45" s="542">
        <f>IFERROR(((((D23-D22))+(B22*B10)+(B22*B12))/(100/(100+B34)-B43/100))/((((D23-D22))*$B$44+(B22*B10)*$C$44+(B22*B12)*$D$44)*(1+B34/100)),1)</f>
        <v>0.99426238608547834</v>
      </c>
      <c r="C45" t="s">
        <v>3156</v>
      </c>
    </row>
    <row r="47" spans="1:20">
      <c r="A47" s="533" t="s">
        <v>3126</v>
      </c>
      <c r="B47" s="535"/>
      <c r="C47" s="533"/>
    </row>
    <row r="48" spans="1:20">
      <c r="A48" s="533" t="s">
        <v>3127</v>
      </c>
      <c r="B48" s="534">
        <f>IFERROR(ROUND(D25-D25/(1+B34/100),0),0)</f>
        <v>18485</v>
      </c>
      <c r="C48" s="533" t="s">
        <v>3128</v>
      </c>
    </row>
    <row r="49" spans="1:6">
      <c r="A49" s="533" t="s">
        <v>3129</v>
      </c>
      <c r="B49" s="534">
        <f>D23-D22+B22*B10+B22*B12+B48</f>
        <v>59996.450000000004</v>
      </c>
      <c r="C49" s="533" t="s">
        <v>3130</v>
      </c>
    </row>
    <row r="50" spans="1:6">
      <c r="A50" s="536" t="s">
        <v>3131</v>
      </c>
      <c r="B50" s="537">
        <f>IFERROR((D25-B49)/D25,"")</f>
        <v>0.25098064918851432</v>
      </c>
      <c r="C50" s="536" t="s">
        <v>3157</v>
      </c>
    </row>
    <row r="54" spans="1:6">
      <c r="F54" s="542"/>
    </row>
  </sheetData>
  <mergeCells count="1">
    <mergeCell ref="A1:F1"/>
  </mergeCells>
  <dataValidations count="7">
    <dataValidation type="list" allowBlank="1" sqref="B2" xr:uid="{00000000-0002-0000-2200-000001000000}">
      <formula1>$J$2:$J$8</formula1>
    </dataValidation>
    <dataValidation type="list" allowBlank="1" sqref="B5" xr:uid="{00000000-0002-0000-2200-000002000000}">
      <formula1>"รวม,ไม่รวม"</formula1>
    </dataValidation>
    <dataValidation type="list" allowBlank="1" sqref="B6" xr:uid="{00000000-0002-0000-2200-000003000000}">
      <formula1>$J$11:$J$15</formula1>
    </dataValidation>
    <dataValidation type="list" allowBlank="1" sqref="B7" xr:uid="{00000000-0002-0000-2200-000004000000}">
      <formula1>"นอน,ตั้ง"</formula1>
    </dataValidation>
    <dataValidation type="list" allowBlank="1" sqref="B11" xr:uid="{00000000-0002-0000-2200-000005000000}">
      <formula1>"ต่อ,ไม่ต่อ"</formula1>
    </dataValidation>
    <dataValidation type="list" allowBlank="1" sqref="B13" xr:uid="{00000000-0002-0000-2200-000006000000}">
      <formula1>"เอา,ไม่เอา"</formula1>
    </dataValidation>
    <dataValidation type="list" allowBlank="1" showInputMessage="1" showErrorMessage="1" sqref="B3" xr:uid="{7EBC3362-10A9-48EF-ABFE-77575AF52B56}">
      <formula1>"1 cm,5 cm,1"",1.5"",1.6"",4"""</formula1>
    </dataValidation>
  </dataValidations>
  <hyperlinks>
    <hyperlink ref="G1" location="'สารบัญ'!A1" display="🏠 สารบัญ" xr:uid="{00000000-0004-0000-2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D7D31"/>
  </sheetPr>
  <dimension ref="A1:I65"/>
  <sheetViews>
    <sheetView workbookViewId="0">
      <selection sqref="A1:D1"/>
    </sheetView>
  </sheetViews>
  <sheetFormatPr defaultRowHeight="14.4"/>
  <cols>
    <col min="1" max="1" width="23.21875" customWidth="1"/>
    <col min="2" max="2" width="12.6640625" customWidth="1"/>
    <col min="3" max="3" width="42.6640625" customWidth="1"/>
    <col min="4" max="4" width="9.5546875" customWidth="1"/>
    <col min="7" max="7" width="8.5546875" customWidth="1"/>
  </cols>
  <sheetData>
    <row r="1" spans="1:9" ht="22.05" customHeight="1">
      <c r="A1" s="671" t="s">
        <v>1827</v>
      </c>
      <c r="B1" s="650"/>
      <c r="C1" s="650"/>
      <c r="D1" s="650"/>
      <c r="E1" s="243"/>
      <c r="G1" s="293" t="s">
        <v>68</v>
      </c>
      <c r="H1" s="294"/>
    </row>
    <row r="2" spans="1:9">
      <c r="A2" s="672" t="s">
        <v>1828</v>
      </c>
      <c r="B2" s="650"/>
      <c r="C2" s="650"/>
      <c r="D2" s="650"/>
    </row>
    <row r="3" spans="1:9">
      <c r="A3" s="181" t="s">
        <v>1829</v>
      </c>
      <c r="B3" s="547" t="s">
        <v>1830</v>
      </c>
      <c r="E3" s="370" t="s">
        <v>1831</v>
      </c>
      <c r="F3" s="371" t="s">
        <v>1832</v>
      </c>
    </row>
    <row r="4" spans="1:9">
      <c r="A4" s="181" t="s">
        <v>1833</v>
      </c>
      <c r="B4" s="547" t="s">
        <v>578</v>
      </c>
      <c r="E4" s="26" t="s">
        <v>1834</v>
      </c>
      <c r="F4" s="318">
        <f>IF($F$3="เหล็กชุบซิงค์",ราคาเหล็ก!$D$6,ROUND(ราคาสี!$D$200*mult_mtong,0))</f>
        <v>1220</v>
      </c>
    </row>
    <row r="5" spans="1:9">
      <c r="A5" s="181" t="s">
        <v>1835</v>
      </c>
      <c r="B5" s="547" t="s">
        <v>1836</v>
      </c>
      <c r="E5" s="26" t="s">
        <v>1837</v>
      </c>
      <c r="F5" s="318">
        <f>IF($F$3="เหล็กชุบซิงค์",ราคาเหล็ก!$D$8,ROUND(ราคาสี!$D$199*mult_mtong,0))</f>
        <v>770</v>
      </c>
    </row>
    <row r="6" spans="1:9">
      <c r="A6" s="181" t="s">
        <v>1838</v>
      </c>
      <c r="B6" s="547" t="s">
        <v>1839</v>
      </c>
      <c r="E6" s="26" t="s">
        <v>1840</v>
      </c>
      <c r="F6" s="318">
        <f>IF($F$3="เหล็กชุบซิงค์",ราคาเหล็ก!$D$8,ROUND(ราคาสี!$D$196*mult_mtong,0))</f>
        <v>395</v>
      </c>
    </row>
    <row r="7" spans="1:9">
      <c r="A7" s="26" t="s">
        <v>1841</v>
      </c>
      <c r="B7" s="546" t="s">
        <v>3256</v>
      </c>
      <c r="C7" s="183" t="s">
        <v>1842</v>
      </c>
    </row>
    <row r="8" spans="1:9">
      <c r="A8" s="180" t="s">
        <v>1843</v>
      </c>
      <c r="E8" s="372" t="s">
        <v>1844</v>
      </c>
      <c r="F8" s="373" t="s">
        <v>1046</v>
      </c>
    </row>
    <row r="9" spans="1:9">
      <c r="A9" s="182" t="str">
        <f>IF(B7="ใช่","กว้างหลังคาทั้งผืน (ซม.) →","กว้าง (ซม.) →")</f>
        <v>กว้างหลังคาทั้งผืน (ซม.) →</v>
      </c>
      <c r="B9" s="547">
        <v>1000</v>
      </c>
      <c r="C9" s="183" t="str">
        <f>IF(B7="ใช่","← ส่วนติดตายคำนวณให้เอง = ทั้งผืน − เลื่อน","")</f>
        <v>← ส่วนติดตายคำนวณให้เอง = ทั้งผืน − เลื่อน</v>
      </c>
      <c r="E9" s="374" t="s">
        <v>1845</v>
      </c>
      <c r="F9" s="318">
        <f>IF(F8="เทาซาฮาร่า",100,IF(F8="ลายไม้สักทอง",112.5,0))</f>
        <v>0</v>
      </c>
      <c r="H9" s="21" t="s">
        <v>3056</v>
      </c>
    </row>
    <row r="10" spans="1:9">
      <c r="A10" s="182" t="str">
        <f>IF(B7="ใช่","ยื่น (ซม.) →",IF(B3="หลังคาจั่ว","ลึก D (ซม.) →","ยื่น (ซม.) →"))</f>
        <v>ยื่น (ซม.) →</v>
      </c>
      <c r="B10" s="547">
        <v>200</v>
      </c>
      <c r="C10" s="183"/>
      <c r="H10" s="131" t="s">
        <v>1846</v>
      </c>
      <c r="I10" s="487">
        <f>น้ำหนักโปรไฟล์!$C$326/6</f>
        <v>1.163</v>
      </c>
    </row>
    <row r="11" spans="1:9">
      <c r="A11" s="182" t="str">
        <f>IF(B7="ใช่","เลื่อน: กว้างรวมทุกบาน (ซม.) →",IF(B3="หลังคาจั่ว","สูงยอดจั่ว H (ซม.) →","— (ไม่ใช้)"))</f>
        <v>เลื่อน: กว้างรวมทุกบาน (ซม.) →</v>
      </c>
      <c r="B11" s="547">
        <v>200</v>
      </c>
      <c r="C11" s="183" t="str">
        <f>IF(B3="หลังคาจั่ว","← เฉพาะจั่ว",IF(B7="ใช่","← เฉพาะเลื่อน",""))</f>
        <v>← เฉพาะเลื่อน</v>
      </c>
      <c r="E11" t="s">
        <v>3252</v>
      </c>
      <c r="F11" s="588">
        <v>1</v>
      </c>
      <c r="H11" s="131" t="s">
        <v>1847</v>
      </c>
      <c r="I11" s="487">
        <f>น้ำหนักโปรไฟล์!$C$327/6</f>
        <v>0.66</v>
      </c>
    </row>
    <row r="12" spans="1:9">
      <c r="A12" s="182" t="str">
        <f>IF(B7="ใช่","เลื่อน: ยื่น (ซม.) →","— (ไม่ใช้)")</f>
        <v>เลื่อน: ยื่น (ซม.) →</v>
      </c>
      <c r="B12" s="547">
        <v>200</v>
      </c>
      <c r="C12" s="183" t="str">
        <f>IF(B7="ใช่","← เฉพาะเลื่อน","")</f>
        <v>← เฉพาะเลื่อน</v>
      </c>
      <c r="E12" t="s">
        <v>3253</v>
      </c>
      <c r="F12" s="588" t="s">
        <v>1164</v>
      </c>
      <c r="H12" s="131" t="s">
        <v>1848</v>
      </c>
      <c r="I12" s="487">
        <f>น้ำหนักโปรไฟล์!$C$328/6</f>
        <v>0.33200000000000002</v>
      </c>
    </row>
    <row r="13" spans="1:9">
      <c r="A13" s="182" t="str">
        <f>IF(B7="ใช่","รูปแบบเลื่อน →","— (ไม่ใช้)")</f>
        <v>รูปแบบเลื่อน →</v>
      </c>
      <c r="B13" s="547" t="s">
        <v>3257</v>
      </c>
      <c r="C13" s="183" t="str">
        <f>IF(B7="ใช่","← เฉพาะเลื่อน","")</f>
        <v>← เฉพาะเลื่อน</v>
      </c>
      <c r="H13" s="131" t="s">
        <v>1849</v>
      </c>
      <c r="I13" s="487">
        <f>น้ำหนักโปรไฟล์!$C$329/6</f>
        <v>0.16666666666666666</v>
      </c>
    </row>
    <row r="14" spans="1:9">
      <c r="A14" s="182" t="str">
        <f>IF(B7="ใช่","มอเตอร์ →","— (ไม่ใช้)")</f>
        <v>มอเตอร์ →</v>
      </c>
      <c r="B14" s="547" t="s">
        <v>528</v>
      </c>
      <c r="C14" s="183" t="str">
        <f>IF(B7="ใช่","← เฉพาะเลื่อน","")</f>
        <v>← เฉพาะเลื่อน</v>
      </c>
      <c r="H14" s="131" t="s">
        <v>1850</v>
      </c>
      <c r="I14" s="487">
        <f>น้ำหนักโปรไฟล์!$C$330/6</f>
        <v>0.67700000000000005</v>
      </c>
    </row>
    <row r="15" spans="1:9">
      <c r="A15" s="26" t="str">
        <f>IF(B7="ใช่","จำนวนบาน (เลื่อน) →","— (ไม่ใช้)")</f>
        <v>จำนวนบาน (เลื่อน) →</v>
      </c>
      <c r="B15" s="546">
        <v>5</v>
      </c>
      <c r="C15" s="183" t="str">
        <f>IF(B7="ใช่","← ติดตาย "&amp;TEXT(MAX(0,B9-B11),"0")&amp;"x"&amp;TEXT(B10,"0")&amp;" + เลื่อน "&amp;TEXT(B11,"0")&amp;"x"&amp;TEXT(B12,"0")&amp;"  =  "&amp;TEXT((MAX(0,B9-B11)/100)*(B10/100)+(B11/100)*(B12/100),"0.00")&amp;" ตร.ม.","")</f>
        <v>← ติดตาย 800x200 + เลื่อน 200x200  =  20.00 ตร.ม.</v>
      </c>
      <c r="H15" s="131" t="s">
        <v>1851</v>
      </c>
      <c r="I15" s="487">
        <f>น้ำหนักโปรไฟล์!$C$331/6</f>
        <v>2.1590000000000003</v>
      </c>
    </row>
    <row r="16" spans="1:9">
      <c r="A16" s="180" t="s">
        <v>1852</v>
      </c>
    </row>
    <row r="17" spans="1:4">
      <c r="A17" s="184" t="s">
        <v>1853</v>
      </c>
      <c r="D17" s="185">
        <f>IF(B3="หลังคาเพิง",'คิดทุน หลังคา'!D20,'คิดทุน หลังคาจั่ว'!D21)+IF(B7="ใช่",'คิดทุน หลังคาเลื่อน'!D11+'คิดทุน หลังคาเลื่อน'!D12+'คิดทุน หลังคาเลื่อน'!D20+'คิดทุน หลังคาเลื่อน'!D18+'คิดทุน หลังคาเลื่อน'!D19,0)+IF($F$9&gt;0,2000,0)</f>
        <v>114752.66666666666</v>
      </c>
    </row>
    <row r="18" spans="1:4" ht="26.4">
      <c r="A18" s="184" t="s">
        <v>1854</v>
      </c>
      <c r="D18" s="185">
        <f>D17+IF(B7="ใช่",'คิดทุน หลังคาเลื่อน'!D13+'คิดทุน หลังคาเลื่อน'!D14+'คิดทุน หลังคาเลื่อน'!D15,IF(B3="หลังคาเพิง",'คิดทุน หลังคา'!D18+'คิดทุน หลังคา'!D19,'คิดทุน หลังคาจั่ว'!D19+'คิดทุน หลังคาจั่ว'!D20))</f>
        <v>150913.66666666666</v>
      </c>
    </row>
    <row r="19" spans="1:4">
      <c r="A19" s="184" t="s">
        <v>1507</v>
      </c>
      <c r="D19" s="185">
        <f>IFERROR(D18/(B9*B10/10000),"")</f>
        <v>7545.6833333333325</v>
      </c>
    </row>
    <row r="20" spans="1:4" ht="39.6">
      <c r="A20" s="186" t="s">
        <v>3038</v>
      </c>
      <c r="C20" t="str">
        <f>IF(B7="ใช่","← รวมค่ามอเตอร์ขาย "&amp;TEXT('คิดทุน หลังคาเลื่อน'!H21,"#,##0")&amp;" บาท (ไม่ผ่านกำไร) แล้ว","")</f>
        <v>← รวมค่ามอเตอร์ขาย 35,000 บาท (ไม่ผ่านกำไร) แล้ว</v>
      </c>
      <c r="D20" s="187">
        <f>ROUNDUP((ROUNDUP((ROUNDUP((D17*IF(OR(B4="กระจก 4+4",B4="กระจก 5+5"),$E$59,$B$59)*$B$60+D48*(1+B53/100)+D49*(1+B54/100))/100,0)*100)*(1+$B$55/100)/100,0)*100)*1/100,0)*100+IF(B7="ใช่",'คิดทุน หลังคาเลื่อน'!H21,0)</f>
        <v>296900</v>
      </c>
    </row>
    <row r="22" spans="1:4">
      <c r="A22" s="172"/>
      <c r="B22" s="191"/>
      <c r="C22" s="191"/>
      <c r="D22" s="172"/>
    </row>
    <row r="23" spans="1:4">
      <c r="A23" s="196" t="s">
        <v>1855</v>
      </c>
      <c r="B23" s="197" t="s">
        <v>1124</v>
      </c>
      <c r="C23" s="197"/>
      <c r="D23" s="198" t="s">
        <v>1242</v>
      </c>
    </row>
    <row r="24" spans="1:4">
      <c r="A24" s="192" t="str">
        <f>IF(B3="หลังคาเพิง","ปลายหลังคา/รางน้ำ","ปลายหลังคา/รางน้ำ (2 ชายคา)")</f>
        <v>ปลายหลังคา/รางน้ำ</v>
      </c>
      <c r="B24" s="209" t="str">
        <f>IF(B6="ยื่นปลาย","—",IF(OR(B6="ปิดปลาย",B6="รางน้ำอลู"),ROUNDUP(B9/600,0)&amp;" เส้น",ROUND(B9/100,1)&amp;" ม."))</f>
        <v>—</v>
      </c>
      <c r="C24" s="192"/>
      <c r="D24" s="193">
        <f>IF(B3="หลังคาเพิง",'คิดทุน หลังคา'!D9,'คิดทุน หลังคาจั่ว'!D8)</f>
        <v>0</v>
      </c>
    </row>
    <row r="25" spans="1:4">
      <c r="A25" s="194" t="str">
        <f>IF(B3="หลังคาเพิง","จันทัน 1.6x4 นิ้ว","จันทัน 1.6x4 นิ้ว (x2 ด้าน)")</f>
        <v>จันทัน 1.6x4 นิ้ว</v>
      </c>
      <c r="B25" s="203">
        <f>IF(B3="หลังคาเพิง",'คิดทุน หลังคา'!B10,'คิดทุน หลังคาจั่ว'!B10)</f>
        <v>7.3666666666666671</v>
      </c>
      <c r="C25" s="194"/>
      <c r="D25" s="195">
        <f>IF(B3="หลังคาเพิง",'คิดทุน หลังคา'!D10,'คิดทุน หลังคาจั่ว'!D10)</f>
        <v>8987.3333333333339</v>
      </c>
    </row>
    <row r="26" spans="1:4">
      <c r="A26" s="192" t="str">
        <f>IF(B3="หลังคาเพิง","แป กล่อง","แป กล่อง (x2 ด้าน)")</f>
        <v>แป กล่อง</v>
      </c>
      <c r="B26" s="209">
        <f>IF(B3="หลังคาเพิง",'คิดทุน หลังคา'!B11,'คิดทุน หลังคาจั่ว'!B11)</f>
        <v>8.6666666666666679</v>
      </c>
      <c r="C26" s="192"/>
      <c r="D26" s="193">
        <f>IF(B3="หลังคาเพิง",'คิดทุน หลังคา'!D11,'คิดทุน หลังคาจั่ว'!D11)</f>
        <v>6673.3333333333339</v>
      </c>
    </row>
    <row r="27" spans="1:4">
      <c r="A27" s="194" t="str">
        <f>IF(B3="หลังคาเพิง","ฉาก 6 หุน","ฉาก 6 หุน (2 ชายคา)")</f>
        <v>ฉาก 6 หุน</v>
      </c>
      <c r="B27" s="203">
        <f>IF(B3="หลังคาเพิง",'คิดทุน หลังคา'!B12,'คิดทุน หลังคาจั่ว'!B12)</f>
        <v>1.7333333333333334</v>
      </c>
      <c r="C27" s="194"/>
      <c r="D27" s="195">
        <f>IF(B3="หลังคาเพิง",'คิดทุน หลังคา'!D12,'คิดทุน หลังคาจั่ว'!D12)</f>
        <v>273.86666666666667</v>
      </c>
    </row>
    <row r="28" spans="1:4">
      <c r="A28" s="192" t="str">
        <f>IF(B3="หลังคาเพิง","แซด 4 นิ้ว","แซด 4 นิ้ว (2 ชายคา)")</f>
        <v>แซด 4 นิ้ว</v>
      </c>
      <c r="B28" s="209">
        <f>IF(B3="หลังคาเพิง",'คิดทุน หลังคา'!B13,'คิดทุน หลังคาจั่ว'!B13)</f>
        <v>1.7333333333333334</v>
      </c>
      <c r="C28" s="192"/>
      <c r="D28" s="193">
        <f>IF(B3="หลังคาเพิง",'คิดทุน หลังคา'!D13,'คิดทุน หลังคาจั่ว'!D13)</f>
        <v>1067.7333333333333</v>
      </c>
    </row>
    <row r="29" spans="1:4">
      <c r="A29" s="194" t="str">
        <f>IF(B3="หลังคาเพิง","กล่องเหล็ก 1x1 นิ้ว","กล่องเหล็ก 1x1 นิ้ว")</f>
        <v>กล่องเหล็ก 1x1 นิ้ว</v>
      </c>
      <c r="B29" s="203">
        <f>IF(B3="หลังคาเพิง",'คิดทุน หลังคา'!B14,'คิดทุน หลังคาจั่ว'!B14)</f>
        <v>3.9000000000000004</v>
      </c>
      <c r="C29" s="194"/>
      <c r="D29" s="195">
        <f>IF(B3="หลังคาเพิง",'คิดทุน หลังคา'!D14,'คิดทุน หลังคาจั่ว'!D14)</f>
        <v>663.00000000000011</v>
      </c>
    </row>
    <row r="30" spans="1:4">
      <c r="A30" s="192" t="str">
        <f>IF(B3="หลังคาเพิง","เพลทเหล็ก","เพลทเหล็ก")</f>
        <v>เพลทเหล็ก</v>
      </c>
      <c r="B30" s="209">
        <f>IF(B3="หลังคาเพิง",'คิดทุน หลังคา'!B15,'คิดทุน หลังคาจั่ว'!B15)</f>
        <v>18</v>
      </c>
      <c r="C30" s="192"/>
      <c r="D30" s="193">
        <f>IF(B3="หลังคาเพิง",'คิดทุน หลังคา'!D15,'คิดทุน หลังคาจั่ว'!D15)</f>
        <v>270</v>
      </c>
    </row>
    <row r="31" spans="1:4">
      <c r="A31" s="194" t="str">
        <f>IF(B3="หลังคาเพิง","คาน 4x4 นิ้ว T","คาน 4x4 นิ้ว T")</f>
        <v>คาน 4x4 นิ้ว T</v>
      </c>
      <c r="B31" s="203" t="str">
        <f>IF(B3="หลังคาจั่ว",'คิดทุน หลังคาจั่ว'!B16,"")</f>
        <v/>
      </c>
      <c r="C31" s="194"/>
      <c r="D31" s="195">
        <f>IF(B3="หลังคาเพิง",0,'คิดทุน หลังคาจั่ว'!D16)</f>
        <v>0</v>
      </c>
    </row>
    <row r="32" spans="1:4">
      <c r="A32" s="192" t="str">
        <f>IF(B3="หลังคาเพิง","แผ่นหลังคา","แผ่นหลังคา (x2 ด้าน)")</f>
        <v>แผ่นหลังคา</v>
      </c>
      <c r="B32" s="209" t="str">
        <f>IF(B4="ไวนิล",CEILING(CEILING(IF(B3="หลังคาเพิง",IF(B7="ใช่",MAX(0,B9-B11),B9),'คิดทุน หลังคาจั่ว'!B4)/25,1)/MAX(1,INT(700/MAX(IF(B3="หลังคาเพิง",B10,'คิดทุน หลังคาจั่ว'!E2),1))),1)&amp;" เส้น",IF(B4="ดีไลท์",CEILING(CEILING(IF(B3="หลังคาเพิง",IF(B7="ใช่",MAX(0,B9-B11),B9),'คิดทุน หลังคาจั่ว'!B4)/100,1)/MAX(1,INT(600/MAX(IF(B3="หลังคาเพิง",B10,'คิดทุน หลังคาจั่ว'!E2),1))),1)&amp;" เส้น",IF(B4="โพลีตัน",CEILING(IF(B3="หลังคาเพิง",IF(B7="ใช่",MAX(0,B9-B11),B9),'คิดทุน หลังคาจั่ว'!B4)/122,1)&amp;"×"&amp;ROUNDUP(IF(B3="หลังคาเพิง",B10,'คิดทุน หลังคาจั่ว'!E2)/100,0)&amp;" แผ่น",IF(OR(B4="ชินโคร์ HC",B4="ชินโคร์ Sup",B4="ชินโคร์ Shade",B4="ชินโคร์ Prime"),CEILING(IF(B3="หลังคาเพิง",IF(B7="ใช่",MAX(0,B9-B11),B9),'คิดทุน หลังคาจั่ว'!B4)/138,1)&amp;" แผ่น × "&amp;TEXT(IF(B3="หลังคาเพิง",'คิดทุน หลังคา'!E7,'คิดทุน หลังคาจั่ว'!E5),"General")&amp;" ม.",IF(OR(B4="เมทัลชีท",B4="เมทัลชีท EPS"),CEILING(IF(B3="หลังคาเพิง",IF(B7="ใช่",MAX(0,B9-B11),B9),'คิดทุน หลังคาจั่ว'!B4)/34,1)&amp;" แผ่น × "&amp;TEXT(IF(B3="หลังคาเพิง",B10,'คิดทุน หลังคาจั่ว'!E2)/100,"General")&amp;" ม.",IF(OR(B4="กระจก 4+4",B4="กระจก 5+5"),TEXT(IF(B3="หลังคาเพิง",IF(B7="ใช่",MAX(0,B9-B11),B9),'คิดทุน หลังคาจั่ว'!B4)*IF(B3="หลังคาเพิง",B10,'คิดทุน หลังคาจั่ว'!E2)/10000,"0.0")&amp;" ตร.ม.","—"))))))</f>
        <v>11 เส้น</v>
      </c>
      <c r="C32" s="626" t="str">
        <f>IF(D32=0,"","← ราคารวมเผื่อเศษ "&amp;TEXT(buf_roof-1,"0%")&amp;" แล้ว (แก้ที่ อัปเดตราคาอลู B23)")</f>
        <v>← ราคารวมเผื่อเศษ 20% แล้ว (แก้ที่ อัปเดตราคาอลู B23)</v>
      </c>
      <c r="D32" s="193">
        <f>IF(B3="หลังคาเพิง",'คิดทุน หลังคา'!D16,'คิดทุน หลังคาจั่ว'!D17)</f>
        <v>20328</v>
      </c>
    </row>
    <row r="33" spans="1:4">
      <c r="A33" s="194" t="str">
        <f>IF(B3="หลังคาเพิง","ฝาครอบ","ฝาครอบ (x2 ด้าน)")</f>
        <v>ฝาครอบ</v>
      </c>
      <c r="B33" s="203" t="str">
        <f>IF(B4="ไวนิล",CEILING(B9/25,1)&amp;" เส้น",IF(B4="โพลีตัน",IF(B3="หลังคาเพิง",'คิดทุน หลังคา'!E2&amp;" เส้น",'คิดทุน หลังคาจั่ว'!E3&amp;" เส้น"),"—"))</f>
        <v>40 เส้น</v>
      </c>
      <c r="C33" s="627"/>
      <c r="D33" s="195">
        <f>IF(B3="หลังคาเพิง",'คิดทุน หลังคา'!D17,'คิดทุน หลังคาจั่ว'!D18)</f>
        <v>7840</v>
      </c>
    </row>
    <row r="34" spans="1:4">
      <c r="A34" s="194"/>
      <c r="B34" s="203"/>
      <c r="C34" s="628"/>
      <c r="D34" s="195"/>
    </row>
    <row r="35" spans="1:4">
      <c r="A35" s="199" t="str">
        <f>IF(B7="ใช่","ส่วนเลื่อน","")</f>
        <v>ส่วนเลื่อน</v>
      </c>
      <c r="B35" s="200" t="str">
        <f>IF(B7="ใช่","จำนวน","")</f>
        <v>จำนวน</v>
      </c>
      <c r="C35" s="629"/>
      <c r="D35" s="199" t="str">
        <f>IF(B7="ใช่","ทุน (บาท)","")</f>
        <v>ทุน (บาท)</v>
      </c>
    </row>
    <row r="36" spans="1:4">
      <c r="A36" s="201" t="str">
        <f>IF(B7="ใช่","จันทัน 1.6x4 นิ้ว (เลื่อน)","")</f>
        <v>จันทัน 1.6x4 นิ้ว (เลื่อน)</v>
      </c>
      <c r="B36" s="201">
        <f>IF(B7="ใช่",'คิดทุน หลังคาเลื่อน'!K2*B15,"")</f>
        <v>5.2</v>
      </c>
      <c r="C36" s="630"/>
      <c r="D36" s="202">
        <f>IF(B7="ใช่",'คิดทุน หลังคาเลื่อน'!L2*B15,"")</f>
        <v>6344</v>
      </c>
    </row>
    <row r="37" spans="1:4">
      <c r="A37" s="203" t="str">
        <f>IF(B7="ใช่","แป กล่อง (เลื่อน)","")</f>
        <v>แป กล่อง (เลื่อน)</v>
      </c>
      <c r="B37" s="203">
        <f>IF(B7="ใช่",'คิดทุน หลังคาเลื่อน'!K3*B15,"")</f>
        <v>2.166666666666667</v>
      </c>
      <c r="C37" s="627"/>
      <c r="D37" s="204">
        <f>IF(B7="ใช่",'คิดทุน หลังคาเลื่อน'!L3*B15,"")</f>
        <v>1668.3333333333335</v>
      </c>
    </row>
    <row r="38" spans="1:4">
      <c r="A38" s="201" t="str">
        <f>IF(B7="ใช่","ฉาก 6 หุน (เลื่อน)","")</f>
        <v>ฉาก 6 หุน (เลื่อน)</v>
      </c>
      <c r="B38" s="201">
        <f>IF(B7="ใช่",'คิดทุน หลังคาเลื่อน'!K4*B15,"")</f>
        <v>0.43333333333333335</v>
      </c>
      <c r="C38" s="630"/>
      <c r="D38" s="202">
        <f>IF(B7="ใช่",'คิดทุน หลังคาเลื่อน'!L4*B15,"")</f>
        <v>68.466666666666669</v>
      </c>
    </row>
    <row r="39" spans="1:4">
      <c r="A39" s="26" t="str">
        <f>IF(B7="ใช่","แซด 4 นิ้ว (เลื่อน)","")</f>
        <v>แซด 4 นิ้ว (เลื่อน)</v>
      </c>
      <c r="B39" s="26">
        <f>IF(B7="ใช่",'คิดทุน หลังคาเลื่อน'!K5*B15,"")</f>
        <v>0.43333333333333335</v>
      </c>
      <c r="C39" s="631"/>
      <c r="D39" s="26">
        <f>IF(B7="ใช่",'คิดทุน หลังคาเลื่อน'!L5*B15,"")</f>
        <v>266.93333333333334</v>
      </c>
    </row>
    <row r="40" spans="1:4">
      <c r="A40" s="205" t="str">
        <f>IF(B7="ใช่","กล่องเหล็ก 1x1 นิ้ว (เลื่อน — ไม่ใช้)","")</f>
        <v>กล่องเหล็ก 1x1 นิ้ว (เลื่อน — ไม่ใช้)</v>
      </c>
      <c r="B40" s="205">
        <f>IF(B7="ใช่",'คิดทุน หลังคาเลื่อน'!K6*B15,"")</f>
        <v>0</v>
      </c>
      <c r="C40" s="632"/>
      <c r="D40" s="205">
        <f>IF(B7="ใช่",'คิดทุน หลังคาเลื่อน'!L6*B15,"")</f>
        <v>0</v>
      </c>
    </row>
    <row r="41" spans="1:4">
      <c r="A41" s="206" t="str">
        <f>IF(B7="ใช่","เพลทเหล็ก (เลื่อน)","")</f>
        <v>เพลทเหล็ก (เลื่อน)</v>
      </c>
      <c r="B41" s="206">
        <f>IF(B7="ใช่",'คิดทุน หลังคาเลื่อน'!K7*B15,"")</f>
        <v>20</v>
      </c>
      <c r="C41" s="633"/>
      <c r="D41" s="207">
        <f>IF(B7="ใช่",'คิดทุน หลังคาเลื่อน'!L7*B15,"")</f>
        <v>300</v>
      </c>
    </row>
    <row r="42" spans="1:4">
      <c r="A42" s="203" t="str">
        <f>IF(B7="ใช่","แผ่นหลังคา (เลื่อน)","")</f>
        <v>แผ่นหลังคา (เลื่อน)</v>
      </c>
      <c r="B42" s="203" t="str">
        <f>IF(B7="ใช่",IF(B4="ไวนิล",CEILING(CEILING(B11/25,1)/MAX(1,INT(700/MAX(B12,1))),1)&amp;" เส้น",IF(B4="ดีไลท์",CEILING(CEILING(B11/100,1)/MAX(1,INT(600/MAX(B12,1))),1)&amp;" เส้น",IF(B4="โพลีตัน",CEILING(B11/122,1)&amp;"×"&amp;ROUNDUP(B12/100,0)&amp;" แผ่น",IF(OR(B4="ชินโคร์ HC",B4="ชินโคร์ Sup",B4="ชินโคร์ Shade",B4="ชินโคร์ Prime"),CEILING(B11/138,1)&amp;" แผ่น × "&amp;TEXT('คิดทุน หลังคาเลื่อน'!J6,"General")&amp;" ม.",IF(OR(B4="เมทัลชีท",B4="เมทัลชีท EPS"),CEILING(B11/34,1)&amp;" แผ่น × "&amp;TEXT(B12/100,"General")&amp;" ม.",IF(OR(B4="กระจก 4+4",B4="กระจก 5+5"),TEXT(B11*B12/10000,"0.0")&amp;" ตร.ม.","—")))))),"")</f>
        <v>3 เส้น</v>
      </c>
      <c r="C42" s="627" t="str">
        <f>IF(B7&lt;&gt;"ใช่","",IF(D42=0,"","← ราคารวมเผื่อเศษ "&amp;TEXT(buf_roof-1,"0%")&amp;" แล้ว"))</f>
        <v>← ราคารวมเผื่อเศษ 20% แล้ว</v>
      </c>
      <c r="D42" s="204">
        <f>IF(B7="ใช่",'คิดทุน หลังคาเลื่อน'!J7,"")</f>
        <v>5544</v>
      </c>
    </row>
    <row r="43" spans="1:4">
      <c r="A43" s="26" t="str">
        <f>IF(B7="ใช่","ฝาครอบ (เลื่อน)","")</f>
        <v>ฝาครอบ (เลื่อน)</v>
      </c>
      <c r="B43" s="26" t="str">
        <f>IF(B7="ใช่","—","")</f>
        <v>—</v>
      </c>
      <c r="D43" s="26">
        <f>IF(B7="ใช่",'คิดทุน หลังคาเลื่อน'!J8,"")</f>
        <v>1960</v>
      </c>
    </row>
    <row r="44" spans="1:4">
      <c r="A44" s="26" t="str">
        <f>IF(B7="ใช่","ราง (2 ฝั่ง)","")</f>
        <v>ราง (2 ฝั่ง)</v>
      </c>
      <c r="B44" s="26" t="str">
        <f>IF(B7="ใช่",'คิดทุน หลังคาเลื่อน'!H15&amp;" เส้น (ฝั่งละ "&amp;TEXT('คิดทุน หลังคาเลื่อน'!H12,"0")&amp;" ซม. x 2 ฝั่ง = "&amp;TEXT('คิดทุน หลังคาเลื่อน'!H12*2,"0")&amp;" ซม.)","")</f>
        <v>6.66666666666667 เส้น (ฝั่งละ 400 ซม. x 2 ฝั่ง = 800 ซม.)</v>
      </c>
      <c r="C44" t="str">
        <f>IF(B7="ใช่","← 2 ฝั่ง × "&amp;TEXT(MAX('คิดทุน หลังคาเลื่อน'!E3,1),"0")&amp;" บาน","")</f>
        <v>← 2 ฝั่ง × 5 บาน</v>
      </c>
      <c r="D44" s="26">
        <f>IF(B7="ใช่",'คิดทุน หลังคาเลื่อน'!D12,"")</f>
        <v>27200</v>
      </c>
    </row>
    <row r="45" spans="1:4">
      <c r="A45" s="26" t="s">
        <v>3254</v>
      </c>
      <c r="B45" s="26" t="str">
        <f>IF(B7="ใช่",IF(B14="ไม่มี","—",TEXT('คิดทุน หลังคาเลื่อน'!H19,"0")&amp;" ตัว"&amp;IF('คิดทุน หลังคาเลื่อน'!H20=1," + เซนเซอร์","")),"")</f>
        <v>1 ตัว</v>
      </c>
      <c r="D45" s="26">
        <f>IF(B7="ใช่",'คิดทุน หลังคาเลื่อน'!D13,"")</f>
        <v>15000</v>
      </c>
    </row>
    <row r="46" spans="1:4">
      <c r="A46" t="s">
        <v>3255</v>
      </c>
      <c r="B46" t="str">
        <f>IF(B7="ใช่",TEXT('คิดทุน หลังคาเลื่อน'!B45*MAX('คิดทุน หลังคาเลื่อน'!E3,1),"0")&amp;" ชุดล้อ + "&amp;TEXT(MAX('คิดทุน หลังคาเลื่อน'!E3,1),"0")&amp;" ชุดลากจูง","")</f>
        <v>20 ชุดล้อ + 5 ชุดลากจูง</v>
      </c>
      <c r="D46">
        <f>IF(B7="ใช่",'คิดทุน หลังคาเลื่อน'!D20,"")</f>
        <v>22000</v>
      </c>
    </row>
    <row r="47" spans="1:4">
      <c r="A47" s="208" t="s">
        <v>1856</v>
      </c>
      <c r="D47" s="208" t="s">
        <v>1242</v>
      </c>
    </row>
    <row r="48" spans="1:4">
      <c r="A48" s="26" t="s">
        <v>711</v>
      </c>
      <c r="D48" s="26">
        <f>IF(B7="ใช่",'คิดทุน หลังคาเลื่อน'!D14,IF(B3="หลังคาเพิง",'คิดทุน หลังคา'!D18,'คิดทุน หลังคาจั่ว'!D19))</f>
        <v>7595</v>
      </c>
    </row>
    <row r="49" spans="1:6">
      <c r="A49" s="26" t="s">
        <v>647</v>
      </c>
      <c r="D49" s="26">
        <f>IF(B7="ใช่",'คิดทุน หลังคาเลื่อน'!D15,IF(B3="หลังคาเพิง",'คิดทุน หลังคา'!D19,'คิดทุน หลังคาจั่ว'!D20))</f>
        <v>13566</v>
      </c>
    </row>
    <row r="51" spans="1:6">
      <c r="A51" s="26" t="s">
        <v>3148</v>
      </c>
    </row>
    <row r="52" spans="1:6" ht="18" customHeight="1">
      <c r="A52" s="26" t="s">
        <v>1179</v>
      </c>
      <c r="B52" s="26" t="s">
        <v>1857</v>
      </c>
      <c r="C52" s="26" t="s">
        <v>1858</v>
      </c>
    </row>
    <row r="53" spans="1:6">
      <c r="A53" s="26" t="s">
        <v>1180</v>
      </c>
      <c r="B53" s="548">
        <f>ROUND(($C$59*$B$60-1)*100,0)</f>
        <v>33</v>
      </c>
      <c r="C53" s="26" t="s">
        <v>3149</v>
      </c>
    </row>
    <row r="54" spans="1:6">
      <c r="A54" s="26" t="s">
        <v>1181</v>
      </c>
      <c r="B54" s="548">
        <f>ROUND(($D$59*$B$60-1)*100,0)</f>
        <v>33</v>
      </c>
      <c r="C54" s="26" t="s">
        <v>3149</v>
      </c>
    </row>
    <row r="55" spans="1:6">
      <c r="A55" s="26" t="s">
        <v>3122</v>
      </c>
      <c r="B55" s="546">
        <v>30</v>
      </c>
      <c r="C55" s="26" t="s">
        <v>3150</v>
      </c>
    </row>
    <row r="57" spans="1:6">
      <c r="A57" s="533" t="s">
        <v>3151</v>
      </c>
      <c r="B57" s="535"/>
      <c r="C57" s="533"/>
    </row>
    <row r="58" spans="1:6">
      <c r="A58" t="s">
        <v>3144</v>
      </c>
      <c r="B58" s="541">
        <v>25</v>
      </c>
      <c r="C58" t="s">
        <v>3152</v>
      </c>
    </row>
    <row r="59" spans="1:6">
      <c r="A59" t="s">
        <v>3153</v>
      </c>
      <c r="B59" s="542">
        <v>1.4650000000000001</v>
      </c>
      <c r="C59" s="542">
        <v>1.292</v>
      </c>
      <c r="D59" s="542">
        <v>1.292</v>
      </c>
      <c r="E59" s="542">
        <v>1.895</v>
      </c>
      <c r="F59" s="542" t="s">
        <v>3154</v>
      </c>
    </row>
    <row r="60" spans="1:6">
      <c r="A60" t="s">
        <v>3155</v>
      </c>
      <c r="B60" s="542">
        <f>IFERROR((((D17)+(D48)+(D49))/(100/(100+B55)-B58/100))/(((D17)*IF(OR(B4="กระจก 4+4",B4="กระจก 5+5"),$E$59,$B$59)+(D48)*$C$59+(D49)*$D$59)*(1+B55/100)),1)</f>
        <v>1.0301910003096995</v>
      </c>
      <c r="C60" t="s">
        <v>3156</v>
      </c>
    </row>
    <row r="62" spans="1:6">
      <c r="A62" s="533" t="s">
        <v>3126</v>
      </c>
      <c r="B62" s="535"/>
      <c r="C62" s="533"/>
    </row>
    <row r="63" spans="1:6">
      <c r="A63" s="533" t="s">
        <v>3127</v>
      </c>
      <c r="B63" s="534">
        <f>IFERROR(ROUND(D20-D20/(1+B55/100),0),0)</f>
        <v>68515</v>
      </c>
      <c r="C63" s="533" t="s">
        <v>3128</v>
      </c>
    </row>
    <row r="64" spans="1:6">
      <c r="A64" s="533" t="s">
        <v>3129</v>
      </c>
      <c r="B64" s="534">
        <f>D17+D48+D49+B63+IF(B7="ใช่",'คิดทุน หลังคาเลื่อน'!D13,0)</f>
        <v>219428.66666666666</v>
      </c>
      <c r="C64" s="533" t="s">
        <v>3130</v>
      </c>
    </row>
    <row r="65" spans="1:3">
      <c r="A65" s="536" t="s">
        <v>3131</v>
      </c>
      <c r="B65" s="537">
        <f>IFERROR((D20-B64)/D20,"")</f>
        <v>0.26093409677781526</v>
      </c>
      <c r="C65" s="536" t="s">
        <v>3157</v>
      </c>
    </row>
  </sheetData>
  <mergeCells count="2">
    <mergeCell ref="A1:D1"/>
    <mergeCell ref="A2:D2"/>
  </mergeCells>
  <dataValidations count="11">
    <dataValidation type="list" allowBlank="1" sqref="B4" xr:uid="{00000000-0002-0000-2300-000000000000}">
      <formula1>"ไวนิล,โพลีตัน,ดีไลท์,ชินโคร์ HC,ชินโคร์ Sup,เมทัลชีท,กระจก 4+4,กระจก 5+5,ชินโคร์ Shade,ชินโคร์ Prime,เมทัลชีท EPS"</formula1>
    </dataValidation>
    <dataValidation type="list" allowBlank="1" sqref="B5" xr:uid="{00000000-0002-0000-2300-000001000000}">
      <formula1>"แปเดี่ยว,แปคู่"</formula1>
    </dataValidation>
    <dataValidation type="list" allowBlank="1" sqref="B6" xr:uid="{00000000-0002-0000-2300-000002000000}">
      <formula1>"ยื่นปลาย,ปิดปลาย,รางน้ำอลู,รางน้ำสแตน M,รางน้ำสแตน L"</formula1>
    </dataValidation>
    <dataValidation type="list" sqref="B3" xr:uid="{00000000-0002-0000-2300-000003000000}">
      <formula1>"หลังคาเพิง,หลังคาจั่ว"</formula1>
    </dataValidation>
    <dataValidation type="list" sqref="B7" xr:uid="{00000000-0002-0000-2300-000004000000}">
      <formula1>"ใช่,ไม่"</formula1>
    </dataValidation>
    <dataValidation type="list" allowBlank="1" sqref="B13" xr:uid="{00000000-0002-0000-2300-000005000000}">
      <formula1>"เลื่อนยื่น,เลื่อนข้าง,เลื่อนเปิดกลาง"</formula1>
    </dataValidation>
    <dataValidation type="list" sqref="F3" xr:uid="{00000000-0002-0000-2300-000007000000}">
      <formula1>"อลู,เหล็กชุบซิงค์"</formula1>
    </dataValidation>
    <dataValidation type="list" sqref="F8" xr:uid="{00000000-0002-0000-2300-000008000000}">
      <formula1>"อบขาว/ดำ,เทาซาฮาร่า,ลายไม้สักทอง"</formula1>
    </dataValidation>
    <dataValidation type="list" allowBlank="1" showInputMessage="1" showErrorMessage="1" sqref="F11" xr:uid="{77BBE7CD-139D-458A-95FC-712672A176C6}">
      <formula1>"1,2,3"</formula1>
    </dataValidation>
    <dataValidation type="list" allowBlank="1" showInputMessage="1" showErrorMessage="1" sqref="F12" xr:uid="{9034AFB4-2392-4B69-B8F7-25980BC18DBA}">
      <formula1>"มี,ไม่มี"</formula1>
    </dataValidation>
    <dataValidation type="list" allowBlank="1" showInputMessage="1" showErrorMessage="1" sqref="B14" xr:uid="{31B1FCC4-E3BF-47AF-BAE8-3DB276D6A2A6}">
      <formula1>"ไม่มี,80 กก.,300 กก.,1500 กก."</formula1>
    </dataValidation>
  </dataValidations>
  <hyperlinks>
    <hyperlink ref="G1" location="'สารบัญ'!A1" display="🏠 สารบัญ" xr:uid="{00000000-0004-0000-2300-000000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H59"/>
  <sheetViews>
    <sheetView workbookViewId="0">
      <selection sqref="A1:F1"/>
    </sheetView>
  </sheetViews>
  <sheetFormatPr defaultRowHeight="14.4"/>
  <cols>
    <col min="1" max="1" width="46" customWidth="1"/>
    <col min="2" max="2" width="24" customWidth="1"/>
    <col min="3" max="3" width="42.6640625" customWidth="1"/>
    <col min="4" max="4" width="6.44140625" customWidth="1"/>
    <col min="5" max="5" width="24" customWidth="1"/>
    <col min="6" max="6" width="18" customWidth="1"/>
    <col min="7" max="7" width="24" customWidth="1"/>
  </cols>
  <sheetData>
    <row r="1" spans="1:8" ht="16.8">
      <c r="A1" s="675" t="s">
        <v>1859</v>
      </c>
      <c r="B1" s="650"/>
      <c r="C1" s="650"/>
      <c r="D1" s="650"/>
      <c r="E1" s="650"/>
      <c r="F1" s="650"/>
      <c r="G1" s="293" t="s">
        <v>68</v>
      </c>
      <c r="H1" s="297"/>
    </row>
    <row r="3" spans="1:8">
      <c r="A3" s="674" t="s">
        <v>1860</v>
      </c>
      <c r="B3" s="650"/>
      <c r="C3" s="650"/>
      <c r="D3" s="650"/>
      <c r="E3" s="650"/>
      <c r="F3" s="650"/>
      <c r="G3" s="650"/>
    </row>
    <row r="4" spans="1:8">
      <c r="B4" s="134" t="s">
        <v>1861</v>
      </c>
      <c r="C4" s="617">
        <v>5</v>
      </c>
      <c r="D4" s="135" t="s">
        <v>1862</v>
      </c>
      <c r="E4" s="136" t="s">
        <v>1863</v>
      </c>
    </row>
    <row r="5" spans="1:8">
      <c r="B5" s="134" t="s">
        <v>1864</v>
      </c>
      <c r="C5" s="617">
        <v>6</v>
      </c>
      <c r="D5" s="135" t="s">
        <v>1862</v>
      </c>
      <c r="E5" s="136" t="s">
        <v>1863</v>
      </c>
    </row>
    <row r="6" spans="1:8">
      <c r="B6" s="134" t="s">
        <v>1865</v>
      </c>
      <c r="C6" s="137">
        <f>C4*C5</f>
        <v>30</v>
      </c>
      <c r="D6" s="135" t="s">
        <v>593</v>
      </c>
      <c r="E6" s="136" t="s">
        <v>1866</v>
      </c>
    </row>
    <row r="7" spans="1:8">
      <c r="B7" s="134" t="s">
        <v>1867</v>
      </c>
      <c r="C7" s="137">
        <f>2*(C4+C5)</f>
        <v>22</v>
      </c>
      <c r="D7" s="135" t="s">
        <v>1862</v>
      </c>
      <c r="E7" s="136" t="s">
        <v>1868</v>
      </c>
    </row>
    <row r="8" spans="1:8">
      <c r="B8" s="134" t="s">
        <v>1869</v>
      </c>
      <c r="C8" s="617" t="s">
        <v>1870</v>
      </c>
      <c r="E8" s="136" t="s">
        <v>1871</v>
      </c>
    </row>
    <row r="10" spans="1:8">
      <c r="A10" s="674" t="s">
        <v>1872</v>
      </c>
      <c r="B10" s="650"/>
      <c r="C10" s="650"/>
      <c r="D10" s="650"/>
      <c r="E10" s="650"/>
      <c r="F10" s="650"/>
      <c r="G10" s="650"/>
    </row>
    <row r="11" spans="1:8">
      <c r="B11" s="138" t="s">
        <v>606</v>
      </c>
      <c r="C11" s="138" t="s">
        <v>1124</v>
      </c>
      <c r="D11" s="138" t="s">
        <v>471</v>
      </c>
      <c r="E11" s="138" t="s">
        <v>1125</v>
      </c>
      <c r="F11" s="138" t="s">
        <v>1873</v>
      </c>
      <c r="G11" s="138" t="s">
        <v>569</v>
      </c>
    </row>
    <row r="12" spans="1:8">
      <c r="B12" s="139" t="s">
        <v>1874</v>
      </c>
      <c r="C12" s="140">
        <f>CEILING($C$6*1.1/2.88,1)</f>
        <v>12</v>
      </c>
      <c r="D12" s="141" t="s">
        <v>475</v>
      </c>
      <c r="E12" s="634">
        <f>ราคางานเสริม!$D$5</f>
        <v>284</v>
      </c>
      <c r="F12" s="143">
        <f t="shared" ref="F12:F22" si="0">C12*E12</f>
        <v>3408</v>
      </c>
      <c r="G12" s="136" t="s">
        <v>1875</v>
      </c>
    </row>
    <row r="13" spans="1:8">
      <c r="B13" s="139" t="s">
        <v>1876</v>
      </c>
      <c r="C13" s="140">
        <f>CEILING($C$6*2.5/4,1)</f>
        <v>19</v>
      </c>
      <c r="D13" s="141" t="s">
        <v>477</v>
      </c>
      <c r="E13" s="634">
        <f>ราคางานเสริม!$D$6</f>
        <v>50</v>
      </c>
      <c r="F13" s="143">
        <f t="shared" si="0"/>
        <v>950</v>
      </c>
      <c r="G13" s="136" t="s">
        <v>1877</v>
      </c>
    </row>
    <row r="14" spans="1:8">
      <c r="B14" s="139" t="s">
        <v>1878</v>
      </c>
      <c r="C14" s="140">
        <f>CEILING($C$6*1/4,1)</f>
        <v>8</v>
      </c>
      <c r="D14" s="141" t="s">
        <v>477</v>
      </c>
      <c r="E14" s="634">
        <f>ราคางานเสริม!$D$7</f>
        <v>50</v>
      </c>
      <c r="F14" s="143">
        <f t="shared" si="0"/>
        <v>400</v>
      </c>
      <c r="G14" s="136" t="s">
        <v>1879</v>
      </c>
    </row>
    <row r="15" spans="1:8">
      <c r="B15" s="139" t="s">
        <v>1880</v>
      </c>
      <c r="C15" s="140">
        <f>CEILING($C$6*1*0.3/4,1)</f>
        <v>3</v>
      </c>
      <c r="D15" s="141" t="s">
        <v>477</v>
      </c>
      <c r="E15" s="634">
        <f>ราคางานเสริม!$D$8</f>
        <v>50</v>
      </c>
      <c r="F15" s="143">
        <f t="shared" si="0"/>
        <v>150</v>
      </c>
      <c r="G15" s="136" t="s">
        <v>1881</v>
      </c>
    </row>
    <row r="16" spans="1:8">
      <c r="B16" s="139" t="s">
        <v>1882</v>
      </c>
      <c r="C16" s="140">
        <f>CEILING($C$6*15,1)</f>
        <v>450</v>
      </c>
      <c r="D16" s="141" t="s">
        <v>481</v>
      </c>
      <c r="E16" s="635">
        <f>ราคางานเสริม!$D$9</f>
        <v>0.5</v>
      </c>
      <c r="F16" s="143">
        <f t="shared" si="0"/>
        <v>225</v>
      </c>
      <c r="G16" s="136" t="s">
        <v>1883</v>
      </c>
    </row>
    <row r="17" spans="1:7">
      <c r="B17" s="139" t="s">
        <v>1884</v>
      </c>
      <c r="C17" s="140">
        <f>CEILING($C$6*5,1)</f>
        <v>150</v>
      </c>
      <c r="D17" s="141" t="s">
        <v>481</v>
      </c>
      <c r="E17" s="635">
        <f>ราคางานเสริม!$D$10</f>
        <v>0.5</v>
      </c>
      <c r="F17" s="143">
        <f t="shared" si="0"/>
        <v>75</v>
      </c>
      <c r="G17" s="136" t="s">
        <v>1885</v>
      </c>
    </row>
    <row r="18" spans="1:7">
      <c r="B18" s="139" t="s">
        <v>1886</v>
      </c>
      <c r="C18" s="140">
        <f>CEILING($C$6*0.5/50,1)</f>
        <v>1</v>
      </c>
      <c r="D18" s="141" t="s">
        <v>484</v>
      </c>
      <c r="E18" s="634">
        <f>ราคางานเสริม!$D$11</f>
        <v>240</v>
      </c>
      <c r="F18" s="143">
        <f t="shared" si="0"/>
        <v>240</v>
      </c>
      <c r="G18" s="136" t="s">
        <v>1887</v>
      </c>
    </row>
    <row r="19" spans="1:7">
      <c r="B19" s="139" t="s">
        <v>1888</v>
      </c>
      <c r="C19" s="140">
        <f>CEILING($C$6/60,1)</f>
        <v>1</v>
      </c>
      <c r="D19" s="141" t="s">
        <v>486</v>
      </c>
      <c r="E19" s="634">
        <f>ราคางานเสริม!$D$12</f>
        <v>70</v>
      </c>
      <c r="F19" s="143">
        <f t="shared" si="0"/>
        <v>70</v>
      </c>
      <c r="G19" s="136" t="s">
        <v>1889</v>
      </c>
    </row>
    <row r="20" spans="1:7">
      <c r="B20" s="139" t="s">
        <v>1890</v>
      </c>
      <c r="C20" s="140">
        <f>CEILING($C$7/6,1)</f>
        <v>4</v>
      </c>
      <c r="D20" s="141" t="s">
        <v>477</v>
      </c>
      <c r="E20" s="634">
        <f>ราคางานเสริม!$D$13</f>
        <v>70</v>
      </c>
      <c r="F20" s="143">
        <f t="shared" si="0"/>
        <v>280</v>
      </c>
      <c r="G20" s="136" t="s">
        <v>1891</v>
      </c>
    </row>
    <row r="21" spans="1:7">
      <c r="B21" s="139" t="s">
        <v>1892</v>
      </c>
      <c r="C21" s="140">
        <f>IF($C$8="ใส่",CEILING($C$6/0.72,1),0)</f>
        <v>0</v>
      </c>
      <c r="D21" s="141" t="s">
        <v>475</v>
      </c>
      <c r="E21" s="634">
        <f>ราคางานเสริม!$D$14</f>
        <v>130</v>
      </c>
      <c r="F21" s="143">
        <f t="shared" si="0"/>
        <v>0</v>
      </c>
      <c r="G21" s="136" t="s">
        <v>1893</v>
      </c>
    </row>
    <row r="22" spans="1:7">
      <c r="B22" s="139" t="s">
        <v>1894</v>
      </c>
      <c r="C22" s="140">
        <f>$C$6</f>
        <v>30</v>
      </c>
      <c r="D22" s="141" t="s">
        <v>593</v>
      </c>
      <c r="E22" s="634">
        <f>ค่าแรง!$C$61</f>
        <v>350</v>
      </c>
      <c r="F22" s="143">
        <f t="shared" si="0"/>
        <v>10500</v>
      </c>
      <c r="G22" s="136" t="s">
        <v>1895</v>
      </c>
    </row>
    <row r="23" spans="1:7" ht="15">
      <c r="B23" s="145" t="s">
        <v>1896</v>
      </c>
      <c r="F23" s="146">
        <f>SUM(F12:F22)</f>
        <v>16298</v>
      </c>
    </row>
    <row r="25" spans="1:7">
      <c r="A25" s="674" t="s">
        <v>1897</v>
      </c>
      <c r="B25" s="650"/>
      <c r="C25" s="650"/>
      <c r="D25" s="650"/>
      <c r="E25" s="650"/>
      <c r="F25" s="650"/>
      <c r="G25" s="650"/>
    </row>
    <row r="26" spans="1:7">
      <c r="B26" s="147" t="s">
        <v>1898</v>
      </c>
      <c r="F26" s="148">
        <f>IF($C$6=0,0,F23/$C$6)</f>
        <v>543.26666666666665</v>
      </c>
      <c r="G26" s="136" t="s">
        <v>1899</v>
      </c>
    </row>
    <row r="27" spans="1:7" ht="15">
      <c r="B27" s="147" t="s">
        <v>1900</v>
      </c>
      <c r="F27" s="149">
        <f>ROUNDUP((ROUNDUP(((ROUNDUP(((F23-F22)*(1+$B$35/100))/100,0)*100)*(1+$B$36/100))/100,0)*100*1)/100,0)*100+ROUNDUP((ROUNDUP(((ROUNDUP((F22*(1+$B$58/100))/100,0)*100)*(1+$B$36/100))/100,0)*100*1)/100,0)*100</f>
        <v>36500</v>
      </c>
      <c r="G27" s="136" t="s">
        <v>1901</v>
      </c>
    </row>
    <row r="28" spans="1:7">
      <c r="B28" s="147" t="s">
        <v>1902</v>
      </c>
      <c r="F28" s="150">
        <f>F27-F23</f>
        <v>20202</v>
      </c>
      <c r="G28" s="136" t="s">
        <v>1903</v>
      </c>
    </row>
    <row r="29" spans="1:7">
      <c r="B29" s="147" t="s">
        <v>1904</v>
      </c>
      <c r="F29" s="148">
        <f>MAX(12000,$C$6*IF($C$6&gt;20,1150,1200))+IF($C$8="ใส่",600*$C$6,0)</f>
        <v>34500</v>
      </c>
      <c r="G29" s="136" t="s">
        <v>1905</v>
      </c>
    </row>
    <row r="30" spans="1:7">
      <c r="B30" s="147" t="s">
        <v>1906</v>
      </c>
      <c r="F30" s="151">
        <f>IF(F23=0,0,(F29-F23)/F23)</f>
        <v>1.1168241502024789</v>
      </c>
      <c r="G30" s="136" t="s">
        <v>1907</v>
      </c>
    </row>
    <row r="32" spans="1:7">
      <c r="A32" s="673" t="s">
        <v>1908</v>
      </c>
      <c r="B32" s="650"/>
      <c r="C32" s="650"/>
      <c r="D32" s="650"/>
      <c r="E32" s="650"/>
      <c r="F32" s="650"/>
      <c r="G32" s="650"/>
    </row>
    <row r="34" spans="1:6">
      <c r="A34" s="390" t="s">
        <v>3148</v>
      </c>
    </row>
    <row r="35" spans="1:6">
      <c r="A35" t="s">
        <v>1179</v>
      </c>
      <c r="B35" s="542">
        <f>ROUND(($B$47*$B$48-1)*100,0)</f>
        <v>104</v>
      </c>
      <c r="C35" t="s">
        <v>3149</v>
      </c>
    </row>
    <row r="36" spans="1:6">
      <c r="A36" t="s">
        <v>3122</v>
      </c>
      <c r="B36" s="541">
        <v>30</v>
      </c>
      <c r="C36" t="s">
        <v>3150</v>
      </c>
    </row>
    <row r="37" spans="1:6">
      <c r="A37" s="613" t="s">
        <v>1138</v>
      </c>
      <c r="B37" s="614"/>
    </row>
    <row r="38" spans="1:6">
      <c r="A38" s="489" t="s">
        <v>3093</v>
      </c>
      <c r="B38" s="492">
        <f>SUM(F12)</f>
        <v>3408</v>
      </c>
    </row>
    <row r="39" spans="1:6">
      <c r="A39" s="489" t="s">
        <v>3094</v>
      </c>
      <c r="B39" s="492">
        <f>SUM(F13,F14,F15,F20)</f>
        <v>1780</v>
      </c>
    </row>
    <row r="40" spans="1:6">
      <c r="A40" s="489" t="s">
        <v>3095</v>
      </c>
      <c r="B40" s="492">
        <f>SUM(F16,F17,F18,F19)</f>
        <v>610</v>
      </c>
    </row>
    <row r="41" spans="1:6">
      <c r="A41" s="489" t="s">
        <v>3096</v>
      </c>
      <c r="B41" s="492">
        <f>SUM(F21)</f>
        <v>0</v>
      </c>
    </row>
    <row r="42" spans="1:6">
      <c r="A42" s="491" t="s">
        <v>1144</v>
      </c>
      <c r="B42" s="493">
        <f>SUM(B38:B41)</f>
        <v>5798</v>
      </c>
    </row>
    <row r="43" spans="1:6">
      <c r="A43" s="488" t="s">
        <v>3067</v>
      </c>
    </row>
    <row r="45" spans="1:6">
      <c r="A45" s="533" t="s">
        <v>3151</v>
      </c>
      <c r="B45" s="535"/>
      <c r="C45" s="533"/>
    </row>
    <row r="46" spans="1:6">
      <c r="A46" t="s">
        <v>3144</v>
      </c>
      <c r="B46" s="541">
        <v>32</v>
      </c>
      <c r="C46" t="s">
        <v>3152</v>
      </c>
    </row>
    <row r="47" spans="1:6">
      <c r="A47" t="s">
        <v>3153</v>
      </c>
      <c r="B47" s="542">
        <v>1.7230000000000001</v>
      </c>
      <c r="C47" s="542"/>
      <c r="D47" s="542">
        <v>1.292</v>
      </c>
      <c r="E47" s="542" t="s">
        <v>3154</v>
      </c>
      <c r="F47" s="542"/>
    </row>
    <row r="48" spans="1:6">
      <c r="A48" t="s">
        <v>3155</v>
      </c>
      <c r="B48" s="542">
        <f>IFERROR((((F23-F22)+(F22))/(100/(100+B36)-B46/100))/(((F23-F22)*$B$47+(F22)*$D$47)*(1+B36/100)),1)</f>
        <v>1.1847337724710849</v>
      </c>
      <c r="C48" t="s">
        <v>3156</v>
      </c>
    </row>
    <row r="50" spans="1:3">
      <c r="A50" s="533" t="s">
        <v>3126</v>
      </c>
      <c r="B50" s="535"/>
      <c r="C50" s="533"/>
    </row>
    <row r="51" spans="1:3">
      <c r="A51" s="533" t="s">
        <v>3127</v>
      </c>
      <c r="B51" s="534">
        <f>IFERROR(ROUND(F27-F27/(1+B36/100),0),0)</f>
        <v>8423</v>
      </c>
      <c r="C51" s="533" t="s">
        <v>3128</v>
      </c>
    </row>
    <row r="52" spans="1:3">
      <c r="A52" s="533" t="s">
        <v>3129</v>
      </c>
      <c r="B52" s="534">
        <f>F23+B51</f>
        <v>24721</v>
      </c>
      <c r="C52" s="533" t="s">
        <v>3130</v>
      </c>
    </row>
    <row r="53" spans="1:3">
      <c r="A53" s="536" t="s">
        <v>3131</v>
      </c>
      <c r="B53" s="537">
        <f>IFERROR((F27-B52)/F27,"")</f>
        <v>0.3227123287671233</v>
      </c>
      <c r="C53" s="536" t="s">
        <v>3157</v>
      </c>
    </row>
    <row r="56" spans="1:3">
      <c r="A56" t="s">
        <v>3160</v>
      </c>
      <c r="B56" t="s">
        <v>3133</v>
      </c>
      <c r="C56" t="s">
        <v>3161</v>
      </c>
    </row>
    <row r="57" spans="1:3">
      <c r="A57" t="s">
        <v>1180</v>
      </c>
      <c r="B57" t="s">
        <v>7</v>
      </c>
      <c r="C57" t="s">
        <v>3162</v>
      </c>
    </row>
    <row r="58" spans="1:3">
      <c r="A58" t="s">
        <v>1181</v>
      </c>
      <c r="B58" s="542">
        <f>ROUND(($D$47*$B$48-1)*100,0)</f>
        <v>53</v>
      </c>
      <c r="C58" t="s">
        <v>3149</v>
      </c>
    </row>
    <row r="59" spans="1:3">
      <c r="A59" t="s">
        <v>2518</v>
      </c>
      <c r="B59">
        <f>ROUNDUP((ROUNDUP(((ROUNDUP(((F23-F22)*(1+$B$35/100))/100,0)*100)*(1+$B$36/100))/100,0)*100*1)/100,0)*100</f>
        <v>15500</v>
      </c>
      <c r="C59" t="s">
        <v>3133</v>
      </c>
    </row>
  </sheetData>
  <sheetProtection sheet="1" objects="1" scenarios="1"/>
  <mergeCells count="5">
    <mergeCell ref="A32:G32"/>
    <mergeCell ref="A3:G3"/>
    <mergeCell ref="A1:F1"/>
    <mergeCell ref="A25:G25"/>
    <mergeCell ref="A10:G10"/>
  </mergeCells>
  <dataValidations count="1">
    <dataValidation type="list" sqref="C8" xr:uid="{00000000-0002-0000-2400-000000000000}">
      <formula1>"ใส่,ไม่ใส่"</formula1>
    </dataValidation>
  </dataValidations>
  <hyperlinks>
    <hyperlink ref="G1" location="'สารบัญ'!A1" display="🏠 สารบัญ" xr:uid="{00000000-0004-0000-2400-000000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AD47"/>
  </sheetPr>
  <dimension ref="A1:H54"/>
  <sheetViews>
    <sheetView workbookViewId="0">
      <selection sqref="A1:F1"/>
    </sheetView>
  </sheetViews>
  <sheetFormatPr defaultRowHeight="14.4"/>
  <cols>
    <col min="1" max="1" width="46" customWidth="1"/>
    <col min="2" max="2" width="24" customWidth="1"/>
    <col min="3" max="3" width="42.6640625" customWidth="1"/>
    <col min="4" max="4" width="5.44140625" customWidth="1"/>
    <col min="5" max="5" width="23.21875" customWidth="1"/>
    <col min="6" max="6" width="18" customWidth="1"/>
    <col min="7" max="7" width="24" customWidth="1"/>
  </cols>
  <sheetData>
    <row r="1" spans="1:8" ht="16.8">
      <c r="A1" s="675" t="s">
        <v>1909</v>
      </c>
      <c r="B1" s="650"/>
      <c r="C1" s="650"/>
      <c r="D1" s="650"/>
      <c r="E1" s="650"/>
      <c r="F1" s="650"/>
      <c r="G1" s="293" t="s">
        <v>68</v>
      </c>
      <c r="H1" s="297"/>
    </row>
    <row r="3" spans="1:8">
      <c r="A3" s="674" t="s">
        <v>1860</v>
      </c>
      <c r="B3" s="650"/>
      <c r="C3" s="650"/>
      <c r="D3" s="650"/>
      <c r="E3" s="650"/>
      <c r="F3" s="650"/>
      <c r="G3" s="650"/>
    </row>
    <row r="4" spans="1:8">
      <c r="B4" s="134" t="s">
        <v>490</v>
      </c>
      <c r="C4" s="617">
        <v>10</v>
      </c>
      <c r="D4" s="135" t="s">
        <v>493</v>
      </c>
      <c r="E4" s="136" t="s">
        <v>1910</v>
      </c>
    </row>
    <row r="5" spans="1:8">
      <c r="B5" s="134" t="s">
        <v>1911</v>
      </c>
      <c r="C5" s="617">
        <v>6</v>
      </c>
      <c r="D5" s="135" t="s">
        <v>493</v>
      </c>
      <c r="E5" s="136" t="s">
        <v>1910</v>
      </c>
    </row>
    <row r="6" spans="1:8">
      <c r="B6" s="134" t="s">
        <v>1912</v>
      </c>
      <c r="C6" s="617">
        <v>4</v>
      </c>
      <c r="D6" s="135" t="s">
        <v>493</v>
      </c>
      <c r="E6" s="136" t="s">
        <v>1910</v>
      </c>
    </row>
    <row r="7" spans="1:8">
      <c r="B7" s="134" t="s">
        <v>1913</v>
      </c>
      <c r="C7" s="617">
        <v>80</v>
      </c>
      <c r="D7" s="135" t="s">
        <v>498</v>
      </c>
      <c r="E7" s="136" t="s">
        <v>1914</v>
      </c>
    </row>
    <row r="8" spans="1:8">
      <c r="B8" s="134" t="s">
        <v>1915</v>
      </c>
      <c r="C8" s="563">
        <f>ROUND(($B$42*$B$43-1)*100,0)</f>
        <v>105</v>
      </c>
      <c r="D8" s="135" t="s">
        <v>1916</v>
      </c>
      <c r="E8" t="s">
        <v>3163</v>
      </c>
    </row>
    <row r="10" spans="1:8">
      <c r="A10" s="674" t="s">
        <v>1917</v>
      </c>
      <c r="B10" s="650"/>
      <c r="C10" s="650"/>
      <c r="D10" s="650"/>
      <c r="E10" s="650"/>
      <c r="F10" s="650"/>
      <c r="G10" s="650"/>
    </row>
    <row r="11" spans="1:8">
      <c r="B11" s="138" t="s">
        <v>606</v>
      </c>
      <c r="C11" s="138" t="s">
        <v>1124</v>
      </c>
      <c r="D11" s="138" t="s">
        <v>471</v>
      </c>
      <c r="E11" s="138" t="s">
        <v>1125</v>
      </c>
      <c r="F11" s="138" t="s">
        <v>1873</v>
      </c>
      <c r="G11" s="138" t="s">
        <v>569</v>
      </c>
    </row>
    <row r="12" spans="1:8">
      <c r="B12" s="139" t="s">
        <v>490</v>
      </c>
      <c r="C12" s="140">
        <f>$C$4</f>
        <v>10</v>
      </c>
      <c r="D12" s="141" t="s">
        <v>491</v>
      </c>
      <c r="E12" s="142">
        <f>ราคางานเสริม!$D$17</f>
        <v>300</v>
      </c>
      <c r="F12" s="143">
        <f t="shared" ref="F12:F20" si="0">C12*E12</f>
        <v>3000</v>
      </c>
      <c r="G12" s="136" t="s">
        <v>1918</v>
      </c>
    </row>
    <row r="13" spans="1:8">
      <c r="B13" s="139" t="s">
        <v>1919</v>
      </c>
      <c r="C13" s="140">
        <f>$C$5</f>
        <v>6</v>
      </c>
      <c r="D13" s="141" t="s">
        <v>493</v>
      </c>
      <c r="E13" s="142">
        <f>ราคางานเสริม!$D$18</f>
        <v>300</v>
      </c>
      <c r="F13" s="143">
        <f t="shared" si="0"/>
        <v>1800</v>
      </c>
      <c r="G13" s="136" t="s">
        <v>1920</v>
      </c>
    </row>
    <row r="14" spans="1:8">
      <c r="B14" s="139" t="s">
        <v>1921</v>
      </c>
      <c r="C14" s="140">
        <f>$C$6</f>
        <v>4</v>
      </c>
      <c r="D14" s="141" t="s">
        <v>493</v>
      </c>
      <c r="E14" s="142">
        <f>ราคางานเสริม!$D$19</f>
        <v>300</v>
      </c>
      <c r="F14" s="143">
        <f t="shared" si="0"/>
        <v>1200</v>
      </c>
      <c r="G14" s="136" t="s">
        <v>1922</v>
      </c>
    </row>
    <row r="15" spans="1:8">
      <c r="B15" s="139" t="s">
        <v>1923</v>
      </c>
      <c r="C15" s="140">
        <f>$C$5+$C$6</f>
        <v>10</v>
      </c>
      <c r="D15" s="141" t="s">
        <v>496</v>
      </c>
      <c r="E15" s="142">
        <f>ราคางานเสริม!$D$20</f>
        <v>35</v>
      </c>
      <c r="F15" s="143">
        <f t="shared" si="0"/>
        <v>350</v>
      </c>
      <c r="G15" s="136" t="s">
        <v>1924</v>
      </c>
    </row>
    <row r="16" spans="1:8">
      <c r="B16" s="139" t="s">
        <v>497</v>
      </c>
      <c r="C16" s="140">
        <f>$C$7</f>
        <v>80</v>
      </c>
      <c r="D16" s="141" t="s">
        <v>498</v>
      </c>
      <c r="E16" s="142">
        <f>ราคางานเสริม!$D$21</f>
        <v>40</v>
      </c>
      <c r="F16" s="143">
        <f t="shared" si="0"/>
        <v>3200</v>
      </c>
      <c r="G16" s="136" t="s">
        <v>1925</v>
      </c>
    </row>
    <row r="17" spans="1:7">
      <c r="B17" s="139" t="s">
        <v>1926</v>
      </c>
      <c r="C17" s="140">
        <f>$C$7</f>
        <v>80</v>
      </c>
      <c r="D17" s="141" t="s">
        <v>498</v>
      </c>
      <c r="E17" s="144">
        <f>ราคางานเสริม!$D$22</f>
        <v>6.666666666666667</v>
      </c>
      <c r="F17" s="143">
        <f t="shared" si="0"/>
        <v>533.33333333333337</v>
      </c>
      <c r="G17" s="136" t="s">
        <v>1927</v>
      </c>
    </row>
    <row r="18" spans="1:7">
      <c r="B18" s="139" t="s">
        <v>1928</v>
      </c>
      <c r="C18" s="140">
        <f>1</f>
        <v>1</v>
      </c>
      <c r="D18" s="141" t="s">
        <v>469</v>
      </c>
      <c r="E18" s="142">
        <f>ราคางานเสริม!$D$23</f>
        <v>400</v>
      </c>
      <c r="F18" s="143">
        <f t="shared" si="0"/>
        <v>400</v>
      </c>
      <c r="G18" s="136" t="s">
        <v>1929</v>
      </c>
    </row>
    <row r="19" spans="1:7">
      <c r="B19" s="153" t="s">
        <v>1930</v>
      </c>
      <c r="C19" s="140">
        <f>$C$7</f>
        <v>80</v>
      </c>
      <c r="D19" s="141" t="s">
        <v>498</v>
      </c>
      <c r="E19" s="142">
        <f>ค่าแรง!$C$66</f>
        <v>224.99999999999997</v>
      </c>
      <c r="F19" s="143">
        <f t="shared" si="0"/>
        <v>17999.999999999996</v>
      </c>
      <c r="G19" s="136" t="s">
        <v>1931</v>
      </c>
    </row>
    <row r="20" spans="1:7">
      <c r="B20" s="153" t="s">
        <v>1932</v>
      </c>
      <c r="C20" s="140">
        <f>$C$4</f>
        <v>10</v>
      </c>
      <c r="D20" s="141" t="s">
        <v>491</v>
      </c>
      <c r="E20" s="142">
        <f>ค่าแรง!$C$67</f>
        <v>224.99999999999997</v>
      </c>
      <c r="F20" s="143">
        <f t="shared" si="0"/>
        <v>2249.9999999999995</v>
      </c>
      <c r="G20" s="136" t="s">
        <v>1933</v>
      </c>
    </row>
    <row r="21" spans="1:7" ht="15">
      <c r="B21" s="145" t="s">
        <v>1896</v>
      </c>
      <c r="F21" s="146">
        <f>SUM(F12:F20)</f>
        <v>30733.333333333328</v>
      </c>
    </row>
    <row r="23" spans="1:7">
      <c r="A23" s="674" t="s">
        <v>1934</v>
      </c>
      <c r="B23" s="650"/>
      <c r="C23" s="650"/>
      <c r="D23" s="650"/>
      <c r="E23" s="650"/>
      <c r="F23" s="650"/>
      <c r="G23" s="650"/>
    </row>
    <row r="24" spans="1:7">
      <c r="B24" s="147" t="s">
        <v>1935</v>
      </c>
      <c r="F24" s="148">
        <f>F19+F20</f>
        <v>20249.999999999996</v>
      </c>
      <c r="G24" s="136" t="s">
        <v>1936</v>
      </c>
    </row>
    <row r="25" spans="1:7" ht="15">
      <c r="B25" s="147" t="s">
        <v>1937</v>
      </c>
      <c r="F25" s="149">
        <f>ROUNDUP((ROUNDUP(((ROUNDUP(((F21-F19-F20)*(1+$C$8/100))/100,0)*100)*(1+$B$38/100))/100,0)*100*1)/100,0)*100+ROUNDUP((ROUNDUP(((ROUNDUP(((F19+F20)*(1+$B$53/100))/100,0)*100)*(1+$B$38/100))/100,0)*100*1)/100,0)*100</f>
        <v>68600</v>
      </c>
      <c r="G25" s="136" t="s">
        <v>1938</v>
      </c>
    </row>
    <row r="26" spans="1:7">
      <c r="B26" s="147" t="s">
        <v>1902</v>
      </c>
      <c r="F26" s="150">
        <f>F25-F21</f>
        <v>37866.666666666672</v>
      </c>
    </row>
    <row r="28" spans="1:7">
      <c r="A28" s="673" t="s">
        <v>1939</v>
      </c>
      <c r="B28" s="650"/>
      <c r="C28" s="650"/>
      <c r="D28" s="650"/>
      <c r="E28" s="650"/>
      <c r="F28" s="650"/>
      <c r="G28" s="650"/>
    </row>
    <row r="30" spans="1:7">
      <c r="A30" s="613" t="s">
        <v>1138</v>
      </c>
      <c r="B30" s="614"/>
    </row>
    <row r="31" spans="1:7">
      <c r="A31" s="489" t="s">
        <v>3097</v>
      </c>
      <c r="B31" s="492">
        <f>SUM(F12,F13,F14,F15)</f>
        <v>6350</v>
      </c>
    </row>
    <row r="32" spans="1:7">
      <c r="A32" s="489" t="s">
        <v>3098</v>
      </c>
      <c r="B32" s="492">
        <f>SUM(F16,F17)</f>
        <v>3733.3333333333335</v>
      </c>
    </row>
    <row r="33" spans="1:6">
      <c r="A33" s="489" t="s">
        <v>3099</v>
      </c>
      <c r="B33" s="492">
        <f>SUM(F18)</f>
        <v>400</v>
      </c>
    </row>
    <row r="34" spans="1:6">
      <c r="A34" s="491" t="s">
        <v>1144</v>
      </c>
      <c r="B34" s="493">
        <f>SUM(B31:B33)</f>
        <v>10483.333333333334</v>
      </c>
    </row>
    <row r="35" spans="1:6">
      <c r="A35" s="488" t="s">
        <v>3067</v>
      </c>
    </row>
    <row r="37" spans="1:6">
      <c r="A37" t="s">
        <v>3151</v>
      </c>
    </row>
    <row r="38" spans="1:6">
      <c r="A38" t="s">
        <v>3122</v>
      </c>
      <c r="B38" s="541">
        <v>30</v>
      </c>
      <c r="C38" t="s">
        <v>3150</v>
      </c>
    </row>
    <row r="40" spans="1:6">
      <c r="A40" s="533" t="s">
        <v>3151</v>
      </c>
      <c r="B40" s="535"/>
      <c r="C40" s="533"/>
    </row>
    <row r="41" spans="1:6">
      <c r="A41" t="s">
        <v>3144</v>
      </c>
      <c r="B41" s="541">
        <v>32</v>
      </c>
      <c r="C41" t="s">
        <v>3152</v>
      </c>
    </row>
    <row r="42" spans="1:6">
      <c r="A42" t="s">
        <v>3153</v>
      </c>
      <c r="B42" s="542">
        <v>1.7230000000000001</v>
      </c>
      <c r="C42" s="542"/>
      <c r="D42" s="542">
        <v>1.292</v>
      </c>
      <c r="E42" s="542" t="s">
        <v>3154</v>
      </c>
      <c r="F42" s="542"/>
    </row>
    <row r="43" spans="1:6">
      <c r="A43" t="s">
        <v>3155</v>
      </c>
      <c r="B43" s="542">
        <f>IFERROR(((((F21-F19-F20))+(F19+F20))/(100/(100+B38)-B41/100))/((((F21-F19-F20))*$B$42+(F19+F20)*$D$42)*(1+B38/100)),1)</f>
        <v>1.1899296475906935</v>
      </c>
      <c r="C43" t="s">
        <v>3156</v>
      </c>
    </row>
    <row r="45" spans="1:6">
      <c r="A45" s="533" t="s">
        <v>3126</v>
      </c>
      <c r="B45" s="535"/>
      <c r="C45" s="533"/>
    </row>
    <row r="46" spans="1:6">
      <c r="A46" s="533" t="s">
        <v>3127</v>
      </c>
      <c r="B46" s="534">
        <f>IFERROR(ROUND(F25-F25/(1+B38/100),0),0)</f>
        <v>15831</v>
      </c>
      <c r="C46" s="533" t="s">
        <v>3128</v>
      </c>
    </row>
    <row r="47" spans="1:6">
      <c r="A47" s="533" t="s">
        <v>3129</v>
      </c>
      <c r="B47" s="534">
        <f>F21+B46</f>
        <v>46564.333333333328</v>
      </c>
      <c r="C47" s="533" t="s">
        <v>3130</v>
      </c>
    </row>
    <row r="48" spans="1:6">
      <c r="A48" s="536" t="s">
        <v>3131</v>
      </c>
      <c r="B48" s="537">
        <f>IFERROR((F25-B47)/F25,"")</f>
        <v>0.32121963070942672</v>
      </c>
      <c r="C48" s="536" t="s">
        <v>3157</v>
      </c>
    </row>
    <row r="51" spans="1:3">
      <c r="A51" t="s">
        <v>3160</v>
      </c>
      <c r="B51" t="s">
        <v>3133</v>
      </c>
      <c r="C51" t="s">
        <v>3161</v>
      </c>
    </row>
    <row r="52" spans="1:3">
      <c r="A52" t="s">
        <v>1180</v>
      </c>
      <c r="B52" t="s">
        <v>7</v>
      </c>
      <c r="C52" t="s">
        <v>3162</v>
      </c>
    </row>
    <row r="53" spans="1:3">
      <c r="A53" t="s">
        <v>1181</v>
      </c>
      <c r="B53" s="542">
        <f>ROUND(($D$42*$B$43-1)*100,0)</f>
        <v>54</v>
      </c>
      <c r="C53" t="s">
        <v>3149</v>
      </c>
    </row>
    <row r="54" spans="1:3">
      <c r="A54" t="s">
        <v>2518</v>
      </c>
      <c r="B54">
        <f>ROUNDUP((ROUNDUP(((ROUNDUP(((F21-F19-F20)*(1+$C$8/100))/100,0)*100)*(1+$B$38/100))/100,0)*100*1)/100,0)*100</f>
        <v>28000</v>
      </c>
      <c r="C54" t="s">
        <v>3133</v>
      </c>
    </row>
  </sheetData>
  <sheetProtection sheet="1" objects="1" scenarios="1"/>
  <mergeCells count="5">
    <mergeCell ref="A3:G3"/>
    <mergeCell ref="A1:F1"/>
    <mergeCell ref="A10:G10"/>
    <mergeCell ref="A28:G28"/>
    <mergeCell ref="A23:G23"/>
  </mergeCells>
  <hyperlinks>
    <hyperlink ref="G1" location="'สารบัญ'!A1" display="🏠 สารบัญ" xr:uid="{00000000-0004-0000-25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AD47"/>
  </sheetPr>
  <dimension ref="A1:H55"/>
  <sheetViews>
    <sheetView workbookViewId="0">
      <selection sqref="A1:F1"/>
    </sheetView>
  </sheetViews>
  <sheetFormatPr defaultRowHeight="14.4"/>
  <cols>
    <col min="1" max="1" width="46" customWidth="1"/>
    <col min="2" max="2" width="24" customWidth="1"/>
    <col min="3" max="3" width="42.6640625" customWidth="1"/>
    <col min="4" max="4" width="6.44140625" customWidth="1"/>
    <col min="5" max="5" width="24" customWidth="1"/>
    <col min="6" max="6" width="18" customWidth="1"/>
    <col min="7" max="7" width="24" customWidth="1"/>
  </cols>
  <sheetData>
    <row r="1" spans="1:8" ht="16.8">
      <c r="A1" s="675" t="s">
        <v>1940</v>
      </c>
      <c r="B1" s="650"/>
      <c r="C1" s="650"/>
      <c r="D1" s="650"/>
      <c r="E1" s="650"/>
      <c r="F1" s="650"/>
      <c r="G1" s="293" t="s">
        <v>68</v>
      </c>
      <c r="H1" s="297"/>
    </row>
    <row r="3" spans="1:8">
      <c r="A3" s="674" t="s">
        <v>1860</v>
      </c>
      <c r="B3" s="650"/>
      <c r="C3" s="650"/>
      <c r="D3" s="650"/>
      <c r="E3" s="650"/>
      <c r="F3" s="650"/>
      <c r="G3" s="650"/>
    </row>
    <row r="4" spans="1:8">
      <c r="B4" s="134" t="s">
        <v>1941</v>
      </c>
      <c r="C4" s="617">
        <v>3</v>
      </c>
      <c r="D4" s="135" t="s">
        <v>1862</v>
      </c>
      <c r="E4" s="136" t="s">
        <v>1863</v>
      </c>
    </row>
    <row r="5" spans="1:8">
      <c r="B5" s="134" t="s">
        <v>1942</v>
      </c>
      <c r="C5" s="617">
        <v>2.7</v>
      </c>
      <c r="D5" s="135" t="s">
        <v>1862</v>
      </c>
      <c r="E5" s="136" t="s">
        <v>1863</v>
      </c>
    </row>
    <row r="6" spans="1:8">
      <c r="B6" s="134" t="s">
        <v>1943</v>
      </c>
      <c r="C6" s="137">
        <f>C4*C5</f>
        <v>8.1000000000000014</v>
      </c>
      <c r="D6" s="135" t="s">
        <v>593</v>
      </c>
      <c r="E6" s="136" t="s">
        <v>1944</v>
      </c>
    </row>
    <row r="7" spans="1:8">
      <c r="B7" s="134" t="s">
        <v>1945</v>
      </c>
      <c r="C7" s="617" t="s">
        <v>1489</v>
      </c>
      <c r="E7" s="136" t="s">
        <v>1946</v>
      </c>
    </row>
    <row r="9" spans="1:8">
      <c r="A9" s="674" t="s">
        <v>1947</v>
      </c>
      <c r="B9" s="650"/>
      <c r="C9" s="650"/>
      <c r="D9" s="650"/>
      <c r="E9" s="650"/>
      <c r="F9" s="650"/>
      <c r="G9" s="650"/>
    </row>
    <row r="10" spans="1:8">
      <c r="B10" s="138" t="s">
        <v>606</v>
      </c>
      <c r="C10" s="138" t="s">
        <v>1124</v>
      </c>
      <c r="D10" s="138" t="s">
        <v>471</v>
      </c>
      <c r="E10" s="138" t="s">
        <v>1125</v>
      </c>
      <c r="F10" s="138" t="s">
        <v>1873</v>
      </c>
      <c r="G10" s="138" t="s">
        <v>569</v>
      </c>
    </row>
    <row r="11" spans="1:8">
      <c r="B11" s="139" t="s">
        <v>1948</v>
      </c>
      <c r="C11" s="140">
        <f>CEILING($C$6*2*1.1/2.88,1)</f>
        <v>7</v>
      </c>
      <c r="D11" s="141" t="s">
        <v>475</v>
      </c>
      <c r="E11" s="142">
        <f>ราคางานเสริม!$D$26</f>
        <v>500</v>
      </c>
      <c r="F11" s="143">
        <f t="shared" ref="F11:F21" si="0">C11*E11</f>
        <v>3500</v>
      </c>
      <c r="G11" s="136" t="s">
        <v>1949</v>
      </c>
    </row>
    <row r="12" spans="1:8">
      <c r="B12" s="139" t="s">
        <v>1950</v>
      </c>
      <c r="C12" s="140">
        <f>CEILING(2*($C$4+$C$5)/6,1)</f>
        <v>2</v>
      </c>
      <c r="D12" s="141" t="s">
        <v>477</v>
      </c>
      <c r="E12" s="142">
        <f>ราคางานเสริม!$D$27</f>
        <v>440</v>
      </c>
      <c r="F12" s="143">
        <f t="shared" si="0"/>
        <v>880</v>
      </c>
      <c r="G12" s="136" t="s">
        <v>1951</v>
      </c>
    </row>
    <row r="13" spans="1:8">
      <c r="B13" s="139" t="s">
        <v>1952</v>
      </c>
      <c r="C13" s="140">
        <f>CEILING((CEILING($C$4/0.6,1)-1)*$C$5/3,1)</f>
        <v>4</v>
      </c>
      <c r="D13" s="141" t="s">
        <v>477</v>
      </c>
      <c r="E13" s="142">
        <f>ราคางานเสริม!$D$28</f>
        <v>62</v>
      </c>
      <c r="F13" s="143">
        <f t="shared" si="0"/>
        <v>248</v>
      </c>
      <c r="G13" s="136" t="s">
        <v>1953</v>
      </c>
    </row>
    <row r="14" spans="1:8">
      <c r="B14" s="139" t="s">
        <v>1954</v>
      </c>
      <c r="C14" s="140">
        <f>CEILING((CEILING($C$5/0.4,1)-1)*$C$4/3,1)</f>
        <v>6</v>
      </c>
      <c r="D14" s="141" t="s">
        <v>477</v>
      </c>
      <c r="E14" s="142">
        <f>ราคางานเสริม!$D$29</f>
        <v>62</v>
      </c>
      <c r="F14" s="143">
        <f t="shared" si="0"/>
        <v>372</v>
      </c>
      <c r="G14" s="136" t="s">
        <v>1955</v>
      </c>
    </row>
    <row r="15" spans="1:8">
      <c r="B15" s="139" t="s">
        <v>1956</v>
      </c>
      <c r="C15" s="140">
        <f>IF($C$7="ใส่",CEILING($C$6/0.72,1),0)</f>
        <v>12</v>
      </c>
      <c r="D15" s="141" t="s">
        <v>475</v>
      </c>
      <c r="E15" s="142">
        <f>ราคางานเสริม!$D$30</f>
        <v>130</v>
      </c>
      <c r="F15" s="143">
        <f t="shared" si="0"/>
        <v>1560</v>
      </c>
      <c r="G15" s="136" t="s">
        <v>1957</v>
      </c>
    </row>
    <row r="16" spans="1:8">
      <c r="B16" s="139" t="s">
        <v>1958</v>
      </c>
      <c r="C16" s="140">
        <f>CEILING($C$6*30,1)</f>
        <v>243</v>
      </c>
      <c r="D16" s="141" t="s">
        <v>481</v>
      </c>
      <c r="E16" s="144">
        <f>ราคางานเสริม!$D$31</f>
        <v>0.5</v>
      </c>
      <c r="F16" s="143">
        <f t="shared" si="0"/>
        <v>121.5</v>
      </c>
      <c r="G16" s="136" t="s">
        <v>1959</v>
      </c>
    </row>
    <row r="17" spans="1:7">
      <c r="B17" s="139" t="s">
        <v>1884</v>
      </c>
      <c r="C17" s="140">
        <f>CEILING($C$6*10,1)</f>
        <v>81</v>
      </c>
      <c r="D17" s="141" t="s">
        <v>481</v>
      </c>
      <c r="E17" s="144">
        <f>ราคางานเสริม!$D$32</f>
        <v>0.5</v>
      </c>
      <c r="F17" s="143">
        <f t="shared" si="0"/>
        <v>40.5</v>
      </c>
      <c r="G17" s="136" t="s">
        <v>1960</v>
      </c>
    </row>
    <row r="18" spans="1:7">
      <c r="B18" s="139" t="s">
        <v>1961</v>
      </c>
      <c r="C18" s="140">
        <f>CEILING($C$6*1/50,1)</f>
        <v>1</v>
      </c>
      <c r="D18" s="141" t="s">
        <v>484</v>
      </c>
      <c r="E18" s="142">
        <f>ราคางานเสริม!$D$33</f>
        <v>240</v>
      </c>
      <c r="F18" s="143">
        <f t="shared" si="0"/>
        <v>240</v>
      </c>
      <c r="G18" s="136" t="s">
        <v>1962</v>
      </c>
    </row>
    <row r="19" spans="1:7">
      <c r="B19" s="139" t="s">
        <v>1963</v>
      </c>
      <c r="C19" s="140">
        <f>CEILING($C$6/30,1)</f>
        <v>1</v>
      </c>
      <c r="D19" s="141" t="s">
        <v>486</v>
      </c>
      <c r="E19" s="142">
        <f>ราคางานเสริม!$D$34</f>
        <v>70</v>
      </c>
      <c r="F19" s="143">
        <f t="shared" si="0"/>
        <v>70</v>
      </c>
      <c r="G19" s="136" t="s">
        <v>1964</v>
      </c>
    </row>
    <row r="20" spans="1:7">
      <c r="B20" s="153" t="s">
        <v>711</v>
      </c>
      <c r="C20" s="140">
        <f>$C$6</f>
        <v>8.1000000000000014</v>
      </c>
      <c r="D20" s="141" t="s">
        <v>593</v>
      </c>
      <c r="E20" s="142">
        <f>ค่าแรง!$B$63</f>
        <v>875</v>
      </c>
      <c r="F20" s="143">
        <f t="shared" si="0"/>
        <v>7087.5000000000009</v>
      </c>
      <c r="G20" s="136" t="s">
        <v>1965</v>
      </c>
    </row>
    <row r="21" spans="1:7">
      <c r="B21" s="153" t="s">
        <v>647</v>
      </c>
      <c r="C21" s="140">
        <f>$C$6</f>
        <v>8.1000000000000014</v>
      </c>
      <c r="D21" s="141" t="s">
        <v>593</v>
      </c>
      <c r="E21" s="142">
        <f>ค่าแรง!$C$63</f>
        <v>1575</v>
      </c>
      <c r="F21" s="143">
        <f t="shared" si="0"/>
        <v>12757.500000000002</v>
      </c>
      <c r="G21" s="136" t="s">
        <v>1966</v>
      </c>
    </row>
    <row r="22" spans="1:7" ht="15">
      <c r="B22" s="145" t="s">
        <v>1896</v>
      </c>
      <c r="F22" s="146">
        <f>SUM(F11:F21)</f>
        <v>26877</v>
      </c>
    </row>
    <row r="24" spans="1:7">
      <c r="A24" s="674" t="s">
        <v>1967</v>
      </c>
      <c r="B24" s="650"/>
      <c r="C24" s="650"/>
      <c r="D24" s="650"/>
      <c r="E24" s="650"/>
      <c r="F24" s="650"/>
      <c r="G24" s="650"/>
    </row>
    <row r="25" spans="1:7">
      <c r="B25" s="147" t="s">
        <v>1968</v>
      </c>
      <c r="F25" s="148">
        <f>F20+F21</f>
        <v>19845.000000000004</v>
      </c>
      <c r="G25" s="136" t="s">
        <v>1969</v>
      </c>
    </row>
    <row r="26" spans="1:7">
      <c r="B26" s="147" t="s">
        <v>1898</v>
      </c>
      <c r="F26" s="148">
        <f>IF($C$6=0,0,F22/$C$6)</f>
        <v>3318.1481481481474</v>
      </c>
      <c r="G26" s="136" t="s">
        <v>1899</v>
      </c>
    </row>
    <row r="27" spans="1:7" ht="15">
      <c r="B27" s="147" t="s">
        <v>1900</v>
      </c>
      <c r="F27" s="149">
        <f>ROUNDUP((((F22-F20-F21)*($B$49*$B$50)+F20*(1+B36/100)+F21*(1+B37/100))*(1+$B$38/100))*1/100,0)*100</f>
        <v>56100</v>
      </c>
      <c r="G27" s="136" t="s">
        <v>1901</v>
      </c>
    </row>
    <row r="28" spans="1:7">
      <c r="B28" s="147" t="s">
        <v>1902</v>
      </c>
      <c r="F28" s="150">
        <f>F27-F22</f>
        <v>29223</v>
      </c>
      <c r="G28" s="136" t="s">
        <v>1903</v>
      </c>
    </row>
    <row r="29" spans="1:7">
      <c r="B29" s="147" t="s">
        <v>1904</v>
      </c>
      <c r="F29" s="148">
        <f>MAX(13500,$C$6*IF($C$6&lt;=4.5,4500,IF($C$6&lt;=6,4200,IF($C$6&lt;=7.5,3900,3600))))</f>
        <v>29160.000000000004</v>
      </c>
      <c r="G29" s="136" t="s">
        <v>1970</v>
      </c>
    </row>
    <row r="30" spans="1:7">
      <c r="B30" s="147" t="s">
        <v>1906</v>
      </c>
      <c r="F30" s="151">
        <f>IF(F22=0,0,(F29-F22)/F22)</f>
        <v>8.4942515905793187E-2</v>
      </c>
      <c r="G30" s="136" t="s">
        <v>1907</v>
      </c>
    </row>
    <row r="32" spans="1:7">
      <c r="A32" s="673" t="s">
        <v>1971</v>
      </c>
      <c r="B32" s="650"/>
      <c r="C32" s="650"/>
      <c r="D32" s="650"/>
      <c r="E32" s="650"/>
      <c r="F32" s="650"/>
      <c r="G32" s="650"/>
    </row>
    <row r="34" spans="1:3">
      <c r="A34" s="152" t="s">
        <v>3148</v>
      </c>
    </row>
    <row r="35" spans="1:3" ht="18" customHeight="1">
      <c r="A35" s="152" t="s">
        <v>1179</v>
      </c>
      <c r="B35" s="152" t="s">
        <v>7</v>
      </c>
      <c r="C35" s="152" t="s">
        <v>1734</v>
      </c>
    </row>
    <row r="36" spans="1:3">
      <c r="A36" s="152" t="s">
        <v>1180</v>
      </c>
      <c r="B36" s="565">
        <f>ROUND(($C$49*$B$50-1)*100,0)</f>
        <v>43</v>
      </c>
      <c r="C36" s="152" t="s">
        <v>3149</v>
      </c>
    </row>
    <row r="37" spans="1:3">
      <c r="A37" s="152" t="s">
        <v>1181</v>
      </c>
      <c r="B37" s="565">
        <f>ROUND(($D$49*$B$50-1)*100,0)</f>
        <v>43</v>
      </c>
      <c r="C37" s="152" t="s">
        <v>3149</v>
      </c>
    </row>
    <row r="38" spans="1:3">
      <c r="A38" s="152" t="s">
        <v>3122</v>
      </c>
      <c r="B38" s="564">
        <v>30</v>
      </c>
      <c r="C38" s="152" t="s">
        <v>3150</v>
      </c>
    </row>
    <row r="39" spans="1:3">
      <c r="A39" s="613" t="s">
        <v>1138</v>
      </c>
      <c r="B39" s="614"/>
    </row>
    <row r="40" spans="1:3">
      <c r="A40" s="489" t="s">
        <v>3100</v>
      </c>
      <c r="B40" s="492">
        <f>SUM(F11)</f>
        <v>3500</v>
      </c>
    </row>
    <row r="41" spans="1:3">
      <c r="A41" s="489" t="s">
        <v>3101</v>
      </c>
      <c r="B41" s="492">
        <f>SUM(F12,F13,F14)</f>
        <v>1500</v>
      </c>
    </row>
    <row r="42" spans="1:3">
      <c r="A42" s="489" t="s">
        <v>3102</v>
      </c>
      <c r="B42" s="492">
        <f>SUM(F15)</f>
        <v>1560</v>
      </c>
    </row>
    <row r="43" spans="1:3">
      <c r="A43" s="489" t="s">
        <v>3095</v>
      </c>
      <c r="B43" s="492">
        <f>SUM(F16,F17,F18,F19)</f>
        <v>472</v>
      </c>
    </row>
    <row r="44" spans="1:3">
      <c r="A44" s="491" t="s">
        <v>1144</v>
      </c>
      <c r="B44" s="493">
        <f>SUM(B40:B43)</f>
        <v>7032</v>
      </c>
    </row>
    <row r="45" spans="1:3">
      <c r="A45" s="488" t="s">
        <v>3067</v>
      </c>
    </row>
    <row r="47" spans="1:3">
      <c r="A47" s="533" t="s">
        <v>3151</v>
      </c>
      <c r="B47" s="535"/>
      <c r="C47" s="533"/>
    </row>
    <row r="48" spans="1:3">
      <c r="A48" t="s">
        <v>3144</v>
      </c>
      <c r="B48" s="541">
        <v>29</v>
      </c>
      <c r="C48" t="s">
        <v>3152</v>
      </c>
    </row>
    <row r="49" spans="1:6">
      <c r="A49" t="s">
        <v>3153</v>
      </c>
      <c r="B49" s="542">
        <v>1.895</v>
      </c>
      <c r="C49" s="542">
        <v>1.292</v>
      </c>
      <c r="D49" s="542">
        <v>1.292</v>
      </c>
      <c r="E49" s="542" t="s">
        <v>3154</v>
      </c>
      <c r="F49" s="542"/>
    </row>
    <row r="50" spans="1:6">
      <c r="A50" t="s">
        <v>3155</v>
      </c>
      <c r="B50" s="542">
        <f>IFERROR(((((F22-F20-F21))+(F20)+(F21))/(100/(100+B38)-B48/100))/((((F22-F20-F21))*$B$49+(F20)*$C$49+(F21)*$D$49)*(1+B38/100)),1)</f>
        <v>1.1071687740866518</v>
      </c>
      <c r="C50" t="s">
        <v>3156</v>
      </c>
    </row>
    <row r="52" spans="1:6">
      <c r="A52" s="533" t="s">
        <v>3126</v>
      </c>
      <c r="B52" s="535"/>
      <c r="C52" s="533"/>
    </row>
    <row r="53" spans="1:6">
      <c r="A53" s="533" t="s">
        <v>3127</v>
      </c>
      <c r="B53" s="534">
        <f>IFERROR(ROUND(F27-F27/(1+B38/100),0),0)</f>
        <v>12946</v>
      </c>
      <c r="C53" s="533" t="s">
        <v>3128</v>
      </c>
    </row>
    <row r="54" spans="1:6">
      <c r="A54" s="533" t="s">
        <v>3129</v>
      </c>
      <c r="B54" s="534">
        <f>F22+B53</f>
        <v>39823</v>
      </c>
      <c r="C54" s="533" t="s">
        <v>3130</v>
      </c>
    </row>
    <row r="55" spans="1:6">
      <c r="A55" s="536" t="s">
        <v>3131</v>
      </c>
      <c r="B55" s="537">
        <f>IFERROR((F27-B54)/F27,"")</f>
        <v>0.29014260249554369</v>
      </c>
      <c r="C55" s="536" t="s">
        <v>3157</v>
      </c>
    </row>
  </sheetData>
  <sheetProtection sheet="1" objects="1" scenarios="1"/>
  <mergeCells count="5">
    <mergeCell ref="A32:G32"/>
    <mergeCell ref="A9:G9"/>
    <mergeCell ref="A3:G3"/>
    <mergeCell ref="A1:F1"/>
    <mergeCell ref="A24:G24"/>
  </mergeCells>
  <dataValidations count="1">
    <dataValidation type="list" sqref="C7" xr:uid="{00000000-0002-0000-2600-000000000000}">
      <formula1>"ใส่,ไม่ใส่"</formula1>
    </dataValidation>
  </dataValidations>
  <hyperlinks>
    <hyperlink ref="G1" location="'สารบัญ'!A1" display="🏠 สารบัญ" xr:uid="{00000000-0004-0000-2600-000000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AD47"/>
  </sheetPr>
  <dimension ref="A1:H56"/>
  <sheetViews>
    <sheetView workbookViewId="0">
      <selection sqref="A1:F1"/>
    </sheetView>
  </sheetViews>
  <sheetFormatPr defaultRowHeight="14.4"/>
  <cols>
    <col min="1" max="1" width="46" customWidth="1"/>
    <col min="2" max="2" width="24" customWidth="1"/>
    <col min="3" max="3" width="42.6640625" customWidth="1"/>
    <col min="4" max="4" width="8.5546875" customWidth="1"/>
    <col min="5" max="5" width="24" customWidth="1"/>
    <col min="6" max="6" width="19.109375" customWidth="1"/>
    <col min="7" max="7" width="24" customWidth="1"/>
  </cols>
  <sheetData>
    <row r="1" spans="1:8" ht="16.8">
      <c r="A1" s="675" t="s">
        <v>1972</v>
      </c>
      <c r="B1" s="650"/>
      <c r="C1" s="650"/>
      <c r="D1" s="650"/>
      <c r="E1" s="650"/>
      <c r="F1" s="650"/>
      <c r="G1" s="293" t="s">
        <v>68</v>
      </c>
      <c r="H1" s="297"/>
    </row>
    <row r="3" spans="1:8">
      <c r="A3" s="674" t="s">
        <v>1973</v>
      </c>
      <c r="B3" s="650"/>
      <c r="C3" s="650"/>
      <c r="D3" s="650"/>
      <c r="E3" s="650"/>
      <c r="F3" s="650"/>
      <c r="G3" s="650"/>
    </row>
    <row r="4" spans="1:8">
      <c r="B4" s="134" t="s">
        <v>1941</v>
      </c>
      <c r="C4" s="617">
        <v>3</v>
      </c>
      <c r="D4" s="135" t="s">
        <v>1862</v>
      </c>
      <c r="E4" s="136" t="s">
        <v>1863</v>
      </c>
    </row>
    <row r="5" spans="1:8">
      <c r="B5" s="134" t="s">
        <v>1942</v>
      </c>
      <c r="C5" s="617">
        <v>2.7</v>
      </c>
      <c r="D5" s="135" t="s">
        <v>1862</v>
      </c>
      <c r="E5" s="136" t="s">
        <v>1974</v>
      </c>
    </row>
    <row r="6" spans="1:8">
      <c r="B6" s="134" t="s">
        <v>1943</v>
      </c>
      <c r="C6" s="137">
        <f>C4*C5</f>
        <v>8.1000000000000014</v>
      </c>
      <c r="D6" s="135" t="s">
        <v>593</v>
      </c>
      <c r="E6" s="136" t="s">
        <v>1975</v>
      </c>
    </row>
    <row r="7" spans="1:8">
      <c r="B7" s="134" t="s">
        <v>1976</v>
      </c>
      <c r="C7" s="137">
        <f>2*(C4+C5)</f>
        <v>11.4</v>
      </c>
      <c r="D7" s="135" t="s">
        <v>1862</v>
      </c>
      <c r="E7" s="136" t="s">
        <v>1977</v>
      </c>
    </row>
    <row r="8" spans="1:8">
      <c r="B8" s="134" t="s">
        <v>1978</v>
      </c>
      <c r="C8" s="154">
        <f>ราคางานเสริม!$D$37</f>
        <v>2016</v>
      </c>
      <c r="D8" s="135" t="s">
        <v>1979</v>
      </c>
      <c r="E8" s="136" t="s">
        <v>1980</v>
      </c>
    </row>
    <row r="9" spans="1:8">
      <c r="B9" s="134" t="s">
        <v>1981</v>
      </c>
      <c r="C9" s="154">
        <f>ราคางานเสริม!$D$38</f>
        <v>2520</v>
      </c>
      <c r="D9" s="135" t="s">
        <v>1979</v>
      </c>
      <c r="E9" s="136" t="s">
        <v>1982</v>
      </c>
    </row>
    <row r="11" spans="1:8">
      <c r="A11" s="674" t="s">
        <v>1947</v>
      </c>
      <c r="B11" s="650"/>
      <c r="C11" s="650"/>
      <c r="D11" s="650"/>
      <c r="E11" s="650"/>
      <c r="F11" s="650"/>
      <c r="G11" s="650"/>
    </row>
    <row r="12" spans="1:8">
      <c r="B12" s="138" t="s">
        <v>606</v>
      </c>
      <c r="C12" s="138" t="s">
        <v>1124</v>
      </c>
      <c r="D12" s="138" t="s">
        <v>471</v>
      </c>
      <c r="E12" s="138" t="s">
        <v>1125</v>
      </c>
      <c r="F12" s="138" t="s">
        <v>1873</v>
      </c>
      <c r="G12" s="138" t="s">
        <v>569</v>
      </c>
    </row>
    <row r="13" spans="1:8">
      <c r="B13" s="139" t="s">
        <v>1983</v>
      </c>
      <c r="C13" s="140">
        <f>CEILING($C$4/1.2,1)*CEILING($C$5/IF($C$5&lt;=2.4,2.4,3),1)</f>
        <v>3</v>
      </c>
      <c r="D13" s="141" t="s">
        <v>475</v>
      </c>
      <c r="E13" s="155">
        <f>IF($C$5&lt;=2.4,$C$8,$C$9)</f>
        <v>2520</v>
      </c>
      <c r="F13" s="143">
        <f t="shared" ref="F13:F19" si="0">C13*E13</f>
        <v>7560</v>
      </c>
      <c r="G13" s="136" t="s">
        <v>1984</v>
      </c>
    </row>
    <row r="14" spans="1:8">
      <c r="B14" s="139" t="s">
        <v>1985</v>
      </c>
      <c r="C14" s="140">
        <f>CEILING($C$7/6,1)</f>
        <v>2</v>
      </c>
      <c r="D14" s="141" t="s">
        <v>477</v>
      </c>
      <c r="E14" s="142">
        <f>ราคางานเสริม!$D$39</f>
        <v>1220</v>
      </c>
      <c r="F14" s="143">
        <f t="shared" si="0"/>
        <v>2440</v>
      </c>
      <c r="G14" s="136" t="s">
        <v>1986</v>
      </c>
    </row>
    <row r="15" spans="1:8">
      <c r="B15" s="139" t="s">
        <v>1987</v>
      </c>
      <c r="C15" s="140">
        <f>CEILING(2*$C$7/6,1)</f>
        <v>4</v>
      </c>
      <c r="D15" s="141" t="s">
        <v>477</v>
      </c>
      <c r="E15" s="142">
        <f>ราคางานเสริม!$D$40</f>
        <v>70</v>
      </c>
      <c r="F15" s="143">
        <f t="shared" si="0"/>
        <v>280</v>
      </c>
      <c r="G15" s="136" t="s">
        <v>1988</v>
      </c>
    </row>
    <row r="16" spans="1:8">
      <c r="B16" s="139" t="s">
        <v>1989</v>
      </c>
      <c r="C16" s="140">
        <f>1</f>
        <v>1</v>
      </c>
      <c r="D16" s="141" t="s">
        <v>469</v>
      </c>
      <c r="E16" s="142">
        <f>ราคางานเสริม!$D$41</f>
        <v>50</v>
      </c>
      <c r="F16" s="143">
        <f t="shared" si="0"/>
        <v>50</v>
      </c>
      <c r="G16" s="136" t="s">
        <v>1929</v>
      </c>
    </row>
    <row r="17" spans="1:7">
      <c r="B17" s="139" t="s">
        <v>513</v>
      </c>
      <c r="C17" s="140">
        <f>CEILING((2*$C$7+2*(CEILING($C$4/1.2,1)-1)*$C$5)/10,1)</f>
        <v>4</v>
      </c>
      <c r="D17" s="141" t="s">
        <v>514</v>
      </c>
      <c r="E17" s="142">
        <f>ราคางานเสริม!$D$42</f>
        <v>90</v>
      </c>
      <c r="F17" s="143">
        <f t="shared" si="0"/>
        <v>360</v>
      </c>
      <c r="G17" s="136" t="s">
        <v>1990</v>
      </c>
    </row>
    <row r="18" spans="1:7">
      <c r="B18" s="153" t="s">
        <v>711</v>
      </c>
      <c r="C18" s="140">
        <f>$C$6</f>
        <v>8.1000000000000014</v>
      </c>
      <c r="D18" s="141" t="s">
        <v>593</v>
      </c>
      <c r="E18" s="142">
        <f>ค่าแรง!$B$64</f>
        <v>700</v>
      </c>
      <c r="F18" s="143">
        <f t="shared" si="0"/>
        <v>5670.0000000000009</v>
      </c>
      <c r="G18" s="136" t="s">
        <v>1991</v>
      </c>
    </row>
    <row r="19" spans="1:7">
      <c r="B19" s="153" t="s">
        <v>647</v>
      </c>
      <c r="C19" s="140">
        <f>$C$6</f>
        <v>8.1000000000000014</v>
      </c>
      <c r="D19" s="141" t="s">
        <v>593</v>
      </c>
      <c r="E19" s="142">
        <f>ค่าแรง!$C$64</f>
        <v>1312.5</v>
      </c>
      <c r="F19" s="143">
        <f t="shared" si="0"/>
        <v>10631.250000000002</v>
      </c>
      <c r="G19" s="136" t="s">
        <v>1966</v>
      </c>
    </row>
    <row r="20" spans="1:7" ht="15">
      <c r="B20" s="145" t="s">
        <v>1896</v>
      </c>
      <c r="F20" s="146">
        <f>SUM(F13:F19)</f>
        <v>26991.25</v>
      </c>
    </row>
    <row r="22" spans="1:7">
      <c r="A22" s="674" t="s">
        <v>1992</v>
      </c>
      <c r="B22" s="650"/>
      <c r="C22" s="650"/>
      <c r="D22" s="650"/>
      <c r="E22" s="650"/>
      <c r="F22" s="650"/>
      <c r="G22" s="650"/>
    </row>
    <row r="23" spans="1:7">
      <c r="B23" s="147" t="s">
        <v>1968</v>
      </c>
      <c r="F23" s="148">
        <f>F18+F19</f>
        <v>16301.250000000004</v>
      </c>
      <c r="G23" s="136" t="s">
        <v>1993</v>
      </c>
    </row>
    <row r="24" spans="1:7">
      <c r="B24" s="147" t="s">
        <v>1898</v>
      </c>
      <c r="F24" s="148">
        <f>IF($C$6=0,0,F20/$C$6)</f>
        <v>3332.2530864197524</v>
      </c>
      <c r="G24" s="136" t="s">
        <v>1899</v>
      </c>
    </row>
    <row r="25" spans="1:7" ht="15">
      <c r="B25" s="147" t="s">
        <v>1900</v>
      </c>
      <c r="F25" s="149">
        <f>ROUNDUP((ROUNDUP(((ROUNDUP(((F20-F18-F19)*(1+$B$33/100))/100,0)*100+ROUNDUP((F18*(1+$B$54/100))/100,0)*100)*(1+$B$34/100))/100,0)*100*1)/100,0)*100+ROUNDUP((ROUNDUP(((ROUNDUP((F19*(1+$B$55/100))/100,0)*100)*(1+$B$34/100))/100,0)*100*1)/100,0)*100</f>
        <v>55400</v>
      </c>
      <c r="G25" s="136" t="s">
        <v>1901</v>
      </c>
    </row>
    <row r="26" spans="1:7">
      <c r="B26" s="147" t="s">
        <v>1902</v>
      </c>
      <c r="F26" s="150">
        <f>F25-F20</f>
        <v>28408.75</v>
      </c>
      <c r="G26" s="136" t="s">
        <v>1903</v>
      </c>
    </row>
    <row r="27" spans="1:7">
      <c r="B27" s="147" t="s">
        <v>1904</v>
      </c>
      <c r="F27" s="148">
        <f>MAX(7000,$C$6*IF($C$6&lt;=1.5,7000,IF($C$6&lt;=2,6500,IF($C$6&lt;=2.5,6000,IF($C$6&lt;=3,5500,IF($C$6&lt;=3.5,5000,4500))))))</f>
        <v>36450.000000000007</v>
      </c>
      <c r="G27" s="136" t="s">
        <v>1994</v>
      </c>
    </row>
    <row r="28" spans="1:7">
      <c r="B28" s="147" t="s">
        <v>1906</v>
      </c>
      <c r="F28" s="151">
        <f>IF(F20=0,0,(F27-F20)/F20)</f>
        <v>0.35043764182837056</v>
      </c>
      <c r="G28" s="136" t="s">
        <v>1907</v>
      </c>
    </row>
    <row r="30" spans="1:7">
      <c r="A30" s="673" t="s">
        <v>1995</v>
      </c>
      <c r="B30" s="650"/>
      <c r="C30" s="650"/>
      <c r="D30" s="650"/>
      <c r="E30" s="650"/>
      <c r="F30" s="650"/>
      <c r="G30" s="650"/>
    </row>
    <row r="32" spans="1:7">
      <c r="A32" s="390" t="s">
        <v>3148</v>
      </c>
    </row>
    <row r="33" spans="1:6">
      <c r="A33" t="s">
        <v>1179</v>
      </c>
      <c r="B33" s="542">
        <f>ROUND(($B$44*$B$45-1)*100,0)</f>
        <v>85</v>
      </c>
      <c r="C33" t="s">
        <v>3149</v>
      </c>
    </row>
    <row r="34" spans="1:6">
      <c r="A34" t="s">
        <v>3122</v>
      </c>
      <c r="B34" s="541">
        <v>30</v>
      </c>
      <c r="C34" t="s">
        <v>3150</v>
      </c>
    </row>
    <row r="35" spans="1:6">
      <c r="A35" s="613" t="s">
        <v>1138</v>
      </c>
      <c r="B35" s="614"/>
    </row>
    <row r="36" spans="1:6">
      <c r="A36" s="489" t="s">
        <v>3103</v>
      </c>
      <c r="B36" s="492">
        <f>SUM(F13)</f>
        <v>7560</v>
      </c>
    </row>
    <row r="37" spans="1:6">
      <c r="A37" s="489" t="s">
        <v>3104</v>
      </c>
      <c r="B37" s="492">
        <f>SUM(F14,F15)</f>
        <v>2720</v>
      </c>
    </row>
    <row r="38" spans="1:6">
      <c r="A38" s="489" t="s">
        <v>3105</v>
      </c>
      <c r="B38" s="492">
        <f>SUM(F16,F17)</f>
        <v>410</v>
      </c>
    </row>
    <row r="39" spans="1:6">
      <c r="A39" s="491" t="s">
        <v>1144</v>
      </c>
      <c r="B39" s="493">
        <f>SUM(B36:B38)</f>
        <v>10690</v>
      </c>
    </row>
    <row r="40" spans="1:6">
      <c r="A40" s="488" t="s">
        <v>3067</v>
      </c>
    </row>
    <row r="42" spans="1:6">
      <c r="A42" s="533" t="s">
        <v>3151</v>
      </c>
      <c r="B42" s="535"/>
      <c r="C42" s="533"/>
    </row>
    <row r="43" spans="1:6">
      <c r="A43" t="s">
        <v>3144</v>
      </c>
      <c r="B43" s="541">
        <v>28</v>
      </c>
      <c r="C43" t="s">
        <v>3152</v>
      </c>
    </row>
    <row r="44" spans="1:6">
      <c r="A44" t="s">
        <v>3153</v>
      </c>
      <c r="B44" s="542">
        <v>1.7230000000000001</v>
      </c>
      <c r="C44" s="542">
        <v>1.292</v>
      </c>
      <c r="D44" s="542">
        <v>1.292</v>
      </c>
      <c r="E44" s="542" t="s">
        <v>3154</v>
      </c>
      <c r="F44" s="542"/>
    </row>
    <row r="45" spans="1:6">
      <c r="A45" t="s">
        <v>3155</v>
      </c>
      <c r="B45" s="542">
        <f>IFERROR((((F20-F18-F19)+(F18)+(F19))/(100/(100+B34)-B43/100))/(((F20-F18-F19)*$B$44+(F18)*$C$44+(F19)*$D$44)*(1+B34/100)),1)</f>
        <v>1.074948859077786</v>
      </c>
      <c r="C45" t="s">
        <v>3156</v>
      </c>
    </row>
    <row r="47" spans="1:6">
      <c r="A47" s="533" t="s">
        <v>3126</v>
      </c>
      <c r="B47" s="535"/>
      <c r="C47" s="533"/>
    </row>
    <row r="48" spans="1:6">
      <c r="A48" s="533" t="s">
        <v>3127</v>
      </c>
      <c r="B48" s="534">
        <f>IFERROR(ROUND(F25-F25/(1+B34/100),0),0)</f>
        <v>12785</v>
      </c>
      <c r="C48" s="533" t="s">
        <v>3128</v>
      </c>
    </row>
    <row r="49" spans="1:3">
      <c r="A49" s="533" t="s">
        <v>3129</v>
      </c>
      <c r="B49" s="534">
        <f>F20+B48</f>
        <v>39776.25</v>
      </c>
      <c r="C49" s="533" t="s">
        <v>3130</v>
      </c>
    </row>
    <row r="50" spans="1:3">
      <c r="A50" s="536" t="s">
        <v>3131</v>
      </c>
      <c r="B50" s="537">
        <f>IFERROR((F25-B49)/F25,"")</f>
        <v>0.28201714801444044</v>
      </c>
      <c r="C50" s="536" t="s">
        <v>3157</v>
      </c>
    </row>
    <row r="53" spans="1:3">
      <c r="A53" t="s">
        <v>3160</v>
      </c>
      <c r="B53" t="s">
        <v>3133</v>
      </c>
      <c r="C53" t="s">
        <v>3161</v>
      </c>
    </row>
    <row r="54" spans="1:3">
      <c r="A54" t="s">
        <v>1180</v>
      </c>
      <c r="B54" s="542">
        <f>ROUND(($C$44*$B$45-1)*100,0)</f>
        <v>39</v>
      </c>
      <c r="C54" t="s">
        <v>3149</v>
      </c>
    </row>
    <row r="55" spans="1:3">
      <c r="A55" t="s">
        <v>1181</v>
      </c>
      <c r="B55" s="542">
        <f>ROUND(($D$44*$B$45-1)*100,0)</f>
        <v>39</v>
      </c>
      <c r="C55" t="s">
        <v>3149</v>
      </c>
    </row>
    <row r="56" spans="1:3">
      <c r="A56" t="s">
        <v>2518</v>
      </c>
      <c r="B56">
        <f>ROUNDUP((ROUNDUP(((ROUNDUP(((F20-F18-F19)*(1+$B$33/100))/100,0)*100+ROUNDUP((F18*(1+$B$54/100))/100,0)*100)*(1+$B$34/100))/100,0)*100*1)/100,0)*100</f>
        <v>36100</v>
      </c>
      <c r="C56" t="s">
        <v>3133</v>
      </c>
    </row>
  </sheetData>
  <sheetProtection sheet="1" objects="1" scenarios="1"/>
  <mergeCells count="5">
    <mergeCell ref="A3:G3"/>
    <mergeCell ref="A1:F1"/>
    <mergeCell ref="A22:G22"/>
    <mergeCell ref="A30:G30"/>
    <mergeCell ref="A11:G11"/>
  </mergeCells>
  <hyperlinks>
    <hyperlink ref="G1" location="'สารบัญ'!A1" display="🏠 สารบัญ" xr:uid="{00000000-0004-0000-2700-000000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AD47"/>
  </sheetPr>
  <dimension ref="A1:J47"/>
  <sheetViews>
    <sheetView workbookViewId="0">
      <selection sqref="A1:F1"/>
    </sheetView>
  </sheetViews>
  <sheetFormatPr defaultRowHeight="14.4"/>
  <cols>
    <col min="1" max="1" width="46" customWidth="1"/>
    <col min="2" max="2" width="24" customWidth="1"/>
    <col min="3" max="3" width="42.6640625" customWidth="1"/>
    <col min="4" max="4" width="6.44140625" customWidth="1"/>
    <col min="5" max="5" width="12.77734375" customWidth="1"/>
    <col min="6" max="6" width="13" customWidth="1"/>
    <col min="7" max="7" width="24" customWidth="1"/>
    <col min="8" max="8" width="2" customWidth="1"/>
    <col min="9" max="9" width="13.77734375" customWidth="1"/>
    <col min="10" max="10" width="9.5546875" customWidth="1"/>
  </cols>
  <sheetData>
    <row r="1" spans="1:10" ht="16.8">
      <c r="A1" s="675" t="s">
        <v>1996</v>
      </c>
      <c r="B1" s="650"/>
      <c r="C1" s="650"/>
      <c r="D1" s="650"/>
      <c r="E1" s="650"/>
      <c r="F1" s="650"/>
      <c r="G1" s="293" t="s">
        <v>68</v>
      </c>
      <c r="H1" s="297"/>
      <c r="I1" s="161" t="str">
        <f>$C$4&amp;"|"&amp;$C$5</f>
        <v>ไม้ทิพย์|สีพื้น</v>
      </c>
    </row>
    <row r="2" spans="1:10">
      <c r="I2" s="161" t="s">
        <v>1997</v>
      </c>
    </row>
    <row r="3" spans="1:10">
      <c r="A3" s="674" t="s">
        <v>1998</v>
      </c>
      <c r="B3" s="650"/>
      <c r="C3" s="650"/>
      <c r="D3" s="650"/>
      <c r="E3" s="650"/>
      <c r="F3" s="650"/>
      <c r="G3" s="650"/>
      <c r="I3" s="162">
        <f>IFERROR(VLOOKUP($I$1,ราคาฝ้าไม้เทียม!$A:$K,4,0),0)</f>
        <v>8.5000000000000006E-2</v>
      </c>
      <c r="J3" s="593" t="s">
        <v>1999</v>
      </c>
    </row>
    <row r="4" spans="1:10">
      <c r="B4" s="134" t="s">
        <v>799</v>
      </c>
      <c r="C4" s="676" t="s">
        <v>807</v>
      </c>
      <c r="D4" s="677"/>
      <c r="E4" s="678"/>
      <c r="I4" s="162">
        <f>IFERROR(VLOOKUP($I$1,ราคาฝ้าไม้เทียม!$A:$K,5,0),0)</f>
        <v>6</v>
      </c>
      <c r="J4" s="161" t="s">
        <v>2000</v>
      </c>
    </row>
    <row r="5" spans="1:10">
      <c r="B5" s="134" t="s">
        <v>2001</v>
      </c>
      <c r="C5" s="676" t="s">
        <v>808</v>
      </c>
      <c r="D5" s="677"/>
      <c r="E5" s="678"/>
      <c r="I5" s="162">
        <f>IFERROR(VLOOKUP($I$1,ราคาฝ้าไม้เทียม!$A:$K,6,0),0)</f>
        <v>420</v>
      </c>
      <c r="J5" s="161" t="s">
        <v>801</v>
      </c>
    </row>
    <row r="6" spans="1:10">
      <c r="B6" s="134" t="s">
        <v>2002</v>
      </c>
      <c r="C6" s="676" t="s">
        <v>2003</v>
      </c>
      <c r="D6" s="677"/>
      <c r="E6" s="678"/>
      <c r="I6" s="162" t="str">
        <f>IFERROR(VLOOKUP($I$1,ราคาฝ้าไม้เทียม!$A:$K,7,0),0)</f>
        <v>เส้น</v>
      </c>
      <c r="J6" s="161" t="s">
        <v>2004</v>
      </c>
    </row>
    <row r="7" spans="1:10">
      <c r="B7" s="163" t="s">
        <v>1861</v>
      </c>
      <c r="C7" s="617">
        <v>3</v>
      </c>
      <c r="D7" s="160" t="s">
        <v>1862</v>
      </c>
      <c r="I7" s="162">
        <f>IFERROR(VLOOKUP($I$1,ราคาฝ้าไม้เทียม!$A:$K,8,0),0)</f>
        <v>70</v>
      </c>
      <c r="J7" s="161" t="s">
        <v>802</v>
      </c>
    </row>
    <row r="8" spans="1:10">
      <c r="B8" s="163" t="s">
        <v>1864</v>
      </c>
      <c r="C8" s="617">
        <v>4</v>
      </c>
      <c r="D8" s="160" t="s">
        <v>1862</v>
      </c>
      <c r="I8" s="162">
        <f>IFERROR(VLOOKUP($I$1,ราคาฝ้าไม้เทียม!$A:$K,9,0),0)</f>
        <v>6</v>
      </c>
      <c r="J8" s="161" t="s">
        <v>803</v>
      </c>
    </row>
    <row r="9" spans="1:10">
      <c r="B9" s="134" t="s">
        <v>2005</v>
      </c>
      <c r="C9" s="137">
        <f>C7*C8</f>
        <v>12</v>
      </c>
      <c r="D9" s="135" t="s">
        <v>593</v>
      </c>
      <c r="E9" s="136" t="s">
        <v>1866</v>
      </c>
      <c r="I9" s="162">
        <f>IFERROR(VLOOKUP($I$1,ราคาฝ้าไม้เทียม!$A:$K,10,0),0)</f>
        <v>1</v>
      </c>
      <c r="J9" s="161" t="s">
        <v>804</v>
      </c>
    </row>
    <row r="10" spans="1:10">
      <c r="B10" s="134" t="s">
        <v>1976</v>
      </c>
      <c r="C10" s="137">
        <f>2*(C7+C8)</f>
        <v>14</v>
      </c>
      <c r="D10" s="135" t="s">
        <v>1862</v>
      </c>
      <c r="E10" s="136" t="s">
        <v>2006</v>
      </c>
      <c r="I10" s="162">
        <f>IFERROR(VLOOKUP($I$1,ราคาฝ้าไม้เทียม!$A:$K,11,0),0)</f>
        <v>0</v>
      </c>
      <c r="J10" s="161" t="s">
        <v>805</v>
      </c>
    </row>
    <row r="11" spans="1:10">
      <c r="B11" s="258" t="str">
        <f>IF($I$5=0,"⚠ รุ่นนี้ไม่มีในร้าน "&amp;$C$4&amp;" — คลิกช่องรุ่น(C5) เลือกใหม่ให้ตรงร้าน","")</f>
        <v/>
      </c>
    </row>
    <row r="12" spans="1:10">
      <c r="A12" s="674" t="s">
        <v>2007</v>
      </c>
      <c r="B12" s="650"/>
      <c r="C12" s="650"/>
      <c r="D12" s="650"/>
      <c r="E12" s="650"/>
      <c r="F12" s="650"/>
      <c r="G12" s="650"/>
    </row>
    <row r="13" spans="1:10">
      <c r="B13" s="138" t="s">
        <v>606</v>
      </c>
      <c r="C13" s="138" t="s">
        <v>1124</v>
      </c>
      <c r="D13" s="138" t="s">
        <v>471</v>
      </c>
      <c r="E13" s="138" t="s">
        <v>1125</v>
      </c>
      <c r="F13" s="138" t="s">
        <v>1873</v>
      </c>
      <c r="G13" s="138" t="s">
        <v>569</v>
      </c>
    </row>
    <row r="14" spans="1:10">
      <c r="B14" s="139" t="s">
        <v>2008</v>
      </c>
      <c r="C14" s="140">
        <f>IFERROR(IF($I$10=1,$C$9,CEILING($C$9/($I$3*$I$4),1)),0)</f>
        <v>24</v>
      </c>
      <c r="D14" s="164" t="str">
        <f>IF($I$10=1,"ตร.ม.",IFERROR(VLOOKUP($I$1,ราคาฝ้าไม้เทียม!$A:$K,7,0),""))</f>
        <v>เส้น</v>
      </c>
      <c r="E14" s="155">
        <f>$I$5</f>
        <v>420</v>
      </c>
      <c r="F14" s="143">
        <f>C14*E14</f>
        <v>10080</v>
      </c>
      <c r="G14" s="136" t="s">
        <v>2009</v>
      </c>
    </row>
    <row r="15" spans="1:10">
      <c r="B15" s="139" t="s">
        <v>2010</v>
      </c>
      <c r="C15" s="140">
        <f>IF($I$9=1,CEILING($C$9,1),0)</f>
        <v>12</v>
      </c>
      <c r="D15" s="164" t="s">
        <v>477</v>
      </c>
      <c r="E15" s="155">
        <f>ราคางานเสริม!$D$45</f>
        <v>190</v>
      </c>
      <c r="F15" s="143">
        <f>C15*E15</f>
        <v>2280</v>
      </c>
      <c r="G15" s="136" t="s">
        <v>2011</v>
      </c>
    </row>
    <row r="16" spans="1:10">
      <c r="B16" s="139" t="s">
        <v>2012</v>
      </c>
      <c r="C16" s="140">
        <f>IF($I$7=0,0,CEILING($C$10/$I$8,1))</f>
        <v>3</v>
      </c>
      <c r="D16" s="164" t="s">
        <v>477</v>
      </c>
      <c r="E16" s="155">
        <f>$I$7</f>
        <v>70</v>
      </c>
      <c r="F16" s="143">
        <f>C16*E16</f>
        <v>210</v>
      </c>
      <c r="G16" s="136" t="s">
        <v>2013</v>
      </c>
    </row>
    <row r="17" spans="1:10">
      <c r="B17" s="139" t="s">
        <v>2014</v>
      </c>
      <c r="C17" s="140">
        <f>CEILING(($C$9/1.2+CEILING($C$9/1.44,1)*0.3)/4,1)</f>
        <v>4</v>
      </c>
      <c r="D17" s="164" t="s">
        <v>477</v>
      </c>
      <c r="E17" s="155">
        <f>ราคางานเสริม!$D$46</f>
        <v>50</v>
      </c>
      <c r="F17" s="143">
        <f>C17*E17</f>
        <v>200</v>
      </c>
      <c r="G17" s="136" t="s">
        <v>2015</v>
      </c>
    </row>
    <row r="18" spans="1:10">
      <c r="B18" s="153" t="s">
        <v>1856</v>
      </c>
      <c r="C18" s="140">
        <f>$C$9</f>
        <v>12</v>
      </c>
      <c r="D18" s="164" t="s">
        <v>593</v>
      </c>
      <c r="E18" s="155">
        <f>ค่าแรง!$C$62</f>
        <v>437.5</v>
      </c>
      <c r="F18" s="143">
        <f>C18*E18</f>
        <v>5250</v>
      </c>
      <c r="G18" s="136" t="s">
        <v>2016</v>
      </c>
    </row>
    <row r="19" spans="1:10" ht="15">
      <c r="B19" s="145" t="s">
        <v>1896</v>
      </c>
      <c r="F19" s="146">
        <f>SUM(F14:F18)</f>
        <v>18020</v>
      </c>
    </row>
    <row r="20" spans="1:10" ht="15">
      <c r="B20" s="147" t="s">
        <v>1900</v>
      </c>
      <c r="F20" s="149">
        <f>ROUNDUP((ROUNDUP(((ROUNDUP(((F19-F18)*(1+$B$25/100))/100,0)*100)*(1+$B$26/100))/100,0)*100*1)/100,0)*100+ROUNDUP((ROUNDUP(((ROUNDUP((F18*(1+$B$46/100))/100,0)*100)*(1+$B$26/100))/100,0)*100*1)/100,0)*100</f>
        <v>40400</v>
      </c>
    </row>
    <row r="21" spans="1:10">
      <c r="B21" s="271" t="s">
        <v>1045</v>
      </c>
      <c r="F21" s="271">
        <f>IFERROR(ROUND(F19/C9,0),0)</f>
        <v>1502</v>
      </c>
    </row>
    <row r="22" spans="1:10">
      <c r="B22" s="679" t="s">
        <v>2017</v>
      </c>
      <c r="C22" s="650"/>
      <c r="D22" s="650"/>
      <c r="E22" s="650"/>
      <c r="F22" s="650"/>
      <c r="G22" s="650"/>
      <c r="H22" s="650"/>
      <c r="I22" s="650"/>
      <c r="J22" s="650"/>
    </row>
    <row r="24" spans="1:10">
      <c r="A24" s="390" t="s">
        <v>3148</v>
      </c>
    </row>
    <row r="25" spans="1:10">
      <c r="A25" t="s">
        <v>1179</v>
      </c>
      <c r="B25" s="542">
        <f>ROUND(($B$35*$B$36-1)*100,0)</f>
        <v>85</v>
      </c>
      <c r="C25" t="s">
        <v>3149</v>
      </c>
    </row>
    <row r="26" spans="1:10">
      <c r="A26" t="s">
        <v>3122</v>
      </c>
      <c r="B26" s="541">
        <v>30</v>
      </c>
      <c r="C26" t="s">
        <v>3150</v>
      </c>
    </row>
    <row r="27" spans="1:10">
      <c r="A27" s="613" t="s">
        <v>1138</v>
      </c>
      <c r="B27" s="614"/>
    </row>
    <row r="28" spans="1:10">
      <c r="A28" s="489" t="s">
        <v>3106</v>
      </c>
      <c r="B28" s="492">
        <f>SUM(F14)</f>
        <v>10080</v>
      </c>
    </row>
    <row r="29" spans="1:10">
      <c r="A29" s="489" t="s">
        <v>3107</v>
      </c>
      <c r="B29" s="492">
        <f>SUM(F15,F16,F17)</f>
        <v>2690</v>
      </c>
    </row>
    <row r="30" spans="1:10">
      <c r="A30" s="491" t="s">
        <v>1144</v>
      </c>
      <c r="B30" s="493">
        <f>SUM(B28:B29)</f>
        <v>12770</v>
      </c>
    </row>
    <row r="31" spans="1:10">
      <c r="A31" s="488" t="s">
        <v>3067</v>
      </c>
    </row>
    <row r="33" spans="1:6">
      <c r="A33" s="533" t="s">
        <v>3151</v>
      </c>
      <c r="B33" s="535"/>
      <c r="C33" s="533"/>
    </row>
    <row r="34" spans="1:6">
      <c r="A34" t="s">
        <v>3144</v>
      </c>
      <c r="B34" s="541">
        <v>32</v>
      </c>
      <c r="C34" t="s">
        <v>3152</v>
      </c>
    </row>
    <row r="35" spans="1:6">
      <c r="A35" t="s">
        <v>3153</v>
      </c>
      <c r="B35" s="542">
        <v>1.7230000000000001</v>
      </c>
      <c r="C35" s="542"/>
      <c r="D35" s="542">
        <v>1.292</v>
      </c>
      <c r="E35" s="542" t="s">
        <v>3154</v>
      </c>
      <c r="F35" s="542"/>
    </row>
    <row r="36" spans="1:6">
      <c r="A36" t="s">
        <v>3155</v>
      </c>
      <c r="B36" s="542">
        <f>IFERROR((((F19-F18)+(F18))/(100/(100+B26)-B34/100))/(((F19-F18)*$B$35+(F18)*$D$35)*(1+B26/100)),1)</f>
        <v>1.0719264657207219</v>
      </c>
      <c r="C36" t="s">
        <v>3156</v>
      </c>
    </row>
    <row r="38" spans="1:6">
      <c r="A38" s="533" t="s">
        <v>3126</v>
      </c>
      <c r="B38" s="535"/>
      <c r="C38" s="533"/>
    </row>
    <row r="39" spans="1:6">
      <c r="A39" s="533" t="s">
        <v>3127</v>
      </c>
      <c r="B39" s="534">
        <f>IFERROR(ROUND(F20-F20/(1+B26/100),0),0)</f>
        <v>9323</v>
      </c>
      <c r="C39" s="533" t="s">
        <v>3128</v>
      </c>
    </row>
    <row r="40" spans="1:6">
      <c r="A40" s="533" t="s">
        <v>3129</v>
      </c>
      <c r="B40" s="534">
        <f>SUM(F14:F17)+F18+B39</f>
        <v>27343</v>
      </c>
      <c r="C40" s="533" t="s">
        <v>3130</v>
      </c>
    </row>
    <row r="41" spans="1:6">
      <c r="A41" s="536" t="s">
        <v>3131</v>
      </c>
      <c r="B41" s="537">
        <f>IFERROR((F20-B40)/F20,"")</f>
        <v>0.3231930693069307</v>
      </c>
      <c r="C41" s="536" t="s">
        <v>3157</v>
      </c>
    </row>
    <row r="44" spans="1:6">
      <c r="A44" t="s">
        <v>3160</v>
      </c>
      <c r="B44" t="s">
        <v>3133</v>
      </c>
      <c r="C44" t="s">
        <v>3161</v>
      </c>
    </row>
    <row r="45" spans="1:6">
      <c r="A45" t="s">
        <v>1180</v>
      </c>
      <c r="B45" t="s">
        <v>7</v>
      </c>
      <c r="C45" t="s">
        <v>3162</v>
      </c>
    </row>
    <row r="46" spans="1:6">
      <c r="A46" t="s">
        <v>1181</v>
      </c>
      <c r="B46" s="542">
        <f>ROUND(($D$35*$B$36-1)*100,0)</f>
        <v>38</v>
      </c>
      <c r="C46" t="s">
        <v>3149</v>
      </c>
    </row>
    <row r="47" spans="1:6">
      <c r="A47" t="s">
        <v>2518</v>
      </c>
      <c r="B47">
        <f>ROUNDUP((ROUNDUP(((ROUNDUP(((F19-F18)*(1+$B$25/100))/100,0)*100)*(1+$B$26/100))/100,0)*100*1)/100,0)*100</f>
        <v>30900</v>
      </c>
      <c r="C47" t="s">
        <v>3133</v>
      </c>
    </row>
  </sheetData>
  <sheetProtection sheet="1" objects="1" scenarios="1"/>
  <mergeCells count="7">
    <mergeCell ref="C5:E5"/>
    <mergeCell ref="A3:G3"/>
    <mergeCell ref="A1:F1"/>
    <mergeCell ref="B22:J22"/>
    <mergeCell ref="A12:G12"/>
    <mergeCell ref="C4:E4"/>
    <mergeCell ref="C6:E6"/>
  </mergeCells>
  <hyperlinks>
    <hyperlink ref="G1" location="'สารบัญ'!A1" display="🏠 สารบัญ" xr:uid="{00000000-0004-0000-2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2800-000000000000}">
          <x14:formula1>
            <xm:f>ราคาฝ้าไม้เทียม!$N$2:$N$5</xm:f>
          </x14:formula1>
          <xm:sqref>C4</xm:sqref>
        </x14:dataValidation>
        <x14:dataValidation type="list" allowBlank="1" xr:uid="{00000000-0002-0000-2800-000001000000}">
          <x14:formula1>
            <xm:f>OFFSET(ราคาฝ้าไม้เทียม!$C$2,MATCH($C$4,ราคาฝ้าไม้เทียม!$B$2:$B$25,0)-1,0,COUNTIF(ราคาฝ้าไม้เทียม!$B$2:$B$25,$C$4),1)</xm:f>
          </x14:formula1>
          <xm:sqref>C5</xm:sqref>
        </x14:dataValidation>
        <x14:dataValidation type="list" allowBlank="1" xr:uid="{00000000-0002-0000-2800-000002000000}">
          <x14:formula1>
            <xm:f>OFFSET(สีฝ้าไม้เทียม!$B$2,MATCH($I$1,สีฝ้าไม้เทียม!$A$2:$A$118,0)-1,0,COUNTIF(สีฝ้าไม้เทียม!$A$2:$A$118,$I$1),1)</xm:f>
          </x14:formula1>
          <xm:sqref>C6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I35"/>
  <sheetViews>
    <sheetView workbookViewId="0">
      <pane ySplit="3" topLeftCell="A4" activePane="bottomLeft" state="frozen"/>
      <selection pane="bottomLeft" activeCell="A10" sqref="A10:E10"/>
    </sheetView>
  </sheetViews>
  <sheetFormatPr defaultRowHeight="14.4"/>
  <cols>
    <col min="1" max="1" width="16.88671875" customWidth="1"/>
    <col min="2" max="2" width="24.77734375" customWidth="1"/>
    <col min="3" max="3" width="10.6640625" customWidth="1"/>
    <col min="4" max="4" width="15.88671875" customWidth="1"/>
    <col min="5" max="5" width="12.77734375" customWidth="1"/>
    <col min="6" max="6" width="19.109375" customWidth="1"/>
    <col min="8" max="8" width="8.5546875" customWidth="1"/>
  </cols>
  <sheetData>
    <row r="1" spans="1:9" ht="24" customHeight="1">
      <c r="A1" s="660" t="s">
        <v>2018</v>
      </c>
      <c r="B1" s="660"/>
      <c r="C1" s="650"/>
      <c r="D1" s="650"/>
      <c r="E1" s="650"/>
      <c r="F1" s="650"/>
      <c r="G1" s="243"/>
      <c r="H1" s="293" t="s">
        <v>68</v>
      </c>
      <c r="I1" s="294"/>
    </row>
    <row r="2" spans="1:9">
      <c r="A2" t="s">
        <v>3125</v>
      </c>
    </row>
    <row r="3" spans="1:9" ht="27">
      <c r="A3" s="14" t="s">
        <v>624</v>
      </c>
      <c r="B3" s="476" t="s">
        <v>3042</v>
      </c>
      <c r="C3" s="14" t="s">
        <v>1816</v>
      </c>
      <c r="D3" s="14" t="s">
        <v>1428</v>
      </c>
      <c r="E3" s="14" t="s">
        <v>1429</v>
      </c>
      <c r="F3" s="14" t="s">
        <v>3164</v>
      </c>
    </row>
    <row r="4" spans="1:9">
      <c r="A4" s="15" t="s">
        <v>2019</v>
      </c>
      <c r="B4" s="477"/>
      <c r="C4" s="480"/>
      <c r="D4" s="480"/>
      <c r="E4" s="480"/>
      <c r="F4" s="481"/>
    </row>
    <row r="5" spans="1:9">
      <c r="A5" s="16" t="s">
        <v>444</v>
      </c>
      <c r="B5" s="365" t="str">
        <f>TEXT('คิดทุน SMS'!B2,"0")&amp;" x "&amp;TEXT('คิดทุน SMS'!B3,"0")&amp;" · "&amp;TEXT('คิดทุน SMS'!B4,"0")&amp;" บาน"</f>
        <v>600 x 300 · 3 บาน</v>
      </c>
      <c r="C5" s="17">
        <f>'คิดทุน SMS'!D28</f>
        <v>18852.931250000001</v>
      </c>
      <c r="D5" s="18">
        <f>'คิดทุน SMS'!D46</f>
        <v>55700</v>
      </c>
      <c r="E5" s="19">
        <f>'คิดทุน SMS'!D47</f>
        <v>60600</v>
      </c>
      <c r="F5" s="20">
        <f>IFERROR('คิดทุน SMS'!B75,"")</f>
        <v>0.40320864273927393</v>
      </c>
    </row>
    <row r="6" spans="1:9">
      <c r="A6" s="16" t="s">
        <v>447</v>
      </c>
      <c r="B6" s="365" t="str">
        <f>TEXT('คิดทุน ยูโร'!B2,"0")&amp;" x "&amp;TEXT('คิดทุน ยูโร'!B3,"0")&amp;" · "&amp;TEXT('คิดทุน ยูโร'!B4,"0")&amp;" บาน"</f>
        <v>600 x 300 · 3 บาน</v>
      </c>
      <c r="C6" s="17">
        <f>'คิดทุน ยูโร'!D38</f>
        <v>30942.368750000001</v>
      </c>
      <c r="D6" s="18">
        <f>'คิดทุน ยูโร'!D48</f>
        <v>68400</v>
      </c>
      <c r="E6" s="19">
        <f>'คิดทุน ยูโร'!D49</f>
        <v>73500</v>
      </c>
      <c r="F6" s="20">
        <f>IFERROR('คิดทุน ยูโร'!B100,"")</f>
        <v>0.3015970238095238</v>
      </c>
    </row>
    <row r="7" spans="1:9">
      <c r="A7" s="16" t="s">
        <v>76</v>
      </c>
      <c r="B7" s="365" t="str">
        <f>TEXT('คิดทุน SlimLux'!B4,"0")&amp;" x "&amp;TEXT('คิดทุน SlimLux'!B5,"0")&amp;" · "&amp;TEXT('คิดทุน SlimLux'!B3,"0")&amp;" บาน"</f>
        <v>200 x 200 · 2 บาน</v>
      </c>
      <c r="C7" s="17">
        <f>'คิดทุน SlimLux'!D32</f>
        <v>15231.858340000002</v>
      </c>
      <c r="D7" s="18">
        <f>'คิดทุน SlimLux'!D43</f>
        <v>34500</v>
      </c>
      <c r="E7" s="19">
        <f>'คิดทุน SlimLux'!D44</f>
        <v>39600</v>
      </c>
      <c r="F7" s="20">
        <f>IFERROR('คิดทุน SlimLux'!B97,"")</f>
        <v>0.3024025671717171</v>
      </c>
    </row>
    <row r="8" spans="1:9">
      <c r="A8" s="16" t="s">
        <v>948</v>
      </c>
      <c r="B8" s="365" t="str">
        <f>TEXT('คิดทุน E-series'!B2,"0")&amp;" x "&amp;TEXT('คิดทุน E-series'!B3,"0")&amp;" · "&amp;TEXT('คิดทุน E-series'!B4,"0")&amp;" บาน"</f>
        <v>600 x 300 · 3 บาน</v>
      </c>
      <c r="C8" s="17">
        <f>'คิดทุน E-series'!D29</f>
        <v>32125.916375000004</v>
      </c>
      <c r="D8" s="18">
        <f>'คิดทุน E-series'!D39</f>
        <v>64600</v>
      </c>
      <c r="E8" s="19">
        <f>'คิดทุน E-series'!D40</f>
        <v>69300</v>
      </c>
      <c r="F8" s="20">
        <f>IFERROR('คิดทุน E-series'!B80,"")</f>
        <v>0.2576400955988456</v>
      </c>
    </row>
    <row r="9" spans="1:9">
      <c r="A9" s="16" t="s">
        <v>462</v>
      </c>
      <c r="B9" s="365" t="str">
        <f>TEXT('คิดทุน บานเลื่อนรางบน'!B2,"0")&amp;" x "&amp;TEXT('คิดทุน บานเลื่อนรางบน'!B3,"0")&amp;" · "&amp;TEXT('คิดทุน บานเลื่อนรางบน'!B4,"0")&amp;" บาน"</f>
        <v>360 x 240 · 2 บาน</v>
      </c>
      <c r="C9" s="17">
        <f>'คิดทุน บานเลื่อนรางบน'!D23</f>
        <v>16018.422500000002</v>
      </c>
      <c r="D9" s="18">
        <f>'คิดทุน บานเลื่อนรางบน'!D33</f>
        <v>35800</v>
      </c>
      <c r="E9" s="19">
        <f>'คิดทุน บานเลื่อนรางบน'!D34</f>
        <v>42100</v>
      </c>
      <c r="F9" s="20">
        <f>IFERROR('คิดทุน บานเลื่อนรางบน'!B61,"")</f>
        <v>0.30308378859857482</v>
      </c>
    </row>
    <row r="10" spans="1:9">
      <c r="A10" s="16" t="s">
        <v>659</v>
      </c>
      <c r="B10" s="365" t="str">
        <f>TEXT('คิดทุน บานระแนงเลื่อน'!B2,"0")&amp;" x "&amp;TEXT('คิดทุน บานระแนงเลื่อน'!B3,"0")&amp;" · "&amp;TEXT('คิดทุน บานระแนงเลื่อน'!B4,"0")&amp;" บาน"</f>
        <v>600 x 300 · 3 บาน</v>
      </c>
      <c r="C10" s="17">
        <f>'คิดทุน บานระแนงเลื่อน'!D28</f>
        <v>28136.59375</v>
      </c>
      <c r="D10" s="18">
        <f>'คิดทุน บานระแนงเลื่อน'!D46</f>
        <v>67300</v>
      </c>
      <c r="E10" s="19">
        <f>'คิดทุน บานระแนงเลื่อน'!D47</f>
        <v>72700</v>
      </c>
      <c r="F10" s="20">
        <f>IFERROR('คิดทุน บานระแนงเลื่อน'!B75,"")</f>
        <v>0.30337216299862446</v>
      </c>
    </row>
    <row r="11" spans="1:9">
      <c r="A11" s="15" t="s">
        <v>2020</v>
      </c>
      <c r="B11" s="477"/>
      <c r="C11" s="480"/>
      <c r="D11" s="480"/>
      <c r="E11" s="480"/>
      <c r="F11" s="481"/>
    </row>
    <row r="12" spans="1:9">
      <c r="A12" s="16" t="s">
        <v>2021</v>
      </c>
      <c r="B12" s="365" t="str">
        <f>TEXT('คิดทุน บานเปิด'!B3,"0")&amp;" x "&amp;TEXT('คิดทุน บานเปิด'!B4,"0")&amp;" · "&amp;TEXT('คิดทุน บานเปิด'!B5,"0")&amp;" บาน"</f>
        <v>150 x 200 · 1 บาน</v>
      </c>
      <c r="C12" s="17">
        <f>'คิดทุน บานเปิด'!D29</f>
        <v>8300.8671875</v>
      </c>
      <c r="D12" s="18">
        <f>'คิดทุน บานเปิด'!D41</f>
        <v>19200</v>
      </c>
      <c r="E12" s="19">
        <f>'คิดทุน บานเปิด'!D42</f>
        <v>22800</v>
      </c>
      <c r="F12" s="20">
        <f>IFERROR('คิดทุน บานเปิด'!B82,"")</f>
        <v>0.30679584703947366</v>
      </c>
    </row>
    <row r="13" spans="1:9">
      <c r="A13" s="16" t="s">
        <v>454</v>
      </c>
      <c r="B13" s="365" t="str">
        <f>TEXT('คิดทุน กระทุ้ง'!B3,"0")&amp;" x "&amp;TEXT('คิดทุน กระทุ้ง'!B4,"0")&amp;" · "&amp;TEXT('คิดทุน กระทุ้ง'!B5,"0")&amp;" บาน"</f>
        <v>40 x 40 · 1 บาน</v>
      </c>
      <c r="C13" s="17">
        <f>'คิดทุน กระทุ้ง'!D33</f>
        <v>2307.6525000000001</v>
      </c>
      <c r="D13" s="18">
        <f>'คิดทุน กระทุ้ง'!D45</f>
        <v>6900</v>
      </c>
      <c r="E13" s="19">
        <f>'คิดทุน กระทุ้ง'!D46</f>
        <v>9400</v>
      </c>
      <c r="F13" s="20">
        <f>IFERROR('คิดทุน กระทุ้ง'!B93,"")</f>
        <v>0.35948377659574471</v>
      </c>
    </row>
    <row r="14" spans="1:9">
      <c r="A14" s="16" t="s">
        <v>455</v>
      </c>
      <c r="B14" s="365" t="str">
        <f>TEXT('คิดทุน บานยก'!B3,"0")&amp;" x "&amp;TEXT('คิดทุน บานยก'!B4,"0")&amp;" · "&amp;TEXT('คิดทุน บานยก'!B5,"0")&amp;" บาน"</f>
        <v>100 x 150 · 2 บาน</v>
      </c>
      <c r="C14" s="17">
        <f>'คิดทุน บานยก'!D31</f>
        <v>5282.640625</v>
      </c>
      <c r="D14" s="18">
        <f>'คิดทุน บานยก'!D43</f>
        <v>19700</v>
      </c>
      <c r="E14" s="19">
        <f>'คิดทุน บานยก'!D44</f>
        <v>23500</v>
      </c>
      <c r="F14" s="20">
        <f>IFERROR('คิดทุน บานยก'!B90,"")</f>
        <v>0.40466422872340424</v>
      </c>
    </row>
    <row r="15" spans="1:9">
      <c r="A15" s="16" t="s">
        <v>452</v>
      </c>
      <c r="B15" s="365" t="str">
        <f>TEXT('คิดทุน PC Door'!B3,"0")&amp;" x "&amp;TEXT('คิดทุน PC Door'!B4,"0")&amp;" · "&amp;TEXT('คิดทุน PC Door'!B12,"0")&amp;" บาน"</f>
        <v>150 x 200 · 2 บาน</v>
      </c>
      <c r="C15" s="17">
        <f>'คิดทุน PC Door'!D35</f>
        <v>11299.6796875</v>
      </c>
      <c r="D15" s="18">
        <f>'คิดทุน PC Door'!D53</f>
        <v>29800</v>
      </c>
      <c r="E15" s="19">
        <f>'คิดทุน PC Door'!D54</f>
        <v>34100</v>
      </c>
      <c r="F15" s="20">
        <f>IFERROR('คิดทุน PC Door'!B86,"")</f>
        <v>0.35319121151026395</v>
      </c>
    </row>
    <row r="16" spans="1:9">
      <c r="A16" s="16" t="s">
        <v>77</v>
      </c>
      <c r="B16" s="365" t="str">
        <f>TEXT('คิดทุน Velora'!B2,"0")&amp;" x "&amp;TEXT('คิดทุน Velora'!B3,"0")&amp;" · "&amp;TEXT('คิดทุน Velora'!B4,"0")&amp;" บาน"</f>
        <v>220 x 200 · 1 บาน</v>
      </c>
      <c r="C16" s="17">
        <f>'คิดทุน Velora'!D24</f>
        <v>8151.5726000000004</v>
      </c>
      <c r="D16" s="18">
        <f>'คิดทุน Velora'!D35</f>
        <v>21400</v>
      </c>
      <c r="E16" s="19">
        <f>'คิดทุน Velora'!D36</f>
        <v>24800</v>
      </c>
      <c r="F16" s="20">
        <f>IFERROR('คิดทุน Velora'!B76,"")</f>
        <v>0.35445271774193549</v>
      </c>
    </row>
    <row r="17" spans="1:6">
      <c r="A17" s="16" t="s">
        <v>646</v>
      </c>
      <c r="B17" s="365" t="str">
        <f>TEXT('คิดทุน บานหมุน'!B3,"0")&amp;" x "&amp;TEXT('คิดทุน บานหมุน'!B4,"0")&amp;" · "&amp;TEXT('คิดทุน บานหมุน'!B5,"0")&amp;" บาน"</f>
        <v>150 x 200 · 1 บาน</v>
      </c>
      <c r="C17" s="17">
        <f>'คิดทุน บานหมุน'!D27</f>
        <v>11427</v>
      </c>
      <c r="D17" s="18">
        <f>'คิดทุน บานหมุน'!D39</f>
        <v>29000</v>
      </c>
      <c r="E17" s="19">
        <f>'คิดทุน บานหมุน'!D40</f>
        <v>36800</v>
      </c>
      <c r="F17" s="20">
        <f>IFERROR('คิดทุน บานหมุน'!B80,"")</f>
        <v>0.35398437500000002</v>
      </c>
    </row>
    <row r="18" spans="1:6">
      <c r="A18" s="16" t="s">
        <v>658</v>
      </c>
      <c r="B18" s="365" t="str">
        <f>TEXT('คิดทุน บานโซลิด'!B3,"0")&amp;" x "&amp;TEXT('คิดทุน บานโซลิด'!B4,"0")&amp;" · "&amp;TEXT('คิดทุน บานโซลิด'!B5,"0")&amp;" บาน"</f>
        <v>150 x 200 · 1 บาน</v>
      </c>
      <c r="C18" s="17">
        <f>'คิดทุน บานโซลิด'!D27</f>
        <v>18140</v>
      </c>
      <c r="D18" s="18">
        <f>'คิดทุน บานโซลิด'!D39</f>
        <v>41400</v>
      </c>
      <c r="E18" s="19">
        <f>'คิดทุน บานโซลิด'!D40</f>
        <v>45100</v>
      </c>
      <c r="F18" s="20">
        <f>IFERROR('คิดทุน บานโซลิด'!B80,"")</f>
        <v>0.30352549889135255</v>
      </c>
    </row>
    <row r="19" spans="1:6">
      <c r="A19" s="16" t="s">
        <v>662</v>
      </c>
      <c r="B19" s="365" t="str">
        <f>TEXT('คิดทุน บานเปลือย'!B4,"0")&amp;" x "&amp;TEXT('คิดทุน บานเปลือย'!B5,"0")&amp;" · "&amp;TEXT('คิดทุน บานเปลือย'!B6,"0")&amp;" บาน"</f>
        <v>100 x 220 · 1 บาน</v>
      </c>
      <c r="C19" s="17">
        <f>'คิดทุน บานเปลือย'!E20</f>
        <v>11841</v>
      </c>
      <c r="D19" s="18">
        <f>'คิดทุน บานเปลือย'!B22</f>
        <v>25400</v>
      </c>
      <c r="E19" s="19">
        <f>'คิดทุน บานเปลือย'!B22</f>
        <v>25400</v>
      </c>
      <c r="F19" s="20">
        <f>IFERROR('คิดทุน บานเปลือย'!B47,"")</f>
        <v>0.30303149606299212</v>
      </c>
    </row>
    <row r="20" spans="1:6">
      <c r="A20" s="15" t="s">
        <v>2022</v>
      </c>
      <c r="B20" s="477"/>
      <c r="C20" s="480"/>
      <c r="D20" s="480"/>
      <c r="E20" s="480"/>
      <c r="F20" s="481"/>
    </row>
    <row r="21" spans="1:6">
      <c r="A21" s="16" t="s">
        <v>2023</v>
      </c>
      <c r="B21" s="365" t="str">
        <f>TEXT('คิดทุน เฟี้ยม'!B2,"0")&amp;" x "&amp;TEXT('คิดทุน เฟี้ยม'!B3,"0")&amp;" · "&amp;TEXT('คิดทุน เฟี้ยม'!B4,"0")&amp;" บาน"</f>
        <v>180 x 280 · 2 บาน</v>
      </c>
      <c r="C21" s="17">
        <f>'คิดทุน เฟี้ยม'!D26</f>
        <v>17939.141250000001</v>
      </c>
      <c r="D21" s="18">
        <f>'คิดทุน เฟี้ยม'!D67</f>
        <v>40200</v>
      </c>
      <c r="E21" s="19">
        <f>'คิดทุน เฟี้ยม'!D68</f>
        <v>43100</v>
      </c>
      <c r="F21" s="20">
        <f>IFERROR('คิดทุน เฟี้ยม'!B157,"")</f>
        <v>0.30428906612529</v>
      </c>
    </row>
    <row r="22" spans="1:6">
      <c r="A22" s="16" t="s">
        <v>458</v>
      </c>
      <c r="B22" s="365" t="str">
        <f>TEXT('คิดทุน เฟี้ยมยูโร'!B2,"0")&amp;" x "&amp;TEXT('คิดทุน เฟี้ยมยูโร'!B3,"0")&amp;" · "&amp;TEXT('คิดทุน เฟี้ยมยูโร'!B4,"0")&amp;" บาน"</f>
        <v>180 x 280 · 2 บาน</v>
      </c>
      <c r="C22" s="17">
        <f>'คิดทุน เฟี้ยมยูโร'!E39</f>
        <v>18803.457999999999</v>
      </c>
      <c r="D22" s="18">
        <f>'คิดทุน เฟี้ยมยูโร'!E49</f>
        <v>47000</v>
      </c>
      <c r="E22" s="19">
        <f>'คิดทุน เฟี้ยมยูโร'!E50</f>
        <v>50200</v>
      </c>
      <c r="F22" s="20">
        <f>IFERROR('คิดทุน เฟี้ยมยูโร'!B82,"")</f>
        <v>0.35281956175298806</v>
      </c>
    </row>
    <row r="23" spans="1:6">
      <c r="A23" s="16" t="s">
        <v>3041</v>
      </c>
      <c r="B23" s="365" t="str">
        <f>TEXT('คิดทุน เฟี้ยมยก'!B2,"0")&amp;" x "&amp;TEXT('คิดทุน เฟี้ยมยก'!B3,"0")&amp;" · "&amp;TEXT('คิดทุน เฟี้ยมยก'!B4,"0")&amp;" บาน"</f>
        <v>200 x 120 · 2 บาน</v>
      </c>
      <c r="C23" s="17">
        <f>'คิดทุน เฟี้ยมยก'!E36</f>
        <v>13913.572</v>
      </c>
      <c r="D23" s="18">
        <f>'คิดทุน เฟี้ยมยก'!E52</f>
        <v>45200</v>
      </c>
      <c r="E23" s="19">
        <f>'คิดทุน เฟี้ยมยก'!E44</f>
        <v>53700</v>
      </c>
      <c r="F23" s="20">
        <f>IFERROR('คิดทุน เฟี้ยมยก'!B68,"")</f>
        <v>0.40218581005586596</v>
      </c>
    </row>
    <row r="24" spans="1:6">
      <c r="A24" s="15" t="s">
        <v>2024</v>
      </c>
      <c r="B24" s="477"/>
      <c r="C24" s="480"/>
      <c r="D24" s="480"/>
      <c r="E24" s="480"/>
      <c r="F24" s="481"/>
    </row>
    <row r="25" spans="1:6">
      <c r="A25" s="16" t="s">
        <v>369</v>
      </c>
      <c r="B25" s="365" t="str">
        <f>TEXT('คิดทุน ติดตาย'!B2,"0")&amp;" x "&amp;TEXT('คิดทุน ติดตาย'!B3,"0")&amp;" · "&amp;TEXT('คิดทุน ติดตาย'!B4,"0")&amp;" บาน"</f>
        <v>150 x 200 · 1 บาน</v>
      </c>
      <c r="C25" s="17">
        <f>'คิดทุน ติดตาย'!D20</f>
        <v>4302</v>
      </c>
      <c r="D25" s="18">
        <f>'คิดทุน ติดตาย'!D28</f>
        <v>11100</v>
      </c>
      <c r="E25" s="19">
        <f>'คิดทุน ติดตาย'!D29</f>
        <v>14800</v>
      </c>
      <c r="F25" s="20">
        <f>IFERROR('คิดทุน ติดตาย'!B58,"")</f>
        <v>0.30898648648648647</v>
      </c>
    </row>
    <row r="26" spans="1:6">
      <c r="A26" s="16" t="s">
        <v>460</v>
      </c>
      <c r="B26" s="365" t="str">
        <f>TEXT('คิดทุน ตายดัดโค้ง'!B2,"0")&amp;" x "&amp;TEXT('คิดทุน ตายดัดโค้ง'!B3,"0")</f>
        <v>100 x 50</v>
      </c>
      <c r="C26" s="17">
        <f>'คิดทุน ตายดัดโค้ง'!D15</f>
        <v>2800</v>
      </c>
      <c r="D26" s="18">
        <f>'คิดทุน ตายดัดโค้ง'!D23</f>
        <v>8500</v>
      </c>
      <c r="E26" s="19">
        <f>'คิดทุน ตายดัดโค้ง'!D24</f>
        <v>15400</v>
      </c>
      <c r="F26" s="20">
        <f>IFERROR('คิดทุน ตายดัดโค้ง'!B53,"")</f>
        <v>0.35396103896103898</v>
      </c>
    </row>
    <row r="27" spans="1:6">
      <c r="A27" s="16" t="s">
        <v>461</v>
      </c>
      <c r="B27" s="365" t="str">
        <f>TEXT('คิดทุน เปิดดัดโค้ง'!B2,"0")&amp;" x "&amp;TEXT('คิดทุน เปิดดัดโค้ง'!B3,"0")&amp;" · "&amp;TEXT('คิดทุน เปิดดัดโค้ง'!B4,"0")&amp;" บาน"</f>
        <v>90 x 240 · 1 บาน</v>
      </c>
      <c r="C27" s="17">
        <f>'คิดทุน เปิดดัดโค้ง'!D20</f>
        <v>18426</v>
      </c>
      <c r="D27" s="18">
        <f>'คิดทุน เปิดดัดโค้ง'!D25</f>
        <v>40300</v>
      </c>
      <c r="E27" s="19">
        <f>'คิดทุน เปิดดัดโค้ง'!D26</f>
        <v>44100</v>
      </c>
      <c r="F27" s="20">
        <f>IFERROR('คิดทุน เปิดดัดโค้ง'!B55,"")</f>
        <v>0.35140589569160996</v>
      </c>
    </row>
    <row r="28" spans="1:6">
      <c r="A28" s="15" t="s">
        <v>2025</v>
      </c>
      <c r="B28" s="477"/>
      <c r="C28" s="480"/>
      <c r="D28" s="480"/>
      <c r="E28" s="480"/>
      <c r="F28" s="481"/>
    </row>
    <row r="29" spans="1:6">
      <c r="A29" s="16" t="s">
        <v>1738</v>
      </c>
      <c r="B29" s="365" t="str">
        <f>TEXT('คิดทุน ระแนง'!B8,"0")&amp;" x "&amp;TEXT('คิดทุน ระแนง'!B9,"0")</f>
        <v>200 x 240</v>
      </c>
      <c r="C29" s="17">
        <f>'คิดทุน ระแนง'!D20</f>
        <v>28293.4</v>
      </c>
      <c r="D29" s="18">
        <f>'คิดทุน ระแนง'!D23</f>
        <v>67900</v>
      </c>
      <c r="E29" s="19">
        <f>'คิดทุน ระแนง'!D23</f>
        <v>67900</v>
      </c>
      <c r="F29" s="20">
        <f>IFERROR('คิดทุน ระแนง'!B47,"")</f>
        <v>0.3525419734904271</v>
      </c>
    </row>
    <row r="30" spans="1:6">
      <c r="A30" s="16" t="s">
        <v>665</v>
      </c>
      <c r="B30" s="365" t="str">
        <f>TEXT('คิดทุน ระแนงสลับ'!B9,"0")&amp;" x "&amp;TEXT('คิดทุน ระแนงสลับ'!B10,"0")</f>
        <v>400 x 200</v>
      </c>
      <c r="C30" s="17">
        <f>'คิดทุน ระแนงสลับ'!D31</f>
        <v>13130</v>
      </c>
      <c r="D30" s="18">
        <f>'คิดทุน ระแนงสลับ'!D34</f>
        <v>30400</v>
      </c>
      <c r="E30" s="19">
        <f>'คิดทุน ระแนงสลับ'!D35</f>
        <v>37900</v>
      </c>
      <c r="F30" s="20">
        <f>IFERROR('คิดทุน ระแนงสลับ'!B222,"")</f>
        <v>0.25065963060686014</v>
      </c>
    </row>
    <row r="31" spans="1:6">
      <c r="A31" s="16" t="s">
        <v>663</v>
      </c>
      <c r="B31" s="365" t="str">
        <f>TEXT('คิดทุน ประตูรั้ว'!B7,"0")&amp;" x "&amp;TEXT('คิดทุน ประตูรั้ว'!B8,"0")</f>
        <v>350 x 180</v>
      </c>
      <c r="C31" s="17">
        <f>('คิดทุน ประตูรั้ว'!D36-'คิดทุน ประตูรั้ว'!D34-'คิดทุน ประตูรั้ว'!D35)</f>
        <v>34908</v>
      </c>
      <c r="D31" s="18">
        <f>'คิดทุน ประตูรั้ว'!D48</f>
        <v>104400</v>
      </c>
      <c r="E31" s="19">
        <f>'คิดทุน ประตูรั้ว'!D48</f>
        <v>104400</v>
      </c>
      <c r="F31" s="20">
        <f>IFERROR('คิดทุน ประตูรั้ว'!B72,"")</f>
        <v>0.30146551724137932</v>
      </c>
    </row>
    <row r="32" spans="1:6">
      <c r="A32" s="26" t="s">
        <v>534</v>
      </c>
      <c r="B32" s="478" t="str">
        <f>TEXT('คิดทุน บานเกล็ด'!B2,"0")&amp;" x "&amp;TEXT('คิดทุน บานเกล็ด'!B3,"0")&amp;" · "&amp;TEXT('คิดทุน บานเกล็ด'!B4,"0")&amp;" บาน"</f>
        <v>300 x 150 · 2 บาน</v>
      </c>
      <c r="C32" s="42">
        <f>'คิดทุน บานเกล็ด'!D30</f>
        <v>11015.4</v>
      </c>
      <c r="D32" s="42">
        <f>'คิดทุน บานเกล็ด'!D34</f>
        <v>24100</v>
      </c>
      <c r="E32" s="42">
        <f>'คิดทุน บานเกล็ด'!D35</f>
        <v>27100</v>
      </c>
      <c r="F32" s="95">
        <f>IFERROR('คิดทุน บานเกล็ด'!B60,"")</f>
        <v>0.30552029520295199</v>
      </c>
    </row>
    <row r="33" spans="1:6">
      <c r="A33" s="26" t="s">
        <v>537</v>
      </c>
      <c r="B33" s="478" t="str">
        <f>TEXT('คิดทุน ระแนงหมุน'!B8,"0")&amp;" x "&amp;TEXT('คิดทุน ระแนงหมุน'!B9,"0")</f>
        <v>200 x 240</v>
      </c>
      <c r="C33" s="42">
        <f>'คิดทุน ระแนงหมุน'!D23</f>
        <v>41511.450000000004</v>
      </c>
      <c r="D33" s="42">
        <f>'คิดทุน ระแนงหมุน'!D25</f>
        <v>80100</v>
      </c>
      <c r="E33" s="42">
        <f>'คิดทุน ระแนงหมุน'!D25</f>
        <v>80100</v>
      </c>
      <c r="F33" s="482">
        <f>IFERROR('คิดทุน ระแนงหมุน'!B50,"")</f>
        <v>0.25098064918851432</v>
      </c>
    </row>
    <row r="34" spans="1:6">
      <c r="A34" s="21" t="s">
        <v>48</v>
      </c>
      <c r="B34" s="479"/>
      <c r="C34" s="212"/>
      <c r="D34" s="212"/>
      <c r="E34" s="212"/>
      <c r="F34" s="482"/>
    </row>
    <row r="35" spans="1:6">
      <c r="A35" s="26" t="s">
        <v>2026</v>
      </c>
      <c r="B35" s="478" t="str">
        <f>TEXT('คิดทุน หลังคา (รวม)'!B9,"0")&amp;" x "&amp;TEXT('คิดทุน หลังคา (รวม)'!B10,"0")</f>
        <v>1000 x 200</v>
      </c>
      <c r="C35" s="42">
        <f>'คิดทุน หลังคา (รวม)'!D17</f>
        <v>114752.66666666666</v>
      </c>
      <c r="D35" s="42">
        <f>'คิดทุน หลังคา (รวม)'!D20</f>
        <v>296900</v>
      </c>
      <c r="E35" s="42">
        <f>'คิดทุน หลังคา (รวม)'!D20</f>
        <v>296900</v>
      </c>
      <c r="F35" s="210">
        <f>IFERROR('คิดทุน หลังคา (รวม)'!B65,"")</f>
        <v>0.26093409677781526</v>
      </c>
    </row>
  </sheetData>
  <mergeCells count="1">
    <mergeCell ref="A1:F1"/>
  </mergeCells>
  <hyperlinks>
    <hyperlink ref="H1" location="'สารบัญ'!A1" display="🏠 สารบัญ" xr:uid="{00000000-0004-0000-2900-000000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H28"/>
  <sheetViews>
    <sheetView workbookViewId="0">
      <pane ySplit="2" topLeftCell="A3" activePane="bottomLeft" state="frozen"/>
      <selection pane="bottomLeft" activeCell="A27" sqref="A27:D27"/>
    </sheetView>
  </sheetViews>
  <sheetFormatPr defaultRowHeight="14.4"/>
  <cols>
    <col min="1" max="1" width="13.77734375" customWidth="1"/>
    <col min="2" max="4" width="10.6640625" customWidth="1"/>
    <col min="7" max="7" width="8.5546875" customWidth="1"/>
  </cols>
  <sheetData>
    <row r="1" spans="1:8" ht="15.6">
      <c r="A1" s="680" t="s">
        <v>2027</v>
      </c>
      <c r="B1" s="650"/>
      <c r="C1" s="650"/>
      <c r="D1" s="650"/>
      <c r="E1" s="243"/>
      <c r="G1" s="293" t="s">
        <v>68</v>
      </c>
      <c r="H1" s="294"/>
    </row>
    <row r="2" spans="1:8">
      <c r="A2" s="96" t="s">
        <v>624</v>
      </c>
      <c r="B2" s="96" t="s">
        <v>711</v>
      </c>
      <c r="C2" s="96" t="s">
        <v>647</v>
      </c>
      <c r="D2" s="96" t="s">
        <v>2028</v>
      </c>
    </row>
    <row r="3" spans="1:8">
      <c r="A3" s="97" t="s">
        <v>444</v>
      </c>
      <c r="B3" s="100">
        <f>'คิดทุน SMS'!D43</f>
        <v>1567.125</v>
      </c>
      <c r="C3" s="100">
        <f>'คิดทุน SMS'!D44</f>
        <v>1760.5</v>
      </c>
      <c r="D3" s="100">
        <f t="shared" ref="D3:D20" si="0">B3+IF(ISNUMBER(C3),C3,0)</f>
        <v>3327.625</v>
      </c>
    </row>
    <row r="4" spans="1:8">
      <c r="A4" s="97" t="s">
        <v>447</v>
      </c>
      <c r="B4" s="100">
        <f>'คิดทุน ยูโร'!D45</f>
        <v>1685.25</v>
      </c>
      <c r="C4" s="100">
        <f>'คิดทุน ยูโร'!D46</f>
        <v>1743</v>
      </c>
      <c r="D4" s="100">
        <f t="shared" si="0"/>
        <v>3428.25</v>
      </c>
    </row>
    <row r="5" spans="1:8">
      <c r="A5" s="97" t="s">
        <v>76</v>
      </c>
      <c r="B5" s="100">
        <f>'คิดทุน SlimLux'!D40</f>
        <v>1155</v>
      </c>
      <c r="C5" s="100">
        <f>'คิดทุน SlimLux'!D41</f>
        <v>2100</v>
      </c>
      <c r="D5" s="100">
        <f t="shared" si="0"/>
        <v>3255</v>
      </c>
    </row>
    <row r="6" spans="1:8">
      <c r="A6" s="97" t="s">
        <v>948</v>
      </c>
      <c r="B6" s="100">
        <f>'คิดทุน E-series'!D36</f>
        <v>1567.125</v>
      </c>
      <c r="C6" s="100">
        <f>'คิดทุน E-series'!D37</f>
        <v>1760.5</v>
      </c>
      <c r="D6" s="100">
        <f t="shared" si="0"/>
        <v>3327.625</v>
      </c>
    </row>
    <row r="7" spans="1:8">
      <c r="A7" s="97" t="s">
        <v>2021</v>
      </c>
      <c r="B7" s="100">
        <f>'คิดทุน บานเปิด'!D38</f>
        <v>885.9375</v>
      </c>
      <c r="C7" s="100">
        <f>'คิดทุน บานเปิด'!D39</f>
        <v>1356.25</v>
      </c>
      <c r="D7" s="100">
        <f t="shared" si="0"/>
        <v>2242.1875</v>
      </c>
    </row>
    <row r="8" spans="1:8">
      <c r="A8" s="97" t="s">
        <v>454</v>
      </c>
      <c r="B8" s="100">
        <f>'คิดทุน กระทุ้ง'!D42</f>
        <v>793.17</v>
      </c>
      <c r="C8" s="100">
        <f>'คิดทุน กระทุ้ง'!D43</f>
        <v>751.03</v>
      </c>
      <c r="D8" s="100">
        <f t="shared" si="0"/>
        <v>1544.1999999999998</v>
      </c>
    </row>
    <row r="9" spans="1:8">
      <c r="A9" s="97" t="s">
        <v>455</v>
      </c>
      <c r="B9" s="100">
        <f>'คิดทุน บานยก'!D40</f>
        <v>2153.15625</v>
      </c>
      <c r="C9" s="100">
        <f>'คิดทุน บานยก'!D41</f>
        <v>1131.59375</v>
      </c>
      <c r="D9" s="100">
        <f t="shared" si="0"/>
        <v>3284.75</v>
      </c>
    </row>
    <row r="10" spans="1:8">
      <c r="A10" s="97" t="s">
        <v>452</v>
      </c>
      <c r="B10" s="100">
        <f>'คิดทุน PC Door'!D50</f>
        <v>1330</v>
      </c>
      <c r="C10" s="100">
        <f>'คิดทุน PC Door'!D51</f>
        <v>1557.5</v>
      </c>
      <c r="D10" s="100">
        <f t="shared" si="0"/>
        <v>2887.5</v>
      </c>
    </row>
    <row r="11" spans="1:8">
      <c r="A11" s="97" t="s">
        <v>77</v>
      </c>
      <c r="B11" s="100">
        <f>'คิดทุน Velora'!D32</f>
        <v>892.5</v>
      </c>
      <c r="C11" s="100">
        <f>'คิดทุน Velora'!D33</f>
        <v>1242.5</v>
      </c>
      <c r="D11" s="100">
        <f t="shared" si="0"/>
        <v>2135</v>
      </c>
    </row>
    <row r="12" spans="1:8">
      <c r="A12" s="97" t="s">
        <v>2023</v>
      </c>
      <c r="B12" s="100">
        <f>'คิดทุน เฟี้ยม'!D64</f>
        <v>1050</v>
      </c>
      <c r="C12" s="100">
        <f>'คิดทุน เฟี้ยม'!D65</f>
        <v>1050</v>
      </c>
      <c r="D12" s="100">
        <f t="shared" si="0"/>
        <v>2100</v>
      </c>
    </row>
    <row r="13" spans="1:8">
      <c r="A13" s="97" t="s">
        <v>458</v>
      </c>
      <c r="B13" s="100">
        <f>'คิดทุน เฟี้ยมยูโร'!E46</f>
        <v>1050</v>
      </c>
      <c r="C13" s="100">
        <f>'คิดทุน เฟี้ยมยูโร'!E47</f>
        <v>1050</v>
      </c>
      <c r="D13" s="100">
        <f t="shared" si="0"/>
        <v>2100</v>
      </c>
    </row>
    <row r="14" spans="1:8">
      <c r="A14" s="97" t="s">
        <v>369</v>
      </c>
      <c r="B14" s="100">
        <f>'คิดทุน ติดตาย'!D26</f>
        <v>982</v>
      </c>
      <c r="C14" s="100">
        <f>'คิดทุน ติดตาย'!D27</f>
        <v>1528</v>
      </c>
      <c r="D14" s="100">
        <f t="shared" si="0"/>
        <v>2510</v>
      </c>
    </row>
    <row r="15" spans="1:8">
      <c r="A15" s="97" t="s">
        <v>460</v>
      </c>
      <c r="B15" s="100">
        <f>'คิดทุน ตายดัดโค้ง'!D21</f>
        <v>1076</v>
      </c>
      <c r="C15" s="100">
        <f>'คิดทุน ตายดัดโค้ง'!D22</f>
        <v>2519</v>
      </c>
      <c r="D15" s="100">
        <f t="shared" si="0"/>
        <v>3595</v>
      </c>
    </row>
    <row r="16" spans="1:8">
      <c r="A16" s="97" t="s">
        <v>461</v>
      </c>
      <c r="B16" s="100">
        <f>'คิดทุน เปิดดัดโค้ง'!D17</f>
        <v>113</v>
      </c>
      <c r="C16" s="100">
        <f>'คิดทุน เปิดดัดโค้ง'!D18</f>
        <v>1263</v>
      </c>
      <c r="D16" s="100">
        <f t="shared" si="0"/>
        <v>1376</v>
      </c>
    </row>
    <row r="17" spans="1:4">
      <c r="A17" s="97" t="s">
        <v>2029</v>
      </c>
      <c r="B17" s="100">
        <f>'คิดทุน ระแนง'!B10*'คิดทุน ระแนง'!E2</f>
        <v>2111.2000000000003</v>
      </c>
      <c r="C17" s="100">
        <f>'คิดทุน ระแนง'!B12*'คิดทุน ระแนง'!E2</f>
        <v>3987.2000000000003</v>
      </c>
      <c r="D17" s="100">
        <f t="shared" si="0"/>
        <v>6098.4000000000005</v>
      </c>
    </row>
    <row r="18" spans="1:4">
      <c r="A18" s="97" t="s">
        <v>665</v>
      </c>
      <c r="B18" s="100">
        <f>'คิดทุน ระแนงสลับ'!D32</f>
        <v>2436</v>
      </c>
      <c r="C18" s="100">
        <f>'คิดทุน ระแนงสลับ'!D33</f>
        <v>4088</v>
      </c>
      <c r="D18" s="100">
        <f t="shared" si="0"/>
        <v>6524</v>
      </c>
    </row>
    <row r="19" spans="1:4">
      <c r="A19" s="97" t="s">
        <v>663</v>
      </c>
      <c r="B19" s="100">
        <f>'คิดทุน ประตูรั้ว'!D34</f>
        <v>2600</v>
      </c>
      <c r="C19" s="100">
        <f>'คิดทุน ประตูรั้ว'!D35</f>
        <v>11327</v>
      </c>
      <c r="D19" s="100">
        <f t="shared" si="0"/>
        <v>13927</v>
      </c>
    </row>
    <row r="20" spans="1:4">
      <c r="A20" s="110" t="s">
        <v>534</v>
      </c>
      <c r="B20" s="111">
        <f>'คิดทุน บานเกล็ด'!D32</f>
        <v>440</v>
      </c>
      <c r="C20" s="111">
        <f>'คิดทุน บานเกล็ด'!D33</f>
        <v>1111</v>
      </c>
      <c r="D20" s="111">
        <f t="shared" si="0"/>
        <v>1551</v>
      </c>
    </row>
    <row r="21" spans="1:4">
      <c r="A21" s="21" t="s">
        <v>2026</v>
      </c>
      <c r="B21" s="94">
        <f>'คิดทุน หลังคา (รวม)'!D48</f>
        <v>7595</v>
      </c>
      <c r="C21" s="94">
        <f>'คิดทุน หลังคา (รวม)'!D49</f>
        <v>13566</v>
      </c>
      <c r="D21" s="94">
        <f t="shared" ref="D21:D27" si="1">B21+IF(ISNUMBER(C21),C21,0)</f>
        <v>21161</v>
      </c>
    </row>
    <row r="22" spans="1:4">
      <c r="A22" s="97" t="s">
        <v>462</v>
      </c>
      <c r="B22" s="100">
        <f>'คิดทุน บานเลื่อนรางบน'!D31</f>
        <v>1202.25</v>
      </c>
      <c r="C22" s="100">
        <f>'คิดทุน บานเลื่อนรางบน'!D32</f>
        <v>2404.5</v>
      </c>
      <c r="D22" s="100">
        <f t="shared" si="1"/>
        <v>3606.75</v>
      </c>
    </row>
    <row r="23" spans="1:4">
      <c r="A23" s="97" t="s">
        <v>659</v>
      </c>
      <c r="B23" s="100">
        <f>'คิดทุน บานระแนงเลื่อน'!D43</f>
        <v>3718.75</v>
      </c>
      <c r="C23" s="100">
        <f>'คิดทุน บานระแนงเลื่อน'!D44</f>
        <v>2012.5</v>
      </c>
      <c r="D23" s="100">
        <f t="shared" si="1"/>
        <v>5731.25</v>
      </c>
    </row>
    <row r="24" spans="1:4">
      <c r="A24" s="97" t="s">
        <v>646</v>
      </c>
      <c r="B24" s="100">
        <f>'คิดทุน บานหมุน'!D36</f>
        <v>1156.3125</v>
      </c>
      <c r="C24" s="100">
        <f>'คิดทุน บานหมุน'!D37</f>
        <v>2698.0625</v>
      </c>
      <c r="D24" s="100">
        <f t="shared" si="1"/>
        <v>3854.375</v>
      </c>
    </row>
    <row r="25" spans="1:4">
      <c r="A25" s="97" t="s">
        <v>658</v>
      </c>
      <c r="B25" s="100">
        <f>'คิดทุน บานโซลิด'!D36</f>
        <v>1517.25</v>
      </c>
      <c r="C25" s="100">
        <f>'คิดทุน บานโซลิด'!D37</f>
        <v>1345.75</v>
      </c>
      <c r="D25" s="100">
        <f t="shared" si="1"/>
        <v>2863</v>
      </c>
    </row>
    <row r="26" spans="1:4">
      <c r="A26" s="97" t="s">
        <v>3041</v>
      </c>
      <c r="B26" s="100">
        <f>'คิดทุน เฟี้ยมยก'!E42</f>
        <v>3214.75</v>
      </c>
      <c r="C26" s="100">
        <f>'คิดทุน เฟี้ยมยก'!E43</f>
        <v>2582.3000000000002</v>
      </c>
      <c r="D26" s="100">
        <f t="shared" si="1"/>
        <v>5797.05</v>
      </c>
    </row>
    <row r="27" spans="1:4">
      <c r="A27" s="97" t="s">
        <v>662</v>
      </c>
      <c r="B27" s="100">
        <v>0</v>
      </c>
      <c r="C27" s="100">
        <f>'คิดทุน บานเปลือย'!E19</f>
        <v>3675</v>
      </c>
      <c r="D27" s="100">
        <f t="shared" si="1"/>
        <v>3675</v>
      </c>
    </row>
    <row r="28" spans="1:4">
      <c r="A28" s="21" t="s">
        <v>2030</v>
      </c>
      <c r="B28" s="94">
        <f>SUM(B3:B27)</f>
        <v>42291.776249999995</v>
      </c>
      <c r="C28" s="94">
        <f>SUM(C3:C27)</f>
        <v>69610.186249999999</v>
      </c>
      <c r="D28" s="212">
        <f>SUM(D3:D27)</f>
        <v>111901.96250000001</v>
      </c>
    </row>
  </sheetData>
  <mergeCells count="1">
    <mergeCell ref="A1:D1"/>
  </mergeCells>
  <hyperlinks>
    <hyperlink ref="G1" location="'สารบัญ'!A1" display="🏠 สารบัญ" xr:uid="{00000000-0004-0000-2A00-000000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030A0"/>
  </sheetPr>
  <dimension ref="A1:H9"/>
  <sheetViews>
    <sheetView workbookViewId="0"/>
  </sheetViews>
  <sheetFormatPr defaultRowHeight="14.4"/>
  <cols>
    <col min="1" max="1" width="46" customWidth="1"/>
    <col min="2" max="2" width="10.6640625" customWidth="1"/>
    <col min="3" max="3" width="18" customWidth="1"/>
    <col min="4" max="4" width="20.109375" customWidth="1"/>
    <col min="5" max="5" width="18" customWidth="1"/>
    <col min="6" max="6" width="13.77734375" customWidth="1"/>
    <col min="7" max="7" width="8.5546875" customWidth="1"/>
  </cols>
  <sheetData>
    <row r="1" spans="1:8" ht="17.399999999999999">
      <c r="A1" s="681" t="s">
        <v>2031</v>
      </c>
      <c r="B1" s="650"/>
      <c r="C1" s="650"/>
      <c r="D1" s="650"/>
      <c r="E1" s="650"/>
      <c r="F1" s="650"/>
      <c r="G1" s="293" t="s">
        <v>68</v>
      </c>
      <c r="H1" s="294"/>
    </row>
    <row r="2" spans="1:8">
      <c r="A2" t="s">
        <v>3125</v>
      </c>
    </row>
    <row r="3" spans="1:8">
      <c r="B3" s="138" t="s">
        <v>469</v>
      </c>
      <c r="C3" s="138" t="s">
        <v>1137</v>
      </c>
      <c r="D3" s="138" t="s">
        <v>2032</v>
      </c>
      <c r="E3" s="138" t="s">
        <v>2033</v>
      </c>
      <c r="F3" s="138" t="s">
        <v>2034</v>
      </c>
    </row>
    <row r="4" spans="1:8">
      <c r="B4" s="166" t="s">
        <v>473</v>
      </c>
      <c r="C4" s="155">
        <f>ฝ้ายิปซัม!F23</f>
        <v>16298</v>
      </c>
      <c r="D4" s="150">
        <f>ฝ้ายิปซัม!F27</f>
        <v>36500</v>
      </c>
      <c r="E4" s="167">
        <f>ฝ้ายิปซัม!F27-ฝ้ายิปซัม!F23</f>
        <v>20202</v>
      </c>
      <c r="F4" s="168">
        <f>ฝ้ายิปซัม!F29</f>
        <v>34500</v>
      </c>
    </row>
    <row r="5" spans="1:8">
      <c r="B5" s="166" t="s">
        <v>489</v>
      </c>
      <c r="C5" s="155">
        <f>งานไฟ!F21</f>
        <v>30733.333333333328</v>
      </c>
      <c r="D5" s="150">
        <f>งานไฟ!F25</f>
        <v>68600</v>
      </c>
      <c r="E5" s="167">
        <f>งานไฟ!F25-งานไฟ!F21</f>
        <v>37866.666666666672</v>
      </c>
      <c r="F5" s="168" t="s">
        <v>7</v>
      </c>
    </row>
    <row r="6" spans="1:8">
      <c r="B6" s="166" t="s">
        <v>501</v>
      </c>
      <c r="C6" s="155">
        <f>สมาร์ทบอร์ด!F22</f>
        <v>26877</v>
      </c>
      <c r="D6" s="150">
        <f>สมาร์ทบอร์ด!F27</f>
        <v>56100</v>
      </c>
      <c r="E6" s="167">
        <f>สมาร์ทบอร์ด!F27-สมาร์ทบอร์ด!F22</f>
        <v>29223</v>
      </c>
      <c r="F6" s="168">
        <f>สมาร์ทบอร์ด!F29</f>
        <v>29160.000000000004</v>
      </c>
    </row>
    <row r="7" spans="1:8">
      <c r="B7" s="166" t="s">
        <v>507</v>
      </c>
      <c r="C7" s="155">
        <f>ไอโซวอล!F20</f>
        <v>26991.25</v>
      </c>
      <c r="D7" s="150">
        <f>ไอโซวอล!F25</f>
        <v>55400</v>
      </c>
      <c r="E7" s="167">
        <f>ไอโซวอล!F25-ไอโซวอล!F20</f>
        <v>28408.75</v>
      </c>
      <c r="F7" s="168">
        <f>ไอโซวอล!F27</f>
        <v>36450.000000000007</v>
      </c>
    </row>
    <row r="8" spans="1:8">
      <c r="B8" s="166" t="s">
        <v>515</v>
      </c>
      <c r="C8" s="155">
        <f>คิดทุนฝ้าไม้เทียม!F19</f>
        <v>18020</v>
      </c>
      <c r="D8" s="150">
        <f>คิดทุนฝ้าไม้เทียม!F20</f>
        <v>40400</v>
      </c>
      <c r="E8" s="167">
        <f>คิดทุนฝ้าไม้เทียม!F19</f>
        <v>18020</v>
      </c>
      <c r="F8" s="169" t="s">
        <v>2035</v>
      </c>
    </row>
    <row r="9" spans="1:8">
      <c r="B9" s="679" t="s">
        <v>2036</v>
      </c>
      <c r="C9" s="650"/>
      <c r="D9" s="650"/>
      <c r="E9" s="650"/>
      <c r="F9" s="650"/>
    </row>
  </sheetData>
  <mergeCells count="2">
    <mergeCell ref="A1:F1"/>
    <mergeCell ref="B9:F9"/>
  </mergeCells>
  <hyperlinks>
    <hyperlink ref="G1" location="'สารบัญ'!A1" display="🏠 สารบัญ" xr:uid="{00000000-0004-0000-2B00-000000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A6A6A6"/>
  </sheetPr>
  <dimension ref="A1:H118"/>
  <sheetViews>
    <sheetView workbookViewId="0"/>
  </sheetViews>
  <sheetFormatPr defaultRowHeight="14.4"/>
  <cols>
    <col min="1" max="1" width="24" customWidth="1"/>
    <col min="2" max="2" width="20.109375" customWidth="1"/>
    <col min="6" max="6" width="13" customWidth="1"/>
    <col min="7" max="7" width="8.5546875" customWidth="1"/>
  </cols>
  <sheetData>
    <row r="1" spans="1:8">
      <c r="A1" s="157" t="s">
        <v>798</v>
      </c>
      <c r="B1" s="157" t="s">
        <v>2002</v>
      </c>
      <c r="C1" s="243"/>
      <c r="G1" s="293" t="s">
        <v>68</v>
      </c>
      <c r="H1" s="294"/>
    </row>
    <row r="2" spans="1:8">
      <c r="A2" s="160" t="s">
        <v>806</v>
      </c>
      <c r="B2" s="160" t="s">
        <v>2003</v>
      </c>
    </row>
    <row r="3" spans="1:8">
      <c r="A3" s="160" t="s">
        <v>806</v>
      </c>
      <c r="B3" s="160" t="s">
        <v>2039</v>
      </c>
    </row>
    <row r="4" spans="1:8">
      <c r="A4" s="160" t="s">
        <v>809</v>
      </c>
      <c r="B4" s="160" t="s">
        <v>2040</v>
      </c>
    </row>
    <row r="5" spans="1:8">
      <c r="A5" s="160" t="s">
        <v>809</v>
      </c>
      <c r="B5" s="160" t="s">
        <v>2041</v>
      </c>
    </row>
    <row r="6" spans="1:8">
      <c r="A6" s="160" t="s">
        <v>809</v>
      </c>
      <c r="B6" s="160" t="s">
        <v>2042</v>
      </c>
    </row>
    <row r="7" spans="1:8">
      <c r="A7" s="160" t="s">
        <v>809</v>
      </c>
      <c r="B7" s="160" t="s">
        <v>1047</v>
      </c>
    </row>
    <row r="8" spans="1:8">
      <c r="A8" s="160" t="s">
        <v>809</v>
      </c>
      <c r="B8" s="160" t="s">
        <v>2043</v>
      </c>
    </row>
    <row r="9" spans="1:8">
      <c r="A9" s="160" t="s">
        <v>809</v>
      </c>
      <c r="B9" s="160" t="s">
        <v>2044</v>
      </c>
    </row>
    <row r="10" spans="1:8">
      <c r="A10" s="160" t="s">
        <v>812</v>
      </c>
      <c r="B10" s="160" t="s">
        <v>2003</v>
      </c>
    </row>
    <row r="11" spans="1:8">
      <c r="A11" s="160" t="s">
        <v>812</v>
      </c>
      <c r="B11" s="160" t="s">
        <v>2045</v>
      </c>
    </row>
    <row r="12" spans="1:8">
      <c r="A12" s="160" t="s">
        <v>815</v>
      </c>
      <c r="B12" s="160" t="s">
        <v>2046</v>
      </c>
    </row>
    <row r="13" spans="1:8">
      <c r="A13" s="160" t="s">
        <v>815</v>
      </c>
      <c r="B13" s="160" t="s">
        <v>2047</v>
      </c>
    </row>
    <row r="14" spans="1:8">
      <c r="A14" s="160" t="s">
        <v>815</v>
      </c>
      <c r="B14" s="160" t="s">
        <v>2048</v>
      </c>
    </row>
    <row r="15" spans="1:8">
      <c r="A15" s="160" t="s">
        <v>815</v>
      </c>
      <c r="B15" s="160" t="s">
        <v>2049</v>
      </c>
    </row>
    <row r="16" spans="1:8">
      <c r="A16" s="160" t="s">
        <v>815</v>
      </c>
      <c r="B16" s="160" t="s">
        <v>2050</v>
      </c>
    </row>
    <row r="17" spans="1:2">
      <c r="A17" s="160" t="s">
        <v>815</v>
      </c>
      <c r="B17" s="160" t="s">
        <v>2051</v>
      </c>
    </row>
    <row r="18" spans="1:2">
      <c r="A18" s="160" t="s">
        <v>815</v>
      </c>
      <c r="B18" s="160" t="s">
        <v>2052</v>
      </c>
    </row>
    <row r="19" spans="1:2">
      <c r="A19" s="160" t="s">
        <v>815</v>
      </c>
      <c r="B19" s="160" t="s">
        <v>2053</v>
      </c>
    </row>
    <row r="20" spans="1:2">
      <c r="A20" s="160" t="s">
        <v>815</v>
      </c>
      <c r="B20" s="160" t="s">
        <v>2054</v>
      </c>
    </row>
    <row r="21" spans="1:2">
      <c r="A21" s="160" t="s">
        <v>815</v>
      </c>
      <c r="B21" s="160" t="s">
        <v>2055</v>
      </c>
    </row>
    <row r="22" spans="1:2">
      <c r="A22" s="160" t="s">
        <v>815</v>
      </c>
      <c r="B22" s="160" t="s">
        <v>2056</v>
      </c>
    </row>
    <row r="23" spans="1:2">
      <c r="A23" s="160" t="s">
        <v>815</v>
      </c>
      <c r="B23" s="160" t="s">
        <v>2057</v>
      </c>
    </row>
    <row r="24" spans="1:2">
      <c r="A24" s="160" t="s">
        <v>815</v>
      </c>
      <c r="B24" s="160" t="s">
        <v>2058</v>
      </c>
    </row>
    <row r="25" spans="1:2">
      <c r="A25" s="160" t="s">
        <v>815</v>
      </c>
      <c r="B25" s="160" t="s">
        <v>2059</v>
      </c>
    </row>
    <row r="26" spans="1:2">
      <c r="A26" s="160" t="s">
        <v>815</v>
      </c>
      <c r="B26" s="160" t="s">
        <v>2060</v>
      </c>
    </row>
    <row r="27" spans="1:2">
      <c r="A27" s="160" t="s">
        <v>818</v>
      </c>
      <c r="B27" s="160" t="s">
        <v>2061</v>
      </c>
    </row>
    <row r="28" spans="1:2">
      <c r="A28" s="160" t="s">
        <v>818</v>
      </c>
      <c r="B28" s="160" t="s">
        <v>2062</v>
      </c>
    </row>
    <row r="29" spans="1:2">
      <c r="A29" s="160" t="s">
        <v>818</v>
      </c>
      <c r="B29" s="160" t="s">
        <v>2063</v>
      </c>
    </row>
    <row r="30" spans="1:2">
      <c r="A30" s="160" t="s">
        <v>818</v>
      </c>
      <c r="B30" s="160" t="s">
        <v>2064</v>
      </c>
    </row>
    <row r="31" spans="1:2">
      <c r="A31" s="160" t="s">
        <v>818</v>
      </c>
      <c r="B31" s="160" t="s">
        <v>2065</v>
      </c>
    </row>
    <row r="32" spans="1:2">
      <c r="A32" s="160" t="s">
        <v>818</v>
      </c>
      <c r="B32" s="160" t="s">
        <v>2066</v>
      </c>
    </row>
    <row r="33" spans="1:2">
      <c r="A33" s="160" t="s">
        <v>818</v>
      </c>
      <c r="B33" s="160" t="s">
        <v>2067</v>
      </c>
    </row>
    <row r="34" spans="1:2">
      <c r="A34" s="160" t="s">
        <v>818</v>
      </c>
      <c r="B34" s="160" t="s">
        <v>2068</v>
      </c>
    </row>
    <row r="35" spans="1:2">
      <c r="A35" s="160" t="s">
        <v>818</v>
      </c>
      <c r="B35" s="160" t="s">
        <v>2069</v>
      </c>
    </row>
    <row r="36" spans="1:2">
      <c r="A36" s="160" t="s">
        <v>818</v>
      </c>
      <c r="B36" s="160" t="s">
        <v>2070</v>
      </c>
    </row>
    <row r="37" spans="1:2">
      <c r="A37" s="160" t="s">
        <v>820</v>
      </c>
      <c r="B37" s="160" t="s">
        <v>2071</v>
      </c>
    </row>
    <row r="38" spans="1:2">
      <c r="A38" s="160" t="s">
        <v>820</v>
      </c>
      <c r="B38" s="160" t="s">
        <v>2072</v>
      </c>
    </row>
    <row r="39" spans="1:2">
      <c r="A39" s="160" t="s">
        <v>820</v>
      </c>
      <c r="B39" s="160" t="s">
        <v>2073</v>
      </c>
    </row>
    <row r="40" spans="1:2">
      <c r="A40" s="160" t="s">
        <v>820</v>
      </c>
      <c r="B40" s="160" t="s">
        <v>2074</v>
      </c>
    </row>
    <row r="41" spans="1:2">
      <c r="A41" s="160" t="s">
        <v>820</v>
      </c>
      <c r="B41" s="160" t="s">
        <v>2075</v>
      </c>
    </row>
    <row r="42" spans="1:2">
      <c r="A42" s="160" t="s">
        <v>820</v>
      </c>
      <c r="B42" s="160" t="s">
        <v>2076</v>
      </c>
    </row>
    <row r="43" spans="1:2">
      <c r="A43" s="160" t="s">
        <v>820</v>
      </c>
      <c r="B43" s="160" t="s">
        <v>2077</v>
      </c>
    </row>
    <row r="44" spans="1:2">
      <c r="A44" s="160" t="s">
        <v>820</v>
      </c>
      <c r="B44" s="160" t="s">
        <v>2078</v>
      </c>
    </row>
    <row r="45" spans="1:2">
      <c r="A45" s="160" t="s">
        <v>820</v>
      </c>
      <c r="B45" s="160" t="s">
        <v>2079</v>
      </c>
    </row>
    <row r="46" spans="1:2">
      <c r="A46" s="160" t="s">
        <v>820</v>
      </c>
      <c r="B46" s="160" t="s">
        <v>2080</v>
      </c>
    </row>
    <row r="47" spans="1:2">
      <c r="A47" s="160" t="s">
        <v>822</v>
      </c>
      <c r="B47" s="160" t="s">
        <v>2081</v>
      </c>
    </row>
    <row r="48" spans="1:2">
      <c r="A48" s="160" t="s">
        <v>822</v>
      </c>
      <c r="B48" s="160" t="s">
        <v>2082</v>
      </c>
    </row>
    <row r="49" spans="1:2">
      <c r="A49" s="160" t="s">
        <v>822</v>
      </c>
      <c r="B49" s="160" t="s">
        <v>2083</v>
      </c>
    </row>
    <row r="50" spans="1:2">
      <c r="A50" s="160" t="s">
        <v>822</v>
      </c>
      <c r="B50" s="160" t="s">
        <v>2084</v>
      </c>
    </row>
    <row r="51" spans="1:2">
      <c r="A51" s="160" t="s">
        <v>822</v>
      </c>
      <c r="B51" s="160" t="s">
        <v>2085</v>
      </c>
    </row>
    <row r="52" spans="1:2">
      <c r="A52" s="160" t="s">
        <v>822</v>
      </c>
      <c r="B52" s="160" t="s">
        <v>2086</v>
      </c>
    </row>
    <row r="53" spans="1:2">
      <c r="A53" s="160" t="s">
        <v>822</v>
      </c>
      <c r="B53" s="160" t="s">
        <v>2087</v>
      </c>
    </row>
    <row r="54" spans="1:2">
      <c r="A54" s="160" t="s">
        <v>822</v>
      </c>
      <c r="B54" s="160" t="s">
        <v>2088</v>
      </c>
    </row>
    <row r="55" spans="1:2">
      <c r="A55" s="160" t="s">
        <v>822</v>
      </c>
      <c r="B55" s="160" t="s">
        <v>2089</v>
      </c>
    </row>
    <row r="56" spans="1:2">
      <c r="A56" s="160" t="s">
        <v>822</v>
      </c>
      <c r="B56" s="160" t="s">
        <v>2090</v>
      </c>
    </row>
    <row r="57" spans="1:2">
      <c r="A57" s="160" t="s">
        <v>824</v>
      </c>
      <c r="B57" s="160" t="s">
        <v>2091</v>
      </c>
    </row>
    <row r="58" spans="1:2">
      <c r="A58" s="160" t="s">
        <v>824</v>
      </c>
      <c r="B58" s="160" t="s">
        <v>2092</v>
      </c>
    </row>
    <row r="59" spans="1:2">
      <c r="A59" s="160" t="s">
        <v>824</v>
      </c>
      <c r="B59" s="160" t="s">
        <v>2093</v>
      </c>
    </row>
    <row r="60" spans="1:2">
      <c r="A60" s="160" t="s">
        <v>824</v>
      </c>
      <c r="B60" s="160" t="s">
        <v>2094</v>
      </c>
    </row>
    <row r="61" spans="1:2">
      <c r="A61" s="160" t="s">
        <v>824</v>
      </c>
      <c r="B61" s="160" t="s">
        <v>2095</v>
      </c>
    </row>
    <row r="62" spans="1:2">
      <c r="A62" s="160" t="s">
        <v>824</v>
      </c>
      <c r="B62" s="160" t="s">
        <v>2096</v>
      </c>
    </row>
    <row r="63" spans="1:2">
      <c r="A63" s="160" t="s">
        <v>824</v>
      </c>
      <c r="B63" s="160" t="s">
        <v>2097</v>
      </c>
    </row>
    <row r="64" spans="1:2">
      <c r="A64" s="160" t="s">
        <v>824</v>
      </c>
      <c r="B64" s="160" t="s">
        <v>2098</v>
      </c>
    </row>
    <row r="65" spans="1:2">
      <c r="A65" s="160" t="s">
        <v>824</v>
      </c>
      <c r="B65" s="160" t="s">
        <v>2099</v>
      </c>
    </row>
    <row r="66" spans="1:2">
      <c r="A66" s="160" t="s">
        <v>824</v>
      </c>
      <c r="B66" s="160" t="s">
        <v>2100</v>
      </c>
    </row>
    <row r="67" spans="1:2">
      <c r="A67" s="160" t="s">
        <v>826</v>
      </c>
      <c r="B67" s="160" t="s">
        <v>2101</v>
      </c>
    </row>
    <row r="68" spans="1:2">
      <c r="A68" s="160" t="s">
        <v>826</v>
      </c>
      <c r="B68" s="160" t="s">
        <v>2102</v>
      </c>
    </row>
    <row r="69" spans="1:2">
      <c r="A69" s="160" t="s">
        <v>826</v>
      </c>
      <c r="B69" s="160" t="s">
        <v>2103</v>
      </c>
    </row>
    <row r="70" spans="1:2">
      <c r="A70" s="160" t="s">
        <v>826</v>
      </c>
      <c r="B70" s="160" t="s">
        <v>2104</v>
      </c>
    </row>
    <row r="71" spans="1:2">
      <c r="A71" s="160" t="s">
        <v>826</v>
      </c>
      <c r="B71" s="160" t="s">
        <v>2105</v>
      </c>
    </row>
    <row r="72" spans="1:2">
      <c r="A72" s="160" t="s">
        <v>826</v>
      </c>
      <c r="B72" s="160" t="s">
        <v>2106</v>
      </c>
    </row>
    <row r="73" spans="1:2">
      <c r="A73" s="160" t="s">
        <v>828</v>
      </c>
      <c r="B73" s="160" t="s">
        <v>2107</v>
      </c>
    </row>
    <row r="74" spans="1:2">
      <c r="A74" s="160" t="s">
        <v>828</v>
      </c>
      <c r="B74" s="160" t="s">
        <v>2108</v>
      </c>
    </row>
    <row r="75" spans="1:2">
      <c r="A75" s="160" t="s">
        <v>828</v>
      </c>
      <c r="B75" s="160" t="s">
        <v>2109</v>
      </c>
    </row>
    <row r="76" spans="1:2">
      <c r="A76" s="160" t="s">
        <v>828</v>
      </c>
      <c r="B76" s="160" t="s">
        <v>2110</v>
      </c>
    </row>
    <row r="77" spans="1:2">
      <c r="A77" s="160" t="s">
        <v>828</v>
      </c>
      <c r="B77" s="160" t="s">
        <v>2111</v>
      </c>
    </row>
    <row r="78" spans="1:2">
      <c r="A78" s="160" t="s">
        <v>828</v>
      </c>
      <c r="B78" s="160" t="s">
        <v>2112</v>
      </c>
    </row>
    <row r="79" spans="1:2">
      <c r="A79" s="160" t="s">
        <v>830</v>
      </c>
      <c r="B79" s="160" t="s">
        <v>2113</v>
      </c>
    </row>
    <row r="80" spans="1:2">
      <c r="A80" s="160" t="s">
        <v>830</v>
      </c>
      <c r="B80" s="160" t="s">
        <v>2114</v>
      </c>
    </row>
    <row r="81" spans="1:2">
      <c r="A81" s="160" t="s">
        <v>830</v>
      </c>
      <c r="B81" s="160" t="s">
        <v>2115</v>
      </c>
    </row>
    <row r="82" spans="1:2">
      <c r="A82" s="160" t="s">
        <v>832</v>
      </c>
      <c r="B82" s="160" t="s">
        <v>2113</v>
      </c>
    </row>
    <row r="83" spans="1:2">
      <c r="A83" s="160" t="s">
        <v>832</v>
      </c>
      <c r="B83" s="160" t="s">
        <v>2114</v>
      </c>
    </row>
    <row r="84" spans="1:2">
      <c r="A84" s="160" t="s">
        <v>832</v>
      </c>
      <c r="B84" s="160" t="s">
        <v>2115</v>
      </c>
    </row>
    <row r="85" spans="1:2">
      <c r="A85" s="160" t="s">
        <v>834</v>
      </c>
      <c r="B85" s="160" t="s">
        <v>2113</v>
      </c>
    </row>
    <row r="86" spans="1:2">
      <c r="A86" s="160" t="s">
        <v>834</v>
      </c>
      <c r="B86" s="160" t="s">
        <v>2114</v>
      </c>
    </row>
    <row r="87" spans="1:2">
      <c r="A87" s="160" t="s">
        <v>834</v>
      </c>
      <c r="B87" s="160" t="s">
        <v>2115</v>
      </c>
    </row>
    <row r="88" spans="1:2">
      <c r="A88" s="160" t="s">
        <v>836</v>
      </c>
      <c r="B88" s="160" t="s">
        <v>2116</v>
      </c>
    </row>
    <row r="89" spans="1:2">
      <c r="A89" s="160" t="s">
        <v>836</v>
      </c>
      <c r="B89" s="160" t="s">
        <v>2114</v>
      </c>
    </row>
    <row r="90" spans="1:2">
      <c r="A90" s="160" t="s">
        <v>836</v>
      </c>
      <c r="B90" s="160" t="s">
        <v>2115</v>
      </c>
    </row>
    <row r="91" spans="1:2">
      <c r="A91" s="160" t="s">
        <v>838</v>
      </c>
      <c r="B91" s="160" t="s">
        <v>2116</v>
      </c>
    </row>
    <row r="92" spans="1:2">
      <c r="A92" s="160" t="s">
        <v>838</v>
      </c>
      <c r="B92" s="160" t="s">
        <v>2114</v>
      </c>
    </row>
    <row r="93" spans="1:2">
      <c r="A93" s="160" t="s">
        <v>838</v>
      </c>
      <c r="B93" s="160" t="s">
        <v>2115</v>
      </c>
    </row>
    <row r="94" spans="1:2">
      <c r="A94" s="160" t="s">
        <v>840</v>
      </c>
      <c r="B94" s="160" t="s">
        <v>2116</v>
      </c>
    </row>
    <row r="95" spans="1:2">
      <c r="A95" s="160" t="s">
        <v>840</v>
      </c>
      <c r="B95" s="160" t="s">
        <v>2114</v>
      </c>
    </row>
    <row r="96" spans="1:2">
      <c r="A96" s="160" t="s">
        <v>840</v>
      </c>
      <c r="B96" s="160" t="s">
        <v>2115</v>
      </c>
    </row>
    <row r="97" spans="1:2">
      <c r="A97" s="160" t="s">
        <v>842</v>
      </c>
      <c r="B97" s="160" t="s">
        <v>2116</v>
      </c>
    </row>
    <row r="98" spans="1:2">
      <c r="A98" s="160" t="s">
        <v>842</v>
      </c>
      <c r="B98" s="160" t="s">
        <v>2114</v>
      </c>
    </row>
    <row r="99" spans="1:2">
      <c r="A99" s="160" t="s">
        <v>842</v>
      </c>
      <c r="B99" s="160" t="s">
        <v>2115</v>
      </c>
    </row>
    <row r="100" spans="1:2">
      <c r="A100" s="160" t="s">
        <v>844</v>
      </c>
      <c r="B100" s="160" t="s">
        <v>2116</v>
      </c>
    </row>
    <row r="101" spans="1:2">
      <c r="A101" s="160" t="s">
        <v>844</v>
      </c>
      <c r="B101" s="160" t="s">
        <v>2114</v>
      </c>
    </row>
    <row r="102" spans="1:2">
      <c r="A102" s="160" t="s">
        <v>844</v>
      </c>
      <c r="B102" s="160" t="s">
        <v>2115</v>
      </c>
    </row>
    <row r="103" spans="1:2">
      <c r="A103" s="160" t="s">
        <v>846</v>
      </c>
      <c r="B103" s="160" t="s">
        <v>2116</v>
      </c>
    </row>
    <row r="104" spans="1:2">
      <c r="A104" s="160" t="s">
        <v>846</v>
      </c>
      <c r="B104" s="160" t="s">
        <v>2114</v>
      </c>
    </row>
    <row r="105" spans="1:2">
      <c r="A105" s="160" t="s">
        <v>846</v>
      </c>
      <c r="B105" s="160" t="s">
        <v>2115</v>
      </c>
    </row>
    <row r="106" spans="1:2">
      <c r="A106" s="160" t="s">
        <v>848</v>
      </c>
      <c r="B106" s="160" t="s">
        <v>2116</v>
      </c>
    </row>
    <row r="107" spans="1:2">
      <c r="A107" s="160" t="s">
        <v>848</v>
      </c>
      <c r="B107" s="160" t="s">
        <v>2114</v>
      </c>
    </row>
    <row r="108" spans="1:2">
      <c r="A108" s="160" t="s">
        <v>848</v>
      </c>
      <c r="B108" s="160" t="s">
        <v>2115</v>
      </c>
    </row>
    <row r="109" spans="1:2">
      <c r="A109" s="160" t="s">
        <v>850</v>
      </c>
      <c r="B109" s="160" t="s">
        <v>2116</v>
      </c>
    </row>
    <row r="110" spans="1:2">
      <c r="A110" s="160" t="s">
        <v>850</v>
      </c>
      <c r="B110" s="160" t="s">
        <v>2114</v>
      </c>
    </row>
    <row r="111" spans="1:2">
      <c r="A111" s="160" t="s">
        <v>850</v>
      </c>
      <c r="B111" s="160" t="s">
        <v>2115</v>
      </c>
    </row>
    <row r="112" spans="1:2">
      <c r="A112" s="160" t="s">
        <v>852</v>
      </c>
      <c r="B112" s="160" t="s">
        <v>2116</v>
      </c>
    </row>
    <row r="113" spans="1:2">
      <c r="A113" s="160" t="s">
        <v>852</v>
      </c>
      <c r="B113" s="160" t="s">
        <v>2114</v>
      </c>
    </row>
    <row r="114" spans="1:2">
      <c r="A114" s="160" t="s">
        <v>852</v>
      </c>
      <c r="B114" s="160" t="s">
        <v>2115</v>
      </c>
    </row>
    <row r="115" spans="1:2">
      <c r="A115" s="160" t="s">
        <v>854</v>
      </c>
      <c r="B115" s="160" t="s">
        <v>2116</v>
      </c>
    </row>
    <row r="116" spans="1:2">
      <c r="A116" s="160" t="s">
        <v>854</v>
      </c>
      <c r="B116" s="160" t="s">
        <v>2114</v>
      </c>
    </row>
    <row r="117" spans="1:2">
      <c r="A117" s="160" t="s">
        <v>856</v>
      </c>
      <c r="B117" s="160" t="s">
        <v>2116</v>
      </c>
    </row>
    <row r="118" spans="1:2">
      <c r="A118" s="160" t="s">
        <v>856</v>
      </c>
      <c r="B118" s="160" t="s">
        <v>2114</v>
      </c>
    </row>
  </sheetData>
  <hyperlinks>
    <hyperlink ref="G1" location="'สารบัญ'!A1" display="🏠 สารบัญ" xr:uid="{00000000-0004-0000-3900-000000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A6A6A6"/>
  </sheetPr>
  <dimension ref="A1:L14"/>
  <sheetViews>
    <sheetView workbookViewId="0"/>
  </sheetViews>
  <sheetFormatPr defaultRowHeight="14.4"/>
  <cols>
    <col min="1" max="1" width="15.88671875" customWidth="1"/>
    <col min="2" max="2" width="24" customWidth="1"/>
    <col min="7" max="7" width="8.5546875" customWidth="1"/>
    <col min="8" max="8" width="13.77734375" customWidth="1"/>
    <col min="9" max="9" width="8.5546875" customWidth="1"/>
    <col min="10" max="10" width="7.44140625" customWidth="1"/>
    <col min="11" max="11" width="8.5546875" customWidth="1"/>
    <col min="12" max="12" width="7.44140625" customWidth="1"/>
  </cols>
  <sheetData>
    <row r="1" spans="1:12" ht="16.8">
      <c r="A1" s="682" t="s">
        <v>2117</v>
      </c>
      <c r="B1" s="650"/>
      <c r="C1" s="650"/>
      <c r="D1" s="243"/>
      <c r="G1" s="293" t="s">
        <v>68</v>
      </c>
      <c r="H1" s="298" t="s">
        <v>672</v>
      </c>
      <c r="I1" s="176" t="s">
        <v>2118</v>
      </c>
      <c r="J1" s="176" t="s">
        <v>2119</v>
      </c>
      <c r="K1" s="176" t="s">
        <v>2120</v>
      </c>
      <c r="L1" s="176" t="s">
        <v>2121</v>
      </c>
    </row>
    <row r="2" spans="1:12">
      <c r="H2" s="176" t="s">
        <v>2122</v>
      </c>
      <c r="I2" s="176">
        <v>250</v>
      </c>
      <c r="J2" s="176">
        <v>620</v>
      </c>
      <c r="K2" s="176">
        <v>2800</v>
      </c>
      <c r="L2" s="176">
        <v>6000</v>
      </c>
    </row>
    <row r="3" spans="1:12">
      <c r="A3" s="684"/>
      <c r="B3" s="650"/>
      <c r="C3" s="650"/>
      <c r="H3" s="176" t="s">
        <v>2123</v>
      </c>
      <c r="I3" s="176">
        <v>0</v>
      </c>
      <c r="J3" s="176">
        <v>0</v>
      </c>
      <c r="K3" s="176">
        <v>2743</v>
      </c>
      <c r="L3" s="176">
        <v>3658</v>
      </c>
    </row>
    <row r="4" spans="1:12">
      <c r="A4" s="177"/>
      <c r="B4" s="618">
        <v>1000</v>
      </c>
      <c r="H4" s="176" t="s">
        <v>2124</v>
      </c>
      <c r="I4" s="176">
        <v>0</v>
      </c>
      <c r="J4" s="176">
        <v>0</v>
      </c>
      <c r="K4" s="176">
        <v>2667</v>
      </c>
      <c r="L4" s="176">
        <v>3658</v>
      </c>
    </row>
    <row r="5" spans="1:12">
      <c r="A5" s="177"/>
      <c r="B5" s="618">
        <v>2000</v>
      </c>
      <c r="H5" s="176" t="s">
        <v>2125</v>
      </c>
      <c r="I5" s="176">
        <v>0</v>
      </c>
      <c r="J5" s="176">
        <v>0</v>
      </c>
      <c r="K5" s="176">
        <v>99999</v>
      </c>
      <c r="L5" s="176">
        <v>99999</v>
      </c>
    </row>
    <row r="6" spans="1:12">
      <c r="A6" s="177"/>
      <c r="B6" s="618" t="s">
        <v>2122</v>
      </c>
    </row>
    <row r="8" spans="1:12">
      <c r="A8" s="178" t="s">
        <v>2126</v>
      </c>
      <c r="B8">
        <f>MIN(B4,B5)</f>
        <v>1000</v>
      </c>
    </row>
    <row r="9" spans="1:12">
      <c r="A9" s="178" t="s">
        <v>2127</v>
      </c>
      <c r="B9">
        <f>MAX(B4,B5)</f>
        <v>2000</v>
      </c>
    </row>
    <row r="10" spans="1:12">
      <c r="A10" s="178" t="s">
        <v>2128</v>
      </c>
      <c r="B10" t="str">
        <f>VLOOKUP(B6,$H$2:$L$5,2,0)&amp;"×"&amp;VLOOKUP(B6,$H$2:$L$5,3,0)&amp;" ถึง "&amp;VLOOKUP(B6,$H$2:$L$5,4,0)&amp;"×"&amp;VLOOKUP(B6,$H$2:$L$5,5,0)&amp;" มม."</f>
        <v>250×620 ถึง 2800×6000 มม.</v>
      </c>
    </row>
    <row r="12" spans="1:12" ht="15.6">
      <c r="A12" s="99" t="s">
        <v>2129</v>
      </c>
      <c r="B12" s="680" t="str">
        <f>IF(OR(B4="",B5=""),"กรอกขนาด",IF(AND(B8&gt;=VLOOKUP(B6,$H$2:$L$5,2,0),B9&gt;=VLOOKUP(B6,$H$2:$L$5,3,0),B8&lt;=VLOOKUP(B6,$H$2:$L$5,4,0),B9&lt;=VLOOKUP(B6,$H$2:$L$5,5,0)),"✅ ผลิตได้","❌ ผลิตไม่ได้: "&amp;IF(B8&lt;VLOOKUP(B6,$H$2:$L$5,2,0),"ด้านสั้นเล็กกว่า "&amp;VLOOKUP(B6,$H$2:$L$5,2,0)&amp;"มม. ","")&amp;IF(B9&lt;VLOOKUP(B6,$H$2:$L$5,3,0),"ด้านยาวสั้นกว่า "&amp;VLOOKUP(B6,$H$2:$L$5,3,0)&amp;"มม. ","")&amp;IF(B8&gt;VLOOKUP(B6,$H$2:$L$5,4,0),"ด้านสั้นเกิน "&amp;VLOOKUP(B6,$H$2:$L$5,4,0)&amp;"มม. ","")&amp;IF(B9&gt;VLOOKUP(B6,$H$2:$L$5,5,0),"ด้านยาวเกิน "&amp;VLOOKUP(B6,$H$2:$L$5,5,0)&amp;"มม. ","")))</f>
        <v>✅ ผลิตได้</v>
      </c>
      <c r="C12" s="650"/>
      <c r="D12" s="650"/>
      <c r="E12" s="650"/>
    </row>
    <row r="14" spans="1:12">
      <c r="A14" s="683" t="s">
        <v>2130</v>
      </c>
      <c r="B14" s="650"/>
      <c r="C14" s="650"/>
      <c r="D14" s="650"/>
      <c r="E14" s="650"/>
      <c r="F14" s="650"/>
    </row>
  </sheetData>
  <mergeCells count="4">
    <mergeCell ref="A1:C1"/>
    <mergeCell ref="A14:F14"/>
    <mergeCell ref="B12:E12"/>
    <mergeCell ref="A3:C3"/>
  </mergeCells>
  <dataValidations count="1">
    <dataValidation type="list" sqref="B6" xr:uid="{00000000-0002-0000-3A00-000000000000}">
      <formula1>$H$2:$H$5</formula1>
    </dataValidation>
  </dataValidations>
  <hyperlinks>
    <hyperlink ref="G1" location="'สารบัญ'!A1" display="🏠 สารบัญ" xr:uid="{00000000-0004-0000-3A00-000000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D7D31"/>
  </sheetPr>
  <dimension ref="A1:H47"/>
  <sheetViews>
    <sheetView workbookViewId="0"/>
  </sheetViews>
  <sheetFormatPr defaultRowHeight="14.4"/>
  <cols>
    <col min="1" max="1" width="24" customWidth="1"/>
    <col min="2" max="2" width="12.6640625" customWidth="1"/>
    <col min="3" max="3" width="42.6640625" customWidth="1"/>
    <col min="4" max="4" width="9.5546875" customWidth="1"/>
    <col min="5" max="5" width="7.44140625" customWidth="1"/>
    <col min="7" max="7" width="8.5546875" customWidth="1"/>
  </cols>
  <sheetData>
    <row r="1" spans="1:8">
      <c r="A1" s="170" t="s">
        <v>2131</v>
      </c>
      <c r="B1" s="243"/>
      <c r="E1" s="26">
        <f>IF(B2="โพลีตัน",122,IF(OR(B2="ชินโคร์ HC",B2="ชินโคร์ Sup",B2="ชินโคร์ Shade",B2="ชินโคร์ Prime"),138,100))</f>
        <v>100</v>
      </c>
      <c r="G1" s="293" t="s">
        <v>68</v>
      </c>
      <c r="H1" s="294"/>
    </row>
    <row r="2" spans="1:8">
      <c r="A2" s="26" t="s">
        <v>1833</v>
      </c>
      <c r="B2" s="171" t="str">
        <f>'คิดทุน หลังคา (รวม)'!B4</f>
        <v>ไวนิล</v>
      </c>
      <c r="E2" s="26">
        <f>CEILING(B3/E1,1)+1</f>
        <v>9</v>
      </c>
    </row>
    <row r="3" spans="1:8">
      <c r="A3" s="26" t="s">
        <v>1569</v>
      </c>
      <c r="B3" s="171">
        <f>IF('คิดทุน หลังคา (รวม)'!B7="ใช่",MAX(0,'คิดทุน หลังคา (รวม)'!B9-'คิดทุน หลังคา (รวม)'!B11),'คิดทุน หลังคา (รวม)'!B9)</f>
        <v>800</v>
      </c>
      <c r="E3" s="26">
        <f>(B3/100)*(B4/100)</f>
        <v>16</v>
      </c>
    </row>
    <row r="4" spans="1:8">
      <c r="A4" s="26" t="s">
        <v>2132</v>
      </c>
      <c r="B4" s="171">
        <f>'คิดทุน หลังคา (รวม)'!B10</f>
        <v>200</v>
      </c>
      <c r="E4" s="26">
        <f>E2*ROUNDUP(B4/600,0)</f>
        <v>9</v>
      </c>
    </row>
    <row r="5" spans="1:8">
      <c r="A5" s="26" t="s">
        <v>1835</v>
      </c>
      <c r="B5" s="171" t="str">
        <f>'คิดทุน หลังคา (รวม)'!B5</f>
        <v>แปเดี่ยว</v>
      </c>
      <c r="E5" s="26">
        <f>CEILING(B4/50,1)+1</f>
        <v>5</v>
      </c>
    </row>
    <row r="6" spans="1:8">
      <c r="A6" s="177" t="s">
        <v>1838</v>
      </c>
      <c r="B6" s="179" t="str">
        <f>'คิดทุน หลังคา (รวม)'!B6</f>
        <v>ยื่นปลาย</v>
      </c>
      <c r="E6" s="26">
        <f>E5*ROUNDUP(B3/600,0)</f>
        <v>10</v>
      </c>
    </row>
    <row r="7" spans="1:8">
      <c r="E7" s="26">
        <f>IF(B4&lt;=100,1,IF(B4&lt;=120,1.2,IF(B4&lt;=150,1.5,IF(B4&lt;=200,2,IF(B4&lt;=250,2.5,IF(B4&lt;=300,3,IF(B4&lt;=400,4,IF(B4&lt;=500,5,6))))))))</f>
        <v>2</v>
      </c>
    </row>
    <row r="8" spans="1:8">
      <c r="A8" s="172" t="s">
        <v>1241</v>
      </c>
      <c r="B8" s="566" t="s">
        <v>1124</v>
      </c>
      <c r="C8" s="566" t="s">
        <v>1125</v>
      </c>
      <c r="D8" s="172" t="s">
        <v>1242</v>
      </c>
      <c r="E8" s="26">
        <f>(IF(B2="ไวนิล",CEILING(CEILING(B3/25,1)/MAX(1,INT(700/B4)),1)*ราคาหลังคา!D4,IF(B2="ดีไลท์",CEILING(CEILING(B3/100,1)/MAX(1,INT(600/MAX(B4,1))),1)*ราคาหลังคา!D6,IF(B2="โพลีตัน",CEILING(B3/122,1)*ROUNDUP(B4/100,0)*ราคาหลังคา!D7,IF(B2="ชินโคร์ HC",CEILING(B3/138,1)*(1.38*E7)*ราคาหลังคา!D9,IF(B2="ชินโคร์ Sup",CEILING(B3/138,1)*(1.38*E7)*ราคาหลังคา!D10,IF(B2="ชินโคร์ Shade",CEILING(B3/138,1)*(1.38*E7)*ราคาหลังคา!D14,IF(B2="ชินโคร์ Prime",CEILING(B3/138,1)*(1.38*E7)*ราคาหลังคา!D15,IF(OR(B2="เมทัลชีท",B2="เมทัลชีท EPS"),CEILING(B3/34,1)*(0.34*B4/100)*IF(B2="เมทัลชีท EPS",ราคาหลังคา!D17,ราคาหลังคา!D11),IF(B2="กระจก 4+4",E3*ราคาหลังคา!D12,IF(B2="กระจก 5+5",E3*ราคาหลังคา!D13,0)))))))))))*buf_roof</f>
        <v>20328</v>
      </c>
    </row>
    <row r="9" spans="1:8">
      <c r="A9" t="s">
        <v>2133</v>
      </c>
      <c r="D9">
        <f>IF(B6="ปิดปลาย",ROUNDUP(B3/600,0)*1*ROUND(ราคาสี!$D$198*mult_mtong,0),IF(B6="รางน้ำอลู",ROUNDUP(B3/600,0)*1*ROUND(ราคาสี!$D$205*mult_mtong,0),IF(B6="รางน้ำสแตน M",ROUND(ราคาหลังคา!$D$20*1*B3/100,0),IF(B6="รางน้ำสแตน L",ROUND(ราคาหลังคา!$D$21*1*B3/100,0),0))))</f>
        <v>0</v>
      </c>
      <c r="E9" s="26">
        <f>IF(B2="ไวนิล",CEILING(B3/25,1)*ราคาหลังคา!D5,IF(B2="โพลีตัน",E2*ราคาหลังคา!D8,0))</f>
        <v>7840</v>
      </c>
    </row>
    <row r="10" spans="1:8">
      <c r="A10" s="26" t="s">
        <v>2134</v>
      </c>
      <c r="B10" s="26">
        <f>((2*B3+E2*B4)/600)*buf_scrap</f>
        <v>7.3666666666666671</v>
      </c>
      <c r="C10" s="26">
        <f>'คิดทุน หลังคา (รวม)'!$F$4</f>
        <v>1220</v>
      </c>
      <c r="D10" s="26">
        <f t="shared" ref="D10:D15" si="0">B10*C10</f>
        <v>8987.3333333333339</v>
      </c>
    </row>
    <row r="11" spans="1:8">
      <c r="A11" s="26" t="s">
        <v>2135</v>
      </c>
      <c r="B11" s="26">
        <f>(E5*IF(B5="แปคู่",2,1)*B3/600)*buf_scrap</f>
        <v>8.6666666666666679</v>
      </c>
      <c r="C11" s="26">
        <f>IF(B5="แปคู่",'คิดทุน หลังคา (รวม)'!$F$6,'คิดทุน หลังคา (รวม)'!$F$5)</f>
        <v>770</v>
      </c>
      <c r="D11" s="26">
        <f t="shared" si="0"/>
        <v>6673.3333333333339</v>
      </c>
    </row>
    <row r="12" spans="1:8">
      <c r="A12" s="26" t="s">
        <v>371</v>
      </c>
      <c r="B12" s="26">
        <f>(B3/600)*buf_scrap</f>
        <v>1.7333333333333334</v>
      </c>
      <c r="C12" s="26">
        <f>ROUND(ราคาสี!$D$201*mult_mtong,0)</f>
        <v>158</v>
      </c>
      <c r="D12" s="26">
        <f t="shared" si="0"/>
        <v>273.86666666666667</v>
      </c>
    </row>
    <row r="13" spans="1:8">
      <c r="A13" s="26" t="s">
        <v>573</v>
      </c>
      <c r="B13" s="26">
        <f>(B3/600)*buf_scrap</f>
        <v>1.7333333333333334</v>
      </c>
      <c r="C13" s="26">
        <f>ROUND(ราคาสี!$D$202*mult_mtong,0)</f>
        <v>616</v>
      </c>
      <c r="D13" s="26">
        <f t="shared" si="0"/>
        <v>1067.7333333333333</v>
      </c>
    </row>
    <row r="14" spans="1:8">
      <c r="A14" s="26" t="s">
        <v>574</v>
      </c>
      <c r="B14" s="26">
        <f>E2*(B4/600)*buf_scrap</f>
        <v>3.9000000000000004</v>
      </c>
      <c r="C14" s="42">
        <f>ราคาเหล็ก!$D$4</f>
        <v>170</v>
      </c>
      <c r="D14" s="26">
        <f t="shared" si="0"/>
        <v>663.00000000000011</v>
      </c>
    </row>
    <row r="15" spans="1:8">
      <c r="A15" s="26" t="s">
        <v>575</v>
      </c>
      <c r="B15" s="26">
        <f>2*E2</f>
        <v>18</v>
      </c>
      <c r="C15" s="42">
        <f>ราคาเหล็ก!$D$9</f>
        <v>15</v>
      </c>
      <c r="D15" s="26">
        <f t="shared" si="0"/>
        <v>270</v>
      </c>
    </row>
    <row r="16" spans="1:8">
      <c r="A16" s="26" t="s">
        <v>2136</v>
      </c>
      <c r="D16" s="26">
        <f>E8</f>
        <v>20328</v>
      </c>
    </row>
    <row r="17" spans="1:4">
      <c r="A17" s="26" t="s">
        <v>2137</v>
      </c>
      <c r="D17" s="26">
        <f>E9</f>
        <v>7840</v>
      </c>
    </row>
    <row r="18" spans="1:4">
      <c r="A18" s="26" t="s">
        <v>711</v>
      </c>
      <c r="D18" s="26">
        <f>MAX(0,VLOOKUP("หลังคา",ค่าแรง!$A$12:$N$117,2,0)+VLOOKUP("หลังคา",ค่าแรง!$A$12:$N$117,3,0)*E3)</f>
        <v>5390</v>
      </c>
    </row>
    <row r="19" spans="1:4">
      <c r="A19" s="26" t="s">
        <v>647</v>
      </c>
      <c r="D19" s="26">
        <f>MAX(0,VLOOKUP("หลังคา",ค่าแรง!$A$12:$N$117,4,0)+VLOOKUP("หลังคา",ค่าแรง!$A$12:$N$117,5,0)*E3)</f>
        <v>12460</v>
      </c>
    </row>
    <row r="20" spans="1:4">
      <c r="A20" s="26" t="s">
        <v>2138</v>
      </c>
      <c r="D20" s="173">
        <f>SUM(D9:D17)+D24+D25+D26</f>
        <v>49400.933333333327</v>
      </c>
    </row>
    <row r="21" spans="1:4">
      <c r="A21" s="26" t="s">
        <v>2139</v>
      </c>
      <c r="D21" s="173">
        <f>D20+D18+D19</f>
        <v>67250.93333333332</v>
      </c>
    </row>
    <row r="22" spans="1:4">
      <c r="A22" s="26" t="s">
        <v>1045</v>
      </c>
      <c r="D22" s="26">
        <f>IFERROR(D21/E3,0)</f>
        <v>4203.1833333333325</v>
      </c>
    </row>
    <row r="23" spans="1:4">
      <c r="A23" s="26" t="s">
        <v>3036</v>
      </c>
      <c r="D23" s="174">
        <f>ROUNDUP(D21*(1+$B$29/100)/100,0)*100</f>
        <v>88000</v>
      </c>
    </row>
    <row r="24" spans="1:4">
      <c r="A24" s="306" t="s">
        <v>2140</v>
      </c>
      <c r="B24">
        <f>((B4/3*E2)/600)*buf_scrap</f>
        <v>1.3</v>
      </c>
      <c r="C24">
        <f>ROUND(ราคาสี!$D$200*mult_mtong,0)</f>
        <v>1220</v>
      </c>
      <c r="D24">
        <f>B24*C24</f>
        <v>1586</v>
      </c>
    </row>
    <row r="25" spans="1:4">
      <c r="A25" s="306" t="s">
        <v>2141</v>
      </c>
      <c r="B25">
        <f>(2*(B3+B4)/600)*buf_scrap</f>
        <v>4.3333333333333339</v>
      </c>
      <c r="C25">
        <f>ROUND(ราคาสี!$D$196*mult_mtong,0)</f>
        <v>395</v>
      </c>
      <c r="D25">
        <f>B25*C25</f>
        <v>1711.666666666667</v>
      </c>
    </row>
    <row r="26" spans="1:4">
      <c r="A26" t="s">
        <v>2142</v>
      </c>
      <c r="D26">
        <f>6*(IF('คิดทุน หลังคา (รวม)'!$F$3="อลู",B10*'คิดทุน หลังคา (รวม)'!$I$10+B11*IF($B$5="แปคู่",'คิดทุน หลังคา (รวม)'!$I$12,'คิดทุน หลังคา (รวม)'!$I$11),0)+B12*'คิดทุน หลังคา (รวม)'!$I$13+B13*'คิดทุน หลังคา (รวม)'!$I$14+B24*'คิดทุน หลังคา (รวม)'!$I$10+B25*'คิดทุน หลังคา (รวม)'!$I$12)*'คิดทุน หลังคา (รวม)'!$F$9</f>
        <v>0</v>
      </c>
    </row>
    <row r="28" spans="1:4">
      <c r="A28" s="390" t="s">
        <v>3148</v>
      </c>
    </row>
    <row r="29" spans="1:4">
      <c r="A29" t="s">
        <v>1179</v>
      </c>
      <c r="B29" s="423">
        <v>30.77</v>
      </c>
      <c r="C29" t="s">
        <v>3043</v>
      </c>
    </row>
    <row r="31" spans="1:4">
      <c r="A31" s="613" t="s">
        <v>1138</v>
      </c>
      <c r="B31" s="614"/>
    </row>
    <row r="32" spans="1:4">
      <c r="A32" s="489" t="s">
        <v>3086</v>
      </c>
      <c r="B32" s="492">
        <f>SUM(D10,D11,D12,D13,D24,D25)</f>
        <v>20299.933333333334</v>
      </c>
    </row>
    <row r="33" spans="1:3">
      <c r="A33" s="489" t="s">
        <v>3087</v>
      </c>
      <c r="B33" s="492">
        <f>SUM(D16,D17)</f>
        <v>28168</v>
      </c>
    </row>
    <row r="34" spans="1:3">
      <c r="A34" s="489" t="s">
        <v>3088</v>
      </c>
      <c r="B34" s="492">
        <f>SUM(D14,D15,D9)</f>
        <v>933.00000000000011</v>
      </c>
    </row>
    <row r="35" spans="1:3">
      <c r="A35" s="489" t="s">
        <v>2159</v>
      </c>
      <c r="B35" s="492">
        <f>SUM(D26)</f>
        <v>0</v>
      </c>
    </row>
    <row r="36" spans="1:3">
      <c r="A36" s="491" t="s">
        <v>1144</v>
      </c>
      <c r="B36" s="493">
        <f>SUM(B32:B35)</f>
        <v>49400.933333333334</v>
      </c>
    </row>
    <row r="37" spans="1:3">
      <c r="A37" s="488" t="s">
        <v>3067</v>
      </c>
    </row>
    <row r="39" spans="1:3">
      <c r="A39" s="533" t="s">
        <v>3151</v>
      </c>
      <c r="B39" s="535"/>
      <c r="C39" s="533"/>
    </row>
    <row r="44" spans="1:3">
      <c r="A44" s="533" t="s">
        <v>3126</v>
      </c>
      <c r="B44" s="535"/>
      <c r="C44" s="533"/>
    </row>
    <row r="45" spans="1:3">
      <c r="A45" s="533" t="s">
        <v>3127</v>
      </c>
      <c r="B45" s="619">
        <v>0</v>
      </c>
      <c r="C45" s="533" t="s">
        <v>3128</v>
      </c>
    </row>
    <row r="46" spans="1:3">
      <c r="A46" s="533" t="s">
        <v>3129</v>
      </c>
      <c r="B46" s="534">
        <f>D20+D18+D19+B45</f>
        <v>67250.93333333332</v>
      </c>
      <c r="C46" s="533" t="s">
        <v>3130</v>
      </c>
    </row>
    <row r="47" spans="1:3">
      <c r="A47" s="536" t="s">
        <v>3131</v>
      </c>
      <c r="B47" s="537">
        <f>IFERROR((D23-B46)/D23,"")</f>
        <v>0.23578484848484865</v>
      </c>
      <c r="C47" s="536" t="s">
        <v>3157</v>
      </c>
    </row>
  </sheetData>
  <sheetProtection sheet="1" objects="1" scenarios="1"/>
  <hyperlinks>
    <hyperlink ref="G1" location="'สารบัญ'!A1" display="🏠 สารบัญ" xr:uid="{00000000-0004-0000-3B00-000000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ED7D31"/>
  </sheetPr>
  <dimension ref="A1:H47"/>
  <sheetViews>
    <sheetView workbookViewId="0"/>
  </sheetViews>
  <sheetFormatPr defaultRowHeight="14.4"/>
  <cols>
    <col min="1" max="1" width="24" customWidth="1"/>
    <col min="2" max="2" width="12.6640625" customWidth="1"/>
    <col min="3" max="3" width="42.6640625" customWidth="1"/>
    <col min="4" max="4" width="9.5546875" customWidth="1"/>
    <col min="5" max="5" width="7.44140625" customWidth="1"/>
    <col min="7" max="7" width="8.5546875" customWidth="1"/>
  </cols>
  <sheetData>
    <row r="1" spans="1:8" ht="15.6">
      <c r="A1" s="99" t="s">
        <v>2143</v>
      </c>
      <c r="B1" s="243"/>
      <c r="E1">
        <f>IF(B2="โพลีตัน",122,IF(OR(B2="ชินโคร์ HC",B2="ชินโคร์ Sup",B2="ชินโคร์ Shade",B2="ชินโคร์ Prime"),138,100))</f>
        <v>100</v>
      </c>
      <c r="G1" s="293" t="s">
        <v>68</v>
      </c>
      <c r="H1" s="294"/>
    </row>
    <row r="2" spans="1:8">
      <c r="A2" t="s">
        <v>1833</v>
      </c>
      <c r="B2" s="132" t="str">
        <f>'คิดทุน หลังคา (รวม)'!B4</f>
        <v>ไวนิล</v>
      </c>
      <c r="E2">
        <f>ROUND(SQRT((B3/2)^2+B5^2),1)</f>
        <v>538.5</v>
      </c>
    </row>
    <row r="3" spans="1:8">
      <c r="A3" t="s">
        <v>2144</v>
      </c>
      <c r="B3" s="132">
        <f>'คิดทุน หลังคา (รวม)'!B9</f>
        <v>1000</v>
      </c>
      <c r="E3">
        <f>CEILING(B4/E1,1)+1</f>
        <v>3</v>
      </c>
    </row>
    <row r="4" spans="1:8">
      <c r="A4" t="s">
        <v>2145</v>
      </c>
      <c r="B4" s="132">
        <f>'คิดทุน หลังคา (รวม)'!B10</f>
        <v>200</v>
      </c>
      <c r="E4">
        <f>(B3/100)*(B4/100)</f>
        <v>20</v>
      </c>
    </row>
    <row r="5" spans="1:8">
      <c r="A5" t="s">
        <v>2146</v>
      </c>
      <c r="B5" s="132">
        <f>'คิดทุน หลังคา (รวม)'!B11</f>
        <v>200</v>
      </c>
      <c r="E5">
        <f>IF(E2&lt;=100,1,IF(E2&lt;=120,1.2,IF(E2&lt;=150,1.5,IF(E2&lt;=200,2,IF(E2&lt;=250,2.5,IF(E2&lt;=300,3,IF(E2&lt;=400,4,IF(E2&lt;=500,5,6))))))))</f>
        <v>6</v>
      </c>
    </row>
    <row r="6" spans="1:8">
      <c r="A6" t="s">
        <v>1835</v>
      </c>
      <c r="B6" s="132" t="str">
        <f>'คิดทุน หลังคา (รวม)'!B5</f>
        <v>แปเดี่ยว</v>
      </c>
      <c r="E6">
        <f>(2*IF(B2="ไวนิล",CEILING(CEILING(B4/25,1)/MAX(1,INT(700/E2)),1)*ราคาหลังคา!D4,IF(B2="ดีไลท์",CEILING(CEILING(B4/100,1)/MAX(1,INT(600/MAX(E2,1))),1)*ราคาหลังคา!D6,IF(B2="โพลีตัน",CEILING(B4/122,1)*ROUNDUP(E2/100,0)*ราคาหลังคา!D7,IF(B2="ชินโคร์ HC",CEILING(B4/138,1)*(1.38*E5)*ราคาหลังคา!D9,IF(B2="ชินโคร์ Sup",CEILING(B4/138,1)*(1.38*E5)*ราคาหลังคา!D10,IF(B2="ชินโคร์ Shade",CEILING(B4/138,1)*(1.38*E5)*ราคาหลังคา!D14,IF(B2="ชินโคร์ Prime",CEILING(B4/138,1)*(1.38*E5)*ราคาหลังคา!D15,IF(OR(B2="เมทัลชีท",B2="เมทัลชีท EPS"),CEILING(B4/34,1)*(0.34*E2/100)*IF(B2="เมทัลชีท EPS",ราคาหลังคา!D17,ราคาหลังคา!D11),IF(B2="กระจก 4+4",(B4/100)*(E2/100)*ราคาหลังคา!D12,IF(B2="กระจก 5+5",(B4/100)*(E2/100)*ราคาหลังคา!D13,0)))))))))))*buf_roof</f>
        <v>29568</v>
      </c>
    </row>
    <row r="7" spans="1:8">
      <c r="A7" s="177" t="s">
        <v>1838</v>
      </c>
      <c r="B7" s="179" t="str">
        <f>'คิดทุน หลังคา (รวม)'!B6</f>
        <v>ยื่นปลาย</v>
      </c>
      <c r="E7">
        <f>2*IF(B2="ไวนิล",CEILING(B4/25,1)*ราคาหลังคา!D5,IF(B2="โพลีตัน",E3*ราคาหลังคา!D8,0))</f>
        <v>3920</v>
      </c>
    </row>
    <row r="8" spans="1:8">
      <c r="A8" t="s">
        <v>2147</v>
      </c>
      <c r="D8">
        <f>IF(B7="ปิดปลาย",ROUNDUP(B4/600,0)*2*ROUND(ราคาสี!$D$198*mult_mtong,0),IF(B7="รางน้ำอลู",ROUNDUP(B4/600,0)*2*ROUND(ราคาสี!$D$205*mult_mtong,0),IF(B7="รางน้ำสแตน M",ROUND(ราคาหลังคา!$D$20*2*B4/100,0),IF(B7="รางน้ำสแตน L",ROUND(ราคาหลังคา!$D$21*2*B4/100,0),0))))</f>
        <v>0</v>
      </c>
    </row>
    <row r="9" spans="1:8">
      <c r="A9" t="s">
        <v>1241</v>
      </c>
      <c r="B9" s="541" t="s">
        <v>1124</v>
      </c>
      <c r="C9" s="541" t="s">
        <v>1125</v>
      </c>
      <c r="D9" t="s">
        <v>1242</v>
      </c>
    </row>
    <row r="10" spans="1:8">
      <c r="A10" t="s">
        <v>2148</v>
      </c>
      <c r="B10">
        <f>2*E3*(E2/600)*buf_scrap</f>
        <v>7.0004999999999997</v>
      </c>
      <c r="C10">
        <f>'คิดทุน หลังคา (รวม)'!$F$4</f>
        <v>1220</v>
      </c>
      <c r="D10">
        <f t="shared" ref="D10:D16" si="0">B10*C10</f>
        <v>8540.6099999999988</v>
      </c>
    </row>
    <row r="11" spans="1:8">
      <c r="A11" t="s">
        <v>2149</v>
      </c>
      <c r="B11">
        <f>2*(CEILING(E2/50,1)+1)*(B4/600)*buf_scrap</f>
        <v>10.4</v>
      </c>
      <c r="C11">
        <f>IF(B6="แปคู่",'คิดทุน หลังคา (รวม)'!$F$6,'คิดทุน หลังคา (รวม)'!$F$5)</f>
        <v>770</v>
      </c>
      <c r="D11">
        <f t="shared" si="0"/>
        <v>8008</v>
      </c>
    </row>
    <row r="12" spans="1:8">
      <c r="A12" t="s">
        <v>2150</v>
      </c>
      <c r="B12">
        <f>2*(B4/600)*buf_scrap</f>
        <v>0.8666666666666667</v>
      </c>
      <c r="C12">
        <f>ROUND(ราคาสี!$D$201*mult_mtong,0)</f>
        <v>158</v>
      </c>
      <c r="D12">
        <f t="shared" si="0"/>
        <v>136.93333333333334</v>
      </c>
    </row>
    <row r="13" spans="1:8">
      <c r="A13" t="s">
        <v>2151</v>
      </c>
      <c r="B13">
        <f>2*(B4/600)*buf_scrap</f>
        <v>0.8666666666666667</v>
      </c>
      <c r="C13">
        <f>ROUND(ราคาสี!$D$202*mult_mtong,0)</f>
        <v>616</v>
      </c>
      <c r="D13">
        <f t="shared" si="0"/>
        <v>533.86666666666667</v>
      </c>
    </row>
    <row r="14" spans="1:8">
      <c r="A14" t="s">
        <v>574</v>
      </c>
      <c r="B14">
        <f>2*E3*(E2/600)*buf_scrap</f>
        <v>7.0004999999999997</v>
      </c>
      <c r="C14" s="212">
        <f>ราคาเหล็ก!$D$4</f>
        <v>170</v>
      </c>
      <c r="D14">
        <f t="shared" si="0"/>
        <v>1190.085</v>
      </c>
    </row>
    <row r="15" spans="1:8">
      <c r="A15" t="s">
        <v>575</v>
      </c>
      <c r="B15">
        <f>4*E3</f>
        <v>12</v>
      </c>
      <c r="C15" s="212">
        <f>ราคาเหล็ก!$D$9</f>
        <v>15</v>
      </c>
      <c r="D15">
        <f t="shared" si="0"/>
        <v>180</v>
      </c>
    </row>
    <row r="16" spans="1:8">
      <c r="A16" t="s">
        <v>2152</v>
      </c>
      <c r="B16">
        <f>ROUNDUP(E3/2,0)*((B3+B5)/600)*buf_scrap</f>
        <v>5.2</v>
      </c>
      <c r="C16">
        <f>ROUND(ราคาสี!$D$203*mult_mtong,0)</f>
        <v>2208</v>
      </c>
      <c r="D16">
        <f t="shared" si="0"/>
        <v>11481.6</v>
      </c>
    </row>
    <row r="17" spans="1:4">
      <c r="A17" t="s">
        <v>2153</v>
      </c>
      <c r="D17">
        <f>E6</f>
        <v>29568</v>
      </c>
    </row>
    <row r="18" spans="1:4">
      <c r="A18" t="s">
        <v>2154</v>
      </c>
      <c r="D18">
        <f>E7</f>
        <v>3920</v>
      </c>
    </row>
    <row r="19" spans="1:4">
      <c r="A19" t="s">
        <v>3195</v>
      </c>
      <c r="D19">
        <f>MAX(0,VLOOKUP("หลังคาจั่ว",ค่าแรง!$A$12:$N$117,2,0)+VLOOKUP("หลังคาจั่ว",ค่าแรง!$A$12:$N$117,3,0)*E4)</f>
        <v>7568.75</v>
      </c>
    </row>
    <row r="20" spans="1:4">
      <c r="A20" t="s">
        <v>3196</v>
      </c>
      <c r="D20">
        <f>MAX(0,VLOOKUP("หลังคาจั่ว",ค่าแรง!$A$12:$N$117,4,0)+VLOOKUP("หลังคาจั่ว",ค่าแรง!$A$12:$N$117,5,0)*E4)</f>
        <v>13650</v>
      </c>
    </row>
    <row r="21" spans="1:4">
      <c r="A21" t="s">
        <v>2138</v>
      </c>
      <c r="D21">
        <f>SUM(D10:D18)+D8+D23</f>
        <v>63559.095000000001</v>
      </c>
    </row>
    <row r="22" spans="1:4">
      <c r="A22" t="s">
        <v>2139</v>
      </c>
      <c r="D22">
        <f>D21+D19+D20</f>
        <v>84777.845000000001</v>
      </c>
    </row>
    <row r="23" spans="1:4">
      <c r="A23" t="s">
        <v>2142</v>
      </c>
      <c r="D23">
        <f>6*(IF('คิดทุน หลังคา (รวม)'!$F$3="อลู",B10*'คิดทุน หลังคา (รวม)'!$I$10+B11*IF($B$6="แปคู่",'คิดทุน หลังคา (รวม)'!$I$12,'คิดทุน หลังคา (รวม)'!$I$11),0)+B12*'คิดทุน หลังคา (รวม)'!$I$13+B13*'คิดทุน หลังคา (รวม)'!$I$14+B16*'คิดทุน หลังคา (รวม)'!$I$15)*'คิดทุน หลังคา (รวม)'!$F$9</f>
        <v>0</v>
      </c>
    </row>
    <row r="24" spans="1:4">
      <c r="A24" t="s">
        <v>3036</v>
      </c>
      <c r="D24">
        <f>ROUNDUP(D22*(1+$B$29/100)/100,0)*100</f>
        <v>110900</v>
      </c>
    </row>
    <row r="26" spans="1:4">
      <c r="A26" t="s">
        <v>2155</v>
      </c>
      <c r="B26">
        <f>E2</f>
        <v>538.5</v>
      </c>
    </row>
    <row r="28" spans="1:4">
      <c r="A28" s="390" t="s">
        <v>3148</v>
      </c>
    </row>
    <row r="29" spans="1:4">
      <c r="A29" t="s">
        <v>1179</v>
      </c>
      <c r="B29" s="423">
        <v>30.77</v>
      </c>
      <c r="C29" t="s">
        <v>3043</v>
      </c>
    </row>
    <row r="31" spans="1:4">
      <c r="A31" s="613" t="s">
        <v>1138</v>
      </c>
      <c r="B31" s="614"/>
    </row>
    <row r="32" spans="1:4">
      <c r="A32" s="489" t="s">
        <v>3089</v>
      </c>
      <c r="B32" s="492">
        <f>SUM(D10,D11,D12,D13,D16)</f>
        <v>28701.010000000002</v>
      </c>
    </row>
    <row r="33" spans="1:3">
      <c r="A33" s="489" t="s">
        <v>3087</v>
      </c>
      <c r="B33" s="492">
        <f>SUM(D17,D18)</f>
        <v>33488</v>
      </c>
    </row>
    <row r="34" spans="1:3">
      <c r="A34" s="489" t="s">
        <v>3088</v>
      </c>
      <c r="B34" s="492">
        <f>SUM(D14,D15,D8)</f>
        <v>1370.085</v>
      </c>
    </row>
    <row r="35" spans="1:3">
      <c r="A35" s="489" t="s">
        <v>2159</v>
      </c>
      <c r="B35" s="492">
        <f>SUM(D23)</f>
        <v>0</v>
      </c>
    </row>
    <row r="36" spans="1:3">
      <c r="A36" s="491" t="s">
        <v>1144</v>
      </c>
      <c r="B36" s="493">
        <f>SUM(B32:B35)</f>
        <v>63559.095000000001</v>
      </c>
    </row>
    <row r="37" spans="1:3">
      <c r="A37" s="488" t="s">
        <v>3067</v>
      </c>
    </row>
    <row r="39" spans="1:3">
      <c r="A39" s="533" t="s">
        <v>3151</v>
      </c>
      <c r="B39" s="535"/>
      <c r="C39" s="533"/>
    </row>
    <row r="44" spans="1:3">
      <c r="A44" s="533" t="s">
        <v>3126</v>
      </c>
      <c r="B44" s="535"/>
      <c r="C44" s="533"/>
    </row>
    <row r="45" spans="1:3">
      <c r="A45" s="533" t="s">
        <v>3127</v>
      </c>
      <c r="B45" s="619">
        <v>0</v>
      </c>
      <c r="C45" s="533" t="s">
        <v>3128</v>
      </c>
    </row>
    <row r="46" spans="1:3">
      <c r="A46" s="533" t="s">
        <v>3129</v>
      </c>
      <c r="B46" s="534">
        <f>D21+D19+D20+B45</f>
        <v>84777.845000000001</v>
      </c>
      <c r="C46" s="533" t="s">
        <v>3130</v>
      </c>
    </row>
    <row r="47" spans="1:3">
      <c r="A47" s="536" t="s">
        <v>3131</v>
      </c>
      <c r="B47" s="537">
        <f>IFERROR((D24-B46)/D24,"")</f>
        <v>0.23554693417493236</v>
      </c>
      <c r="C47" s="536" t="s">
        <v>3157</v>
      </c>
    </row>
  </sheetData>
  <sheetProtection sheet="1" objects="1" scenarios="1"/>
  <hyperlinks>
    <hyperlink ref="G1" location="'สารบัญ'!A1" display="🏠 สารบัญ" xr:uid="{00000000-0004-0000-3C00-000000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ED7D31"/>
  </sheetPr>
  <dimension ref="A1:L60"/>
  <sheetViews>
    <sheetView workbookViewId="0"/>
  </sheetViews>
  <sheetFormatPr defaultRowHeight="14.4"/>
  <cols>
    <col min="1" max="1" width="24" customWidth="1"/>
    <col min="2" max="2" width="12.6640625" customWidth="1"/>
    <col min="3" max="3" width="42.6640625" customWidth="1"/>
    <col min="4" max="4" width="9.5546875" customWidth="1"/>
    <col min="5" max="5" width="4.44140625" customWidth="1"/>
    <col min="7" max="7" width="8.5546875" customWidth="1"/>
    <col min="8" max="8" width="7.44140625" customWidth="1"/>
    <col min="10" max="10" width="7.44140625" customWidth="1"/>
    <col min="11" max="11" width="10.6640625" customWidth="1"/>
    <col min="12" max="12" width="9.5546875" customWidth="1"/>
  </cols>
  <sheetData>
    <row r="1" spans="1:12">
      <c r="A1" s="170" t="s">
        <v>3201</v>
      </c>
      <c r="B1" s="243"/>
      <c r="G1" s="293" t="s">
        <v>68</v>
      </c>
      <c r="H1" s="295">
        <f>IF(B2="โพลีตัน",122,IF(OR(B2="ชินโคร์ HC",B2="ชินโคร์ Sup",B2="ชินโคร์ Shade",B2="ชินโคร์ Prime"),138,100))</f>
        <v>100</v>
      </c>
      <c r="I1" t="s">
        <v>3202</v>
      </c>
      <c r="J1" s="26">
        <f>IF(B2="โพลีตัน",122,IF(OR(B2="ชินโคร์ HC",B2="ชินโคร์ Sup",B2="ชินโคร์ Shade",B2="ชินโคร์ Prime"),138,100))</f>
        <v>100</v>
      </c>
      <c r="K1" t="s">
        <v>3203</v>
      </c>
      <c r="L1" t="s">
        <v>2364</v>
      </c>
    </row>
    <row r="2" spans="1:12">
      <c r="A2" s="26" t="s">
        <v>1833</v>
      </c>
      <c r="B2" s="171" t="str">
        <f>'คิดทุน หลังคา (รวม)'!B4</f>
        <v>ไวนิล</v>
      </c>
      <c r="D2" t="s">
        <v>3204</v>
      </c>
      <c r="H2" s="26">
        <f>CEILING(B6/H1,1)+1</f>
        <v>9</v>
      </c>
      <c r="I2" t="s">
        <v>3205</v>
      </c>
      <c r="J2" s="26">
        <f>CEILING(H17/J1,1)+1</f>
        <v>2</v>
      </c>
      <c r="K2">
        <f>((2*H17+J2*H18)/600)*buf_scrap</f>
        <v>1.04</v>
      </c>
      <c r="L2">
        <f>K2*'คิดทุน หลังคา (รวม)'!$F$4</f>
        <v>1268.8</v>
      </c>
    </row>
    <row r="3" spans="1:12">
      <c r="A3" s="26" t="s">
        <v>2156</v>
      </c>
      <c r="B3" s="171" t="str">
        <f>'คิดทุน หลังคา (รวม)'!B13</f>
        <v>เลื่อนข้าง</v>
      </c>
      <c r="E3">
        <f>'คิดทุน หลังคา (รวม)'!B15</f>
        <v>5</v>
      </c>
      <c r="H3" s="26">
        <f>(B6/100)*(C6/100)</f>
        <v>16</v>
      </c>
      <c r="I3" t="s">
        <v>3206</v>
      </c>
      <c r="J3" s="26">
        <f>(B7/100)*(C7/100)</f>
        <v>4</v>
      </c>
      <c r="K3">
        <f>((CEILING(H18/50,1)+1)*IF(B4="แปคู่",2,1)*H17/600)*buf_scrap</f>
        <v>0.43333333333333335</v>
      </c>
      <c r="L3">
        <f>K3*IF(B4="แปคู่",'คิดทุน หลังคา (รวม)'!$F$6,'คิดทุน หลังคา (รวม)'!$F$5)</f>
        <v>333.66666666666669</v>
      </c>
    </row>
    <row r="4" spans="1:12">
      <c r="A4" s="26" t="s">
        <v>1835</v>
      </c>
      <c r="B4" s="171" t="str">
        <f>'คิดทุน หลังคา (รวม)'!B5</f>
        <v>แปเดี่ยว</v>
      </c>
      <c r="K4">
        <f>(H17/600)*buf_scrap</f>
        <v>8.666666666666667E-2</v>
      </c>
      <c r="L4">
        <f>K4*ROUND(ราคาสี!$D$201*mult_mtong,0)</f>
        <v>13.693333333333333</v>
      </c>
    </row>
    <row r="5" spans="1:12">
      <c r="A5" s="26" t="s">
        <v>1747</v>
      </c>
      <c r="B5" s="171" t="str">
        <f>'คิดทุน หลังคา (รวม)'!B14</f>
        <v>80 กก.</v>
      </c>
      <c r="K5">
        <f>(H17/600)*buf_scrap</f>
        <v>8.666666666666667E-2</v>
      </c>
      <c r="L5">
        <f>K5*ROUND(ราคาสี!$D$202*mult_mtong,0)</f>
        <v>53.38666666666667</v>
      </c>
    </row>
    <row r="6" spans="1:12">
      <c r="A6" s="26" t="s">
        <v>2157</v>
      </c>
      <c r="B6" s="171">
        <f>IF('คิดทุน หลังคา (รวม)'!B7="ใช่",MAX(0,'คิดทุน หลังคา (รวม)'!B9-'คิดทุน หลังคา (รวม)'!B11),'คิดทุน หลังคา (รวม)'!B9)</f>
        <v>800</v>
      </c>
      <c r="C6" s="171">
        <f>'คิดทุน หลังคา (รวม)'!B10</f>
        <v>200</v>
      </c>
      <c r="H6" s="26">
        <f>IF(C6&lt;=100,1,IF(C6&lt;=120,1.2,IF(C6&lt;=150,1.5,IF(C6&lt;=200,2,IF(C6&lt;=250,2.5,IF(C6&lt;=300,3,IF(C6&lt;=400,4,IF(C6&lt;=500,5,6))))))))</f>
        <v>2</v>
      </c>
      <c r="I6" t="s">
        <v>3190</v>
      </c>
      <c r="J6" s="26">
        <f>IF(C7&lt;=100,1,IF(C7&lt;=120,1.2,IF(C7&lt;=150,1.5,IF(C7&lt;=200,2,IF(C7&lt;=250,2.5,IF(C7&lt;=300,3,IF(C7&lt;=400,4,IF(C7&lt;=500,5,6))))))))</f>
        <v>2</v>
      </c>
      <c r="K6">
        <f>0</f>
        <v>0</v>
      </c>
      <c r="L6">
        <f>K6*ราคาเหล็ก!$D$4</f>
        <v>0</v>
      </c>
    </row>
    <row r="7" spans="1:12">
      <c r="A7" s="26" t="s">
        <v>2158</v>
      </c>
      <c r="B7" s="171">
        <f>'คิดทุน หลังคา (รวม)'!B11</f>
        <v>200</v>
      </c>
      <c r="C7" s="171">
        <f>'คิดทุน หลังคา (รวม)'!B12</f>
        <v>200</v>
      </c>
      <c r="H7" s="26">
        <f>(IF(B2="ไวนิล",CEILING(CEILING(B6/25,1)/MAX(1,INT(700/C6)),1)*ราคาหลังคา!D4,IF(B2="ดีไลท์",CEILING(CEILING(B6/100,1)/MAX(1,INT(600/MAX(C6,1))),1)*ราคาหลังคา!D6,IF(B2="โพลีตัน",CEILING(B6/122,1)*ROUNDUP(C6/100,0)*ราคาหลังคา!D7,IF(B2="ชินโคร์ HC",CEILING(B6/138,1)*(1.38*H6)*ราคาหลังคา!D9,IF(B2="ชินโคร์ Sup",CEILING(B6/138,1)*(1.38*H6)*ราคาหลังคา!D10,IF(B2="ชินโคร์ Shade",CEILING(B6/138,1)*(1.38*H6)*ราคาหลังคา!D14,IF(B2="ชินโคร์ Prime",CEILING(B6/138,1)*(1.38*H6)*ราคาหลังคา!D15,IF(OR(B2="เมทัลชีท",B2="เมทัลชีท EPS"),CEILING(B6/34,1)*(0.34*C6/100)*IF(B2="เมทัลชีท EPS",ราคาหลังคา!D17,ราคาหลังคา!D11),IF(B2="กระจก 4+4",H3*ราคาหลังคา!D12,IF(B2="กระจก 5+5",H3*ราคาหลังคา!D13,0)))))))))))*buf_roof</f>
        <v>20328</v>
      </c>
      <c r="I7" t="s">
        <v>3207</v>
      </c>
      <c r="J7" s="26">
        <f>(IF(B2="ไวนิล",CEILING(CEILING(B7/25,1)/MAX(1,INT(700/C7)),1)*ราคาหลังคา!D4,IF(B2="ดีไลท์",CEILING(CEILING(B7/100,1)/MAX(1,INT(600/MAX(C7,1))),1)*ราคาหลังคา!D6,IF(B2="โพลีตัน",CEILING(B7/122,1)*ROUNDUP(C7/100,0)*ราคาหลังคา!D7,IF(B2="ชินโคร์ HC",CEILING(B7/138,1)*(1.38*J6)*ราคาหลังคา!D9,IF(B2="ชินโคร์ Sup",CEILING(B7/138,1)*(1.38*J6)*ราคาหลังคา!D10,IF(B2="ชินโคร์ Shade",CEILING(B7/138,1)*(1.38*J6)*ราคาหลังคา!D14,IF(B2="ชินโคร์ Prime",CEILING(B7/138,1)*(1.38*J6)*ราคาหลังคา!D15,IF(OR(B2="เมทัลชีท",B2="เมทัลชีท EPS"),CEILING(B7/34,1)*(0.34*C7/100)*IF(B2="เมทัลชีท EPS",ราคาหลังคา!D17,ราคาหลังคา!D11),IF(B2="กระจก 4+4",J3*ราคาหลังคา!D12,IF(B2="กระจก 5+5",J3*ราคาหลังคา!D13,0)))))))))))*buf_roof</f>
        <v>5544</v>
      </c>
      <c r="K7">
        <f>2*J2</f>
        <v>4</v>
      </c>
      <c r="L7">
        <f>K7*ราคาเหล็ก!$D$9</f>
        <v>60</v>
      </c>
    </row>
    <row r="8" spans="1:12">
      <c r="A8" s="177" t="s">
        <v>1838</v>
      </c>
      <c r="B8" s="179" t="str">
        <f>'คิดทุน หลังคา (รวม)'!B6</f>
        <v>ยื่นปลาย</v>
      </c>
      <c r="G8" t="s">
        <v>3208</v>
      </c>
      <c r="H8" s="26">
        <f>IF(B2="ไวนิล",CEILING(B6/25,1)*ราคาหลังคา!D5,IF(B2="โพลีตัน",H2*ราคาหลังคา!D8,0))</f>
        <v>7840</v>
      </c>
      <c r="I8" t="s">
        <v>3209</v>
      </c>
      <c r="J8" s="26">
        <f>IF(B2="ไวนิล",CEILING(B7/25,1)*ราคาหลังคา!D5,IF(B2="โพลีตัน",J2*ราคาหลังคา!D8,0))</f>
        <v>1960</v>
      </c>
      <c r="K8" s="26">
        <f>IF(B2="ไวนิล",CEILING(B7/25,1),IF(B2="ดีไลท์",CEILING(B7/100,1),IF(B2="โพลีตัน",CEILING(B7/122,1)&amp;"×"&amp;ROUNDUP(C7/100,0),IF(OR(B2="ชินโคร์ HC",B2="ชินโคร์ Sup",B2="กระจก 4+4",B2="กระจก 5+5"),ROUND(B7*C7/10000,1)&amp;" ตร.ม.",CEILING(B7/34,1)))))</f>
        <v>8</v>
      </c>
      <c r="L8">
        <f>J7</f>
        <v>5544</v>
      </c>
    </row>
    <row r="9" spans="1:12">
      <c r="A9" s="172" t="s">
        <v>606</v>
      </c>
      <c r="B9" s="172" t="s">
        <v>1124</v>
      </c>
      <c r="C9" s="172" t="s">
        <v>471</v>
      </c>
      <c r="D9" s="172" t="s">
        <v>1242</v>
      </c>
      <c r="H9" s="26">
        <f>MAX(0,VLOOKUP("หลังคา",ค่าแรง!$A$12:$N$117,2,0)+VLOOKUP("หลังคา",ค่าแรง!$A$12:$N$117,3,0)*H3)</f>
        <v>5390</v>
      </c>
      <c r="J9" s="26">
        <f>MAX(0,VLOOKUP("หลังคา",ค่าแรง!$A$12:$N$117,2,0)+VLOOKUP("หลังคา",ค่าแรง!$A$12:$N$117,3,0)*J3)</f>
        <v>3972.5</v>
      </c>
      <c r="L9">
        <f>J8</f>
        <v>1960</v>
      </c>
    </row>
    <row r="10" spans="1:12">
      <c r="A10" s="26" t="s">
        <v>3210</v>
      </c>
      <c r="D10" s="26">
        <f>H11</f>
        <v>46103.266666666663</v>
      </c>
      <c r="H10" s="26">
        <f>MAX(0,VLOOKUP("หลังคา",ค่าแรง!$A$12:$N$117,4,0)+VLOOKUP("หลังคา",ค่าแรง!$A$12:$N$117,5,0)*H3)</f>
        <v>12460</v>
      </c>
      <c r="J10" s="26">
        <f>MAX(0,VLOOKUP("หลังคา",ค่าแรง!$A$12:$N$117,4,0)+VLOOKUP("หลังคา",ค่าแรง!$A$12:$N$117,5,0)*J3)</f>
        <v>10990</v>
      </c>
    </row>
    <row r="11" spans="1:12">
      <c r="A11" s="26" t="s">
        <v>3211</v>
      </c>
      <c r="D11" s="26">
        <f>J11*E3+J7+J8</f>
        <v>16151.733333333334</v>
      </c>
      <c r="H11" s="26">
        <f>((2*B6+H2*C6)/600)*buf_scrap*'คิดทุน หลังคา (รวม)'!$F$4+((CEILING(C6/50,1)+1)*IF(B4="แปคู่",2,1)*B6/600)*buf_scrap*IF(B4="แปคู่",'คิดทุน หลังคา (รวม)'!$F$6,'คิดทุน หลังคา (รวม)'!$F$5)+(B6/600)*buf_scrap*ROUND(ราคาสี!$D$201*mult_mtong,0)+(B6/600)*buf_scrap*ROUND(ราคาสี!$D$202*mult_mtong,0)+H2*(C6/600)*buf_scrap*ราคาเหล็ก!$D$4+2*H2*ราคาเหล็ก!$D$9+H7+H8</f>
        <v>46103.266666666663</v>
      </c>
      <c r="I11" t="s">
        <v>3212</v>
      </c>
      <c r="J11" s="26">
        <f>L2+L3+L4+L5+L6+L7</f>
        <v>1729.5466666666669</v>
      </c>
    </row>
    <row r="12" spans="1:12">
      <c r="A12" s="26" t="s">
        <v>3213</v>
      </c>
      <c r="D12" s="26">
        <f>H15*ราคาหลังคา!D16</f>
        <v>27200</v>
      </c>
      <c r="H12">
        <f>IF(B3="เลื่อนยื่น",C7,B7)*2</f>
        <v>400</v>
      </c>
      <c r="I12" s="488" t="s">
        <v>3214</v>
      </c>
    </row>
    <row r="13" spans="1:12">
      <c r="A13" s="26" t="s">
        <v>3215</v>
      </c>
      <c r="D13" s="26">
        <f>H19*B47+H20*B48</f>
        <v>15000</v>
      </c>
      <c r="H13">
        <f>IF(B3="เลื่อนเปิดกลาง",B6,IF(B3="เลื่อนยื่น",C7,B7))</f>
        <v>200</v>
      </c>
      <c r="I13" s="488" t="s">
        <v>3216</v>
      </c>
    </row>
    <row r="14" spans="1:12">
      <c r="A14" s="26" t="s">
        <v>3217</v>
      </c>
      <c r="D14" s="173">
        <f>ROUND(VLOOKUP("หลังคาเลื่อน",ค่าแรง!$A$12:$N$117,2,0)+VLOOKUP("หลังคาเลื่อน",ค่าแรง!$A$12:$N$117,3,0)*(H3+J3*E3),0)</f>
        <v>7595</v>
      </c>
      <c r="H14">
        <f>2</f>
        <v>2</v>
      </c>
      <c r="I14" t="s">
        <v>3191</v>
      </c>
    </row>
    <row r="15" spans="1:12">
      <c r="A15" s="26" t="s">
        <v>3218</v>
      </c>
      <c r="D15" s="173">
        <f>ROUND(VLOOKUP("หลังคาเลื่อน",ค่าแรง!$A$12:$N$117,4,0)+VLOOKUP("หลังคาเลื่อน",ค่าแรง!$A$12:$N$117,5,0)*(H3+J3*E3),0)</f>
        <v>13566</v>
      </c>
      <c r="H15">
        <f>H12*H14*MAX(E3,1)/600</f>
        <v>6.666666666666667</v>
      </c>
      <c r="I15" t="s">
        <v>3219</v>
      </c>
    </row>
    <row r="16" spans="1:12">
      <c r="A16" s="26" t="s">
        <v>3220</v>
      </c>
      <c r="D16" s="173">
        <f>SUM(D10:D15)+D18+D19+D20</f>
        <v>147616</v>
      </c>
    </row>
    <row r="17" spans="1:9">
      <c r="A17" s="26"/>
      <c r="D17" s="174"/>
      <c r="H17">
        <f>IF(B3="เลื่อนยื่น",B7,B7/MAX(E3,1))</f>
        <v>40</v>
      </c>
      <c r="I17" t="s">
        <v>3221</v>
      </c>
    </row>
    <row r="18" spans="1:9">
      <c r="A18" t="s">
        <v>3222</v>
      </c>
      <c r="D18">
        <f>IF(B8="ปิดปลาย",ROUNDUP(B6/600,0)*1*ROUND(ราคาสี!$D$198*mult_mtong,0),IF(B8="รางน้ำอลู",ROUNDUP(B6/600,0)*1*ROUND(ราคาสี!$D$205*mult_mtong,0),IF(B8="รางน้ำสแตน M",ROUND(ราคาหลังคา!$D$20*1*B6/100,0),IF(B8="รางน้ำสแตน L",ROUND(ราคาหลังคา!$D$21*1*B6/100,0),0))))</f>
        <v>0</v>
      </c>
      <c r="H18">
        <f>IF(B3="เลื่อนยื่น",C7/MAX(E3,1),C7)</f>
        <v>200</v>
      </c>
      <c r="I18" t="s">
        <v>3223</v>
      </c>
    </row>
    <row r="19" spans="1:9">
      <c r="A19" t="s">
        <v>3224</v>
      </c>
      <c r="D19">
        <f>6*(IF('คิดทุน หลังคา (รวม)'!$F$3="อลู",(H2*ROUNDUP(C6/600,0)+J2*ROUNDUP(C7/600,0)*$E$3)*'คิดทุน หลังคา (รวม)'!$I$10+((CEILING(C6/50,1)+1)*ROUNDUP(B6/600,0)+(CEILING(C7/50,1)+1)*ROUNDUP(B7/600,0)*$E$3)*IF($B$4="แปคู่",'คิดทุน หลังคา (รวม)'!$I$12,'คิดทุน หลังคา (รวม)'!$I$11),0)+(ROUNDUP(B6/600,0)+ROUNDUP(B7/600,0)*$E$3)*'คิดทุน หลังคา (รวม)'!$I$13+(ROUNDUP(B6/600,0)+ROUNDUP(B7/600,0)*$E$3)*'คิดทุน หลังคา (รวม)'!$I$14)*'คิดทุน หลังคา (รวม)'!$F$9</f>
        <v>0</v>
      </c>
      <c r="H19">
        <f>IF('คิดทุน หลังคา (รวม)'!B14="ไม่มี",0,MAX(1,'คิดทุน หลังคา (รวม)'!F11))</f>
        <v>1</v>
      </c>
      <c r="I19" t="s">
        <v>3225</v>
      </c>
    </row>
    <row r="20" spans="1:9">
      <c r="A20" t="s">
        <v>3226</v>
      </c>
      <c r="D20">
        <f>B44*B45*MAX(E3,1)+B46*MAX(E3,1)</f>
        <v>22000</v>
      </c>
      <c r="H20">
        <f>IF('คิดทุน หลังคา (รวม)'!F12="มี",1,0)</f>
        <v>0</v>
      </c>
      <c r="I20" t="s">
        <v>3227</v>
      </c>
    </row>
    <row r="21" spans="1:9">
      <c r="A21" s="390"/>
      <c r="H21">
        <f>IF(H19&gt;0,B49+MAX(0,H19-1)*B50,0)+H20*B51</f>
        <v>35000</v>
      </c>
      <c r="I21" t="s">
        <v>3228</v>
      </c>
    </row>
    <row r="22" spans="1:9">
      <c r="B22" s="423"/>
    </row>
    <row r="24" spans="1:9">
      <c r="A24" s="613" t="s">
        <v>3229</v>
      </c>
      <c r="B24" s="614"/>
    </row>
    <row r="25" spans="1:9">
      <c r="A25" s="489" t="s">
        <v>3090</v>
      </c>
      <c r="B25" s="492">
        <f>SUM(D10)</f>
        <v>46103.266666666663</v>
      </c>
    </row>
    <row r="26" spans="1:9">
      <c r="A26" s="489" t="s">
        <v>3091</v>
      </c>
      <c r="B26" s="492">
        <f>SUM(D11)</f>
        <v>16151.733333333334</v>
      </c>
    </row>
    <row r="27" spans="1:9">
      <c r="A27" s="489" t="s">
        <v>3230</v>
      </c>
      <c r="B27" s="492">
        <f>SUM(D12,D20)</f>
        <v>49200</v>
      </c>
    </row>
    <row r="28" spans="1:9">
      <c r="A28" s="489" t="s">
        <v>3092</v>
      </c>
      <c r="B28" s="492">
        <f>SUM(D18)</f>
        <v>0</v>
      </c>
    </row>
    <row r="29" spans="1:9">
      <c r="A29" s="489" t="s">
        <v>2159</v>
      </c>
      <c r="B29" s="492">
        <f>SUM(D19)</f>
        <v>0</v>
      </c>
    </row>
    <row r="30" spans="1:9">
      <c r="A30" s="491" t="s">
        <v>1144</v>
      </c>
      <c r="B30" s="493">
        <f>SUM(B25:B29)</f>
        <v>111455</v>
      </c>
    </row>
    <row r="31" spans="1:9">
      <c r="A31" s="488" t="s">
        <v>3067</v>
      </c>
    </row>
    <row r="32" spans="1:9">
      <c r="A32" t="s">
        <v>3231</v>
      </c>
      <c r="B32">
        <f>SUM(D13)</f>
        <v>15000</v>
      </c>
    </row>
    <row r="33" spans="1:3">
      <c r="A33" s="533"/>
      <c r="B33" s="535"/>
      <c r="C33" s="533"/>
    </row>
    <row r="38" spans="1:3">
      <c r="A38" s="533"/>
      <c r="B38" s="535"/>
      <c r="C38" s="533"/>
    </row>
    <row r="39" spans="1:3">
      <c r="A39" s="533"/>
      <c r="B39" s="619"/>
      <c r="C39" s="533"/>
    </row>
    <row r="40" spans="1:3">
      <c r="A40" s="533"/>
      <c r="B40" s="534"/>
      <c r="C40" s="533"/>
    </row>
    <row r="41" spans="1:3">
      <c r="A41" s="536"/>
      <c r="B41" s="537"/>
      <c r="C41" s="536"/>
    </row>
    <row r="43" spans="1:3">
      <c r="A43" t="s">
        <v>3232</v>
      </c>
    </row>
    <row r="44" spans="1:3">
      <c r="A44" t="s">
        <v>3233</v>
      </c>
      <c r="B44">
        <v>600</v>
      </c>
      <c r="C44" t="s">
        <v>3234</v>
      </c>
    </row>
    <row r="45" spans="1:3">
      <c r="A45" t="s">
        <v>3235</v>
      </c>
      <c r="B45">
        <v>4</v>
      </c>
      <c r="C45" t="s">
        <v>3236</v>
      </c>
    </row>
    <row r="46" spans="1:3">
      <c r="A46" t="s">
        <v>3237</v>
      </c>
      <c r="B46">
        <v>2000</v>
      </c>
      <c r="C46" t="s">
        <v>3234</v>
      </c>
    </row>
    <row r="47" spans="1:3">
      <c r="A47" t="s">
        <v>3238</v>
      </c>
      <c r="B47">
        <v>15000</v>
      </c>
      <c r="C47" t="s">
        <v>3234</v>
      </c>
    </row>
    <row r="48" spans="1:3">
      <c r="A48" t="s">
        <v>3239</v>
      </c>
      <c r="B48">
        <v>1000</v>
      </c>
      <c r="C48" t="s">
        <v>3234</v>
      </c>
    </row>
    <row r="49" spans="1:3">
      <c r="A49" t="s">
        <v>3240</v>
      </c>
      <c r="B49">
        <v>35000</v>
      </c>
      <c r="C49" t="s">
        <v>3241</v>
      </c>
    </row>
    <row r="50" spans="1:3">
      <c r="A50" t="s">
        <v>3242</v>
      </c>
      <c r="B50">
        <v>25000</v>
      </c>
      <c r="C50" t="s">
        <v>3241</v>
      </c>
    </row>
    <row r="51" spans="1:3">
      <c r="A51" t="s">
        <v>3243</v>
      </c>
      <c r="B51">
        <v>2000</v>
      </c>
      <c r="C51" t="s">
        <v>3241</v>
      </c>
    </row>
    <row r="53" spans="1:3">
      <c r="A53" t="s">
        <v>3244</v>
      </c>
    </row>
    <row r="54" spans="1:3">
      <c r="A54" t="s">
        <v>3245</v>
      </c>
    </row>
    <row r="55" spans="1:3">
      <c r="A55" t="s">
        <v>3246</v>
      </c>
    </row>
    <row r="56" spans="1:3">
      <c r="A56" t="s">
        <v>3247</v>
      </c>
    </row>
    <row r="57" spans="1:3">
      <c r="A57" t="s">
        <v>3248</v>
      </c>
    </row>
    <row r="58" spans="1:3">
      <c r="A58" t="s">
        <v>3249</v>
      </c>
    </row>
    <row r="59" spans="1:3">
      <c r="A59" t="s">
        <v>3250</v>
      </c>
    </row>
    <row r="60" spans="1:3">
      <c r="A60" t="s">
        <v>3251</v>
      </c>
    </row>
  </sheetData>
  <hyperlinks>
    <hyperlink ref="G1" location="'สารบัญ'!A1" display="🏠 สารบัญ" xr:uid="{00000000-0004-0000-3D00-000000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A6A6A6"/>
  </sheetPr>
  <dimension ref="A1:AF222"/>
  <sheetViews>
    <sheetView workbookViewId="0"/>
  </sheetViews>
  <sheetFormatPr defaultColWidth="8.6640625" defaultRowHeight="14.4"/>
  <cols>
    <col min="1" max="1" width="24" customWidth="1"/>
    <col min="2" max="2" width="13.77734375" customWidth="1"/>
    <col min="3" max="3" width="9.5546875" customWidth="1"/>
    <col min="4" max="5" width="18" customWidth="1"/>
    <col min="7" max="7" width="10.6640625" customWidth="1"/>
    <col min="8" max="8" width="4.44140625" customWidth="1"/>
    <col min="10" max="10" width="15.88671875" customWidth="1"/>
    <col min="11" max="11" width="8.5546875" customWidth="1"/>
    <col min="12" max="12" width="6.44140625" customWidth="1"/>
    <col min="13" max="14" width="4.44140625" customWidth="1"/>
    <col min="15" max="15" width="5.44140625" customWidth="1"/>
    <col min="16" max="17" width="18" customWidth="1"/>
    <col min="18" max="20" width="4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660" t="s">
        <v>1694</v>
      </c>
      <c r="B1" s="650"/>
      <c r="C1" s="650"/>
      <c r="D1" s="650"/>
      <c r="E1" s="650"/>
      <c r="F1" s="650"/>
      <c r="G1" s="293" t="s">
        <v>68</v>
      </c>
      <c r="H1" s="294"/>
      <c r="I1" s="243"/>
      <c r="J1" s="63" t="s">
        <v>1695</v>
      </c>
      <c r="M1" s="8" t="s">
        <v>1696</v>
      </c>
      <c r="AF1" t="str">
        <f>IFERROR(VLOOKUP(B2,$AB$2:$AD$8,2,0),"")</f>
        <v>1"</v>
      </c>
    </row>
    <row r="2" spans="1:32" ht="15" customHeight="1">
      <c r="A2" s="63" t="s">
        <v>1697</v>
      </c>
      <c r="B2" s="64" t="str">
        <f>'คิดทุน ประตูรั้ว'!D10</f>
        <v>กล่อง 1"×4"</v>
      </c>
      <c r="D2" s="592" t="s">
        <v>1698</v>
      </c>
      <c r="E2" s="66">
        <f>(B9/100)*(H4/100)</f>
        <v>7</v>
      </c>
      <c r="G2" s="65" t="s">
        <v>1654</v>
      </c>
      <c r="H2" s="67">
        <f>LOOKUP(B10,$V$2:$V$10)</f>
        <v>150</v>
      </c>
      <c r="J2" s="65" t="s">
        <v>666</v>
      </c>
      <c r="K2" s="67">
        <f>ราคาสี!$D$194</f>
        <v>500</v>
      </c>
      <c r="M2" s="9">
        <v>1</v>
      </c>
      <c r="N2" s="9" t="str">
        <f t="shared" ref="N2:N33" si="0">IF(MOD(M2-1,$B$4+$B$7)&lt;$B$4,"A","B")</f>
        <v>A</v>
      </c>
      <c r="O2" s="11">
        <f t="shared" ref="O2:O33" si="1">IF(N2="A",$E$3,$E$4)</f>
        <v>10.16</v>
      </c>
      <c r="P2" s="12">
        <f>O2</f>
        <v>10.16</v>
      </c>
      <c r="Q2" s="12">
        <f t="shared" ref="Q2:Q33" si="2">P2+(M2-1)*$B$8</f>
        <v>10.16</v>
      </c>
      <c r="R2" s="9">
        <f t="shared" ref="R2:R33" si="3">IF(AND(Q2&lt;=$B$9,N2="A"),1,0)</f>
        <v>1</v>
      </c>
      <c r="S2" s="9">
        <f t="shared" ref="S2:S33" si="4">IF(AND(Q2&lt;=$B$9,N2="B"),1,0)</f>
        <v>0</v>
      </c>
      <c r="T2" s="9">
        <f t="shared" ref="T2:T33" si="5">IF(Q2&lt;=$B$9,1,0)</f>
        <v>1</v>
      </c>
      <c r="V2" s="9">
        <v>50</v>
      </c>
      <c r="AB2" t="s">
        <v>666</v>
      </c>
      <c r="AC2" t="s">
        <v>1609</v>
      </c>
      <c r="AD2" t="s">
        <v>1610</v>
      </c>
      <c r="AF2" t="str">
        <f>IFERROR(VLOOKUP(B2,$AB$2:$AD$8,3,0),"")</f>
        <v>4"</v>
      </c>
    </row>
    <row r="3" spans="1:32" ht="15" customHeight="1">
      <c r="A3" s="63" t="s">
        <v>1699</v>
      </c>
      <c r="B3" s="64" t="str">
        <f>'คิดทุน ประตูรั้ว'!D11</f>
        <v>4"</v>
      </c>
      <c r="D3" s="592" t="s">
        <v>1700</v>
      </c>
      <c r="E3" s="66">
        <f>VLOOKUP(B3,$J$18:$K$23,2,0)</f>
        <v>10.16</v>
      </c>
      <c r="G3" s="65" t="s">
        <v>1658</v>
      </c>
      <c r="H3" s="67">
        <f>IFERROR(INDEX($V$2:$V$10,MATCH(B10,$V$2:$V$10,1)+1),99999)</f>
        <v>200</v>
      </c>
      <c r="J3" s="65" t="s">
        <v>667</v>
      </c>
      <c r="K3" s="67">
        <f>ราคาสี!$D$195</f>
        <v>310</v>
      </c>
      <c r="M3" s="9">
        <v>2</v>
      </c>
      <c r="N3" s="9" t="str">
        <f t="shared" si="0"/>
        <v>A</v>
      </c>
      <c r="O3" s="11">
        <f t="shared" si="1"/>
        <v>10.16</v>
      </c>
      <c r="P3" s="12">
        <f t="shared" ref="P3:P34" si="6">P2+O3</f>
        <v>20.32</v>
      </c>
      <c r="Q3" s="12">
        <f t="shared" si="2"/>
        <v>22.32</v>
      </c>
      <c r="R3" s="9">
        <f t="shared" si="3"/>
        <v>1</v>
      </c>
      <c r="S3" s="9">
        <f t="shared" si="4"/>
        <v>0</v>
      </c>
      <c r="T3" s="9">
        <f t="shared" si="5"/>
        <v>1</v>
      </c>
      <c r="V3" s="9">
        <v>60</v>
      </c>
      <c r="AB3" t="s">
        <v>667</v>
      </c>
      <c r="AC3" t="s">
        <v>1616</v>
      </c>
      <c r="AD3" t="s">
        <v>1616</v>
      </c>
      <c r="AF3" t="str">
        <f>IFERROR(VLOOKUP(B5,$AB$2:$AD$8,2,0),"")</f>
        <v>1.6"</v>
      </c>
    </row>
    <row r="4" spans="1:32" ht="15" customHeight="1">
      <c r="A4" s="63" t="s">
        <v>1701</v>
      </c>
      <c r="B4" s="68">
        <f>'คิดทุน ประตูรั้ว'!D5</f>
        <v>3</v>
      </c>
      <c r="D4" s="592" t="s">
        <v>1702</v>
      </c>
      <c r="E4" s="66">
        <f>VLOOKUP(B6,$J$18:$K$23,2,0)</f>
        <v>4.0599999999999996</v>
      </c>
      <c r="G4" s="65" t="s">
        <v>1665</v>
      </c>
      <c r="H4" s="67">
        <f>IF(B10-H2&lt;=20,H2,IF(H3-B10&lt;=20,H3,B10))</f>
        <v>200</v>
      </c>
      <c r="J4" s="65" t="s">
        <v>572</v>
      </c>
      <c r="K4" s="67">
        <f>ราคาสี!$D$196</f>
        <v>395</v>
      </c>
      <c r="M4" s="9">
        <v>3</v>
      </c>
      <c r="N4" s="9" t="str">
        <f t="shared" si="0"/>
        <v>A</v>
      </c>
      <c r="O4" s="11">
        <f t="shared" si="1"/>
        <v>10.16</v>
      </c>
      <c r="P4" s="12">
        <f t="shared" si="6"/>
        <v>30.48</v>
      </c>
      <c r="Q4" s="12">
        <f t="shared" si="2"/>
        <v>34.480000000000004</v>
      </c>
      <c r="R4" s="9">
        <f t="shared" si="3"/>
        <v>1</v>
      </c>
      <c r="S4" s="9">
        <f t="shared" si="4"/>
        <v>0</v>
      </c>
      <c r="T4" s="9">
        <f t="shared" si="5"/>
        <v>1</v>
      </c>
      <c r="V4" s="9">
        <v>75</v>
      </c>
      <c r="AB4" t="s">
        <v>572</v>
      </c>
      <c r="AC4" t="s">
        <v>1616</v>
      </c>
      <c r="AD4" t="s">
        <v>1621</v>
      </c>
      <c r="AF4" t="str">
        <f>IFERROR(VLOOKUP(B5,$AB$2:$AD$8,3,0),"")</f>
        <v>1.6"</v>
      </c>
    </row>
    <row r="5" spans="1:32" ht="15" customHeight="1">
      <c r="A5" s="63" t="s">
        <v>1703</v>
      </c>
      <c r="B5" s="64" t="str">
        <f>'คิดทุน ประตูรั้ว'!D6</f>
        <v>กล่อง 1.6"×1.6"</v>
      </c>
      <c r="D5" s="592" t="s">
        <v>1639</v>
      </c>
      <c r="E5" s="69">
        <f>VLOOKUP(B11,$J$11:$L$15,2,0)</f>
        <v>1</v>
      </c>
      <c r="G5" s="65" t="s">
        <v>1704</v>
      </c>
      <c r="H5" s="67">
        <f>LOOKUP(H4,$V$2:$V$10)</f>
        <v>200</v>
      </c>
      <c r="J5" s="65" t="s">
        <v>668</v>
      </c>
      <c r="K5" s="67">
        <f>ราคาสี!$D$197</f>
        <v>485</v>
      </c>
      <c r="M5" s="9">
        <v>4</v>
      </c>
      <c r="N5" s="9" t="str">
        <f t="shared" si="0"/>
        <v>B</v>
      </c>
      <c r="O5" s="11">
        <f t="shared" si="1"/>
        <v>4.0599999999999996</v>
      </c>
      <c r="P5" s="12">
        <f t="shared" si="6"/>
        <v>34.54</v>
      </c>
      <c r="Q5" s="12">
        <f t="shared" si="2"/>
        <v>40.54</v>
      </c>
      <c r="R5" s="9">
        <f t="shared" si="3"/>
        <v>0</v>
      </c>
      <c r="S5" s="9">
        <f t="shared" si="4"/>
        <v>1</v>
      </c>
      <c r="T5" s="9">
        <f t="shared" si="5"/>
        <v>1</v>
      </c>
      <c r="V5" s="9">
        <v>100</v>
      </c>
      <c r="AB5" t="s">
        <v>668</v>
      </c>
      <c r="AC5" t="s">
        <v>1616</v>
      </c>
      <c r="AD5" t="s">
        <v>1612</v>
      </c>
    </row>
    <row r="6" spans="1:32" ht="15" customHeight="1">
      <c r="A6" s="63" t="s">
        <v>1705</v>
      </c>
      <c r="B6" s="64" t="str">
        <f>'คิดทุน ประตูรั้ว'!D7</f>
        <v>1.6"</v>
      </c>
      <c r="D6" s="592" t="s">
        <v>1706</v>
      </c>
      <c r="E6" s="67">
        <f>ROUND(VLOOKUP(B2,$J$2:$K$8,2,0)*E5/5,0)*5</f>
        <v>905</v>
      </c>
      <c r="G6" s="65" t="s">
        <v>1707</v>
      </c>
      <c r="H6" s="67">
        <f>H4-H5</f>
        <v>0</v>
      </c>
      <c r="J6" s="65" t="s">
        <v>669</v>
      </c>
      <c r="K6" s="67">
        <f>ราคาสี!$D$198</f>
        <v>905</v>
      </c>
      <c r="M6" s="9">
        <v>5</v>
      </c>
      <c r="N6" s="9" t="str">
        <f t="shared" si="0"/>
        <v>B</v>
      </c>
      <c r="O6" s="11">
        <f t="shared" si="1"/>
        <v>4.0599999999999996</v>
      </c>
      <c r="P6" s="12">
        <f t="shared" si="6"/>
        <v>38.6</v>
      </c>
      <c r="Q6" s="12">
        <f t="shared" si="2"/>
        <v>46.6</v>
      </c>
      <c r="R6" s="9">
        <f t="shared" si="3"/>
        <v>0</v>
      </c>
      <c r="S6" s="9">
        <f t="shared" si="4"/>
        <v>1</v>
      </c>
      <c r="T6" s="9">
        <f t="shared" si="5"/>
        <v>1</v>
      </c>
      <c r="V6" s="9">
        <v>120</v>
      </c>
      <c r="AB6" t="s">
        <v>669</v>
      </c>
      <c r="AC6" t="s">
        <v>1616</v>
      </c>
      <c r="AD6" t="s">
        <v>1630</v>
      </c>
    </row>
    <row r="7" spans="1:32" ht="15" customHeight="1">
      <c r="A7" s="63" t="s">
        <v>1708</v>
      </c>
      <c r="B7" s="68">
        <f>'คิดทุน ประตูรั้ว'!D8</f>
        <v>5</v>
      </c>
      <c r="D7" s="592" t="s">
        <v>1709</v>
      </c>
      <c r="E7" s="67">
        <f>ROUND(VLOOKUP(B5,$J$2:$K$8,2,0)*E5/5,0)*5</f>
        <v>770</v>
      </c>
      <c r="G7" s="65" t="s">
        <v>1710</v>
      </c>
      <c r="H7" s="67">
        <f>ROUNDUP(E9/MAX(INT(600/H4),1),0)</f>
        <v>6</v>
      </c>
      <c r="J7" s="65" t="s">
        <v>571</v>
      </c>
      <c r="K7" s="67">
        <f>ราคาสี!$D$199</f>
        <v>770</v>
      </c>
      <c r="M7" s="9">
        <v>6</v>
      </c>
      <c r="N7" s="9" t="str">
        <f t="shared" si="0"/>
        <v>B</v>
      </c>
      <c r="O7" s="11">
        <f t="shared" si="1"/>
        <v>4.0599999999999996</v>
      </c>
      <c r="P7" s="12">
        <f t="shared" si="6"/>
        <v>42.660000000000004</v>
      </c>
      <c r="Q7" s="12">
        <f t="shared" si="2"/>
        <v>52.660000000000004</v>
      </c>
      <c r="R7" s="9">
        <f t="shared" si="3"/>
        <v>0</v>
      </c>
      <c r="S7" s="9">
        <f t="shared" si="4"/>
        <v>1</v>
      </c>
      <c r="T7" s="9">
        <f t="shared" si="5"/>
        <v>1</v>
      </c>
      <c r="V7" s="9">
        <v>150</v>
      </c>
      <c r="AB7" t="s">
        <v>571</v>
      </c>
      <c r="AC7" t="s">
        <v>1612</v>
      </c>
      <c r="AD7" t="s">
        <v>1612</v>
      </c>
    </row>
    <row r="8" spans="1:32" ht="15" customHeight="1">
      <c r="A8" s="63" t="s">
        <v>1711</v>
      </c>
      <c r="B8" s="86">
        <f>'คิดทุน ประตูรั้ว'!D9</f>
        <v>2</v>
      </c>
      <c r="D8" s="592" t="s">
        <v>1712</v>
      </c>
      <c r="E8" s="67">
        <f>SUM(T2:T201)</f>
        <v>41</v>
      </c>
      <c r="G8" s="65" t="s">
        <v>1713</v>
      </c>
      <c r="H8" s="67">
        <f>ROUNDUP(E9/(600/H5),0)+IF(H6&gt;0,ROUNDUP(E9/INT(600/H6),0),0)</f>
        <v>6</v>
      </c>
      <c r="J8" s="65" t="s">
        <v>570</v>
      </c>
      <c r="K8" s="67">
        <f>ราคาสี!$D$200</f>
        <v>1220</v>
      </c>
      <c r="M8" s="9">
        <v>7</v>
      </c>
      <c r="N8" s="9" t="str">
        <f t="shared" si="0"/>
        <v>B</v>
      </c>
      <c r="O8" s="11">
        <f t="shared" si="1"/>
        <v>4.0599999999999996</v>
      </c>
      <c r="P8" s="12">
        <f t="shared" si="6"/>
        <v>46.720000000000006</v>
      </c>
      <c r="Q8" s="12">
        <f t="shared" si="2"/>
        <v>58.720000000000006</v>
      </c>
      <c r="R8" s="9">
        <f t="shared" si="3"/>
        <v>0</v>
      </c>
      <c r="S8" s="9">
        <f t="shared" si="4"/>
        <v>1</v>
      </c>
      <c r="T8" s="9">
        <f t="shared" si="5"/>
        <v>1</v>
      </c>
      <c r="V8" s="9">
        <v>200</v>
      </c>
      <c r="AB8" t="s">
        <v>570</v>
      </c>
      <c r="AC8" t="s">
        <v>1612</v>
      </c>
      <c r="AD8" t="s">
        <v>1630</v>
      </c>
    </row>
    <row r="9" spans="1:32" ht="15" customHeight="1">
      <c r="A9" s="63" t="s">
        <v>1714</v>
      </c>
      <c r="B9" s="68">
        <f>'คิดทุน ประตูรั้ว'!B7</f>
        <v>350</v>
      </c>
      <c r="D9" s="592" t="s">
        <v>1715</v>
      </c>
      <c r="E9" s="67">
        <f>SUM(R2:R201)</f>
        <v>16</v>
      </c>
      <c r="G9" s="65" t="s">
        <v>1716</v>
      </c>
      <c r="H9" s="67">
        <f>ROUNDUP(E10/MAX(INT(600/H4),1),0)</f>
        <v>9</v>
      </c>
      <c r="M9" s="9">
        <v>8</v>
      </c>
      <c r="N9" s="9" t="str">
        <f t="shared" si="0"/>
        <v>B</v>
      </c>
      <c r="O9" s="11">
        <f t="shared" si="1"/>
        <v>4.0599999999999996</v>
      </c>
      <c r="P9" s="12">
        <f t="shared" si="6"/>
        <v>50.780000000000008</v>
      </c>
      <c r="Q9" s="12">
        <f t="shared" si="2"/>
        <v>64.78</v>
      </c>
      <c r="R9" s="9">
        <f t="shared" si="3"/>
        <v>0</v>
      </c>
      <c r="S9" s="9">
        <f t="shared" si="4"/>
        <v>1</v>
      </c>
      <c r="T9" s="9">
        <f t="shared" si="5"/>
        <v>1</v>
      </c>
      <c r="V9" s="9">
        <v>300</v>
      </c>
    </row>
    <row r="10" spans="1:32" ht="15" customHeight="1">
      <c r="A10" s="63" t="s">
        <v>1717</v>
      </c>
      <c r="B10" s="68">
        <f>'คิดทุน ประตูรั้ว'!B8</f>
        <v>180</v>
      </c>
      <c r="D10" s="592" t="s">
        <v>1718</v>
      </c>
      <c r="E10" s="67">
        <f>SUM(S2:S201)</f>
        <v>25</v>
      </c>
      <c r="G10" s="65" t="s">
        <v>1719</v>
      </c>
      <c r="H10" s="67">
        <f>ROUNDUP(E10/(600/H5),0)+IF(H6&gt;0,ROUNDUP(E10/INT(600/H6),0),0)</f>
        <v>9</v>
      </c>
      <c r="M10" s="9">
        <v>9</v>
      </c>
      <c r="N10" s="9" t="str">
        <f t="shared" si="0"/>
        <v>A</v>
      </c>
      <c r="O10" s="11">
        <f t="shared" si="1"/>
        <v>10.16</v>
      </c>
      <c r="P10" s="12">
        <f t="shared" si="6"/>
        <v>60.940000000000012</v>
      </c>
      <c r="Q10" s="12">
        <f t="shared" si="2"/>
        <v>76.940000000000012</v>
      </c>
      <c r="R10" s="9">
        <f t="shared" si="3"/>
        <v>1</v>
      </c>
      <c r="S10" s="9">
        <f t="shared" si="4"/>
        <v>0</v>
      </c>
      <c r="T10" s="9">
        <f t="shared" si="5"/>
        <v>1</v>
      </c>
      <c r="V10" s="9">
        <v>600</v>
      </c>
    </row>
    <row r="11" spans="1:32" ht="15" customHeight="1">
      <c r="A11" s="63" t="s">
        <v>1122</v>
      </c>
      <c r="B11" s="64" t="str">
        <f>'คิดทุน ประตูรั้ว'!B5</f>
        <v>ขาว/ดำ</v>
      </c>
      <c r="D11" s="592" t="s">
        <v>1720</v>
      </c>
      <c r="E11" s="87">
        <f>SUMPRODUCT($T$2:$T$201,$O$2:$O$201)</f>
        <v>264.06000000000006</v>
      </c>
      <c r="G11" s="65" t="s">
        <v>1721</v>
      </c>
      <c r="H11" s="67">
        <f>IF(AND(B15="ต่อ",H6&gt;0),(E9+E10)*80,0)</f>
        <v>0</v>
      </c>
      <c r="J11" s="65" t="s">
        <v>100</v>
      </c>
      <c r="K11" s="69">
        <v>1</v>
      </c>
      <c r="L11" s="67">
        <v>0</v>
      </c>
      <c r="M11" s="9">
        <v>10</v>
      </c>
      <c r="N11" s="9" t="str">
        <f t="shared" si="0"/>
        <v>A</v>
      </c>
      <c r="O11" s="11">
        <f t="shared" si="1"/>
        <v>10.16</v>
      </c>
      <c r="P11" s="12">
        <f t="shared" si="6"/>
        <v>71.100000000000009</v>
      </c>
      <c r="Q11" s="12">
        <f t="shared" si="2"/>
        <v>89.100000000000009</v>
      </c>
      <c r="R11" s="9">
        <f t="shared" si="3"/>
        <v>1</v>
      </c>
      <c r="S11" s="9">
        <f t="shared" si="4"/>
        <v>0</v>
      </c>
      <c r="T11" s="9">
        <f t="shared" si="5"/>
        <v>1</v>
      </c>
    </row>
    <row r="12" spans="1:32" ht="15" customHeight="1">
      <c r="A12" s="63" t="s">
        <v>1622</v>
      </c>
      <c r="B12" s="594" t="s">
        <v>1623</v>
      </c>
      <c r="D12" s="65" t="s">
        <v>1722</v>
      </c>
      <c r="E12" s="66">
        <f>(B9-E11)/(E8-1)</f>
        <v>2.1484999999999985</v>
      </c>
      <c r="J12" s="65" t="s">
        <v>81</v>
      </c>
      <c r="K12" s="69">
        <v>1.5208299999999999</v>
      </c>
      <c r="L12" s="67">
        <v>0</v>
      </c>
      <c r="M12" s="9">
        <v>11</v>
      </c>
      <c r="N12" s="9" t="str">
        <f t="shared" si="0"/>
        <v>A</v>
      </c>
      <c r="O12" s="11">
        <f t="shared" si="1"/>
        <v>10.16</v>
      </c>
      <c r="P12" s="12">
        <f t="shared" si="6"/>
        <v>81.260000000000005</v>
      </c>
      <c r="Q12" s="12">
        <f t="shared" si="2"/>
        <v>101.26</v>
      </c>
      <c r="R12" s="9">
        <f t="shared" si="3"/>
        <v>1</v>
      </c>
      <c r="S12" s="9">
        <f t="shared" si="4"/>
        <v>0</v>
      </c>
      <c r="T12" s="9">
        <f t="shared" si="5"/>
        <v>1</v>
      </c>
    </row>
    <row r="13" spans="1:32" ht="15" customHeight="1">
      <c r="A13" s="63" t="s">
        <v>1641</v>
      </c>
      <c r="B13" s="68">
        <f>VLOOKUP("ระแนง",ค่าแรง!$A$12:$N$117,3,0)+VLOOKUP("ระแนง",ค่าแรง!$A$12:$N$117,2,0)/MAX(E2,0.01)</f>
        <v>325.25</v>
      </c>
      <c r="D13" s="592" t="s">
        <v>1723</v>
      </c>
      <c r="E13" s="67">
        <f>IF(B15="ต่อ",H8,H7)</f>
        <v>6</v>
      </c>
      <c r="J13" s="65" t="s">
        <v>1655</v>
      </c>
      <c r="K13" s="69">
        <v>1.5860000000000001</v>
      </c>
      <c r="L13" s="67">
        <v>0</v>
      </c>
      <c r="M13" s="9">
        <v>12</v>
      </c>
      <c r="N13" s="9" t="str">
        <f t="shared" si="0"/>
        <v>B</v>
      </c>
      <c r="O13" s="11">
        <f t="shared" si="1"/>
        <v>4.0599999999999996</v>
      </c>
      <c r="P13" s="12">
        <f t="shared" si="6"/>
        <v>85.320000000000007</v>
      </c>
      <c r="Q13" s="12">
        <f t="shared" si="2"/>
        <v>107.32000000000001</v>
      </c>
      <c r="R13" s="9">
        <f t="shared" si="3"/>
        <v>0</v>
      </c>
      <c r="S13" s="9">
        <f t="shared" si="4"/>
        <v>1</v>
      </c>
      <c r="T13" s="9">
        <f t="shared" si="5"/>
        <v>1</v>
      </c>
    </row>
    <row r="14" spans="1:32" ht="15" customHeight="1">
      <c r="A14" s="21" t="s">
        <v>1650</v>
      </c>
      <c r="B14" s="68">
        <f>VLOOKUP("ระแนง",ค่าแรง!$A$12:$N$117,5,0)+VLOOKUP("ระแนง",ค่าแรง!$A$12:$N$117,4,0)/MAX(E2,0.01)</f>
        <v>601.5</v>
      </c>
      <c r="D14" s="592" t="s">
        <v>1724</v>
      </c>
      <c r="E14" s="67">
        <f>IF(B15="ต่อ",H10,H9)</f>
        <v>9</v>
      </c>
      <c r="J14" s="65" t="s">
        <v>83</v>
      </c>
      <c r="K14" s="69">
        <v>1.9010400000000001</v>
      </c>
      <c r="L14" s="67">
        <v>2000</v>
      </c>
      <c r="M14" s="9">
        <v>13</v>
      </c>
      <c r="N14" s="9" t="str">
        <f t="shared" si="0"/>
        <v>B</v>
      </c>
      <c r="O14" s="11">
        <f t="shared" si="1"/>
        <v>4.0599999999999996</v>
      </c>
      <c r="P14" s="12">
        <f t="shared" si="6"/>
        <v>89.38000000000001</v>
      </c>
      <c r="Q14" s="12">
        <f t="shared" si="2"/>
        <v>113.38000000000001</v>
      </c>
      <c r="R14" s="9">
        <f t="shared" si="3"/>
        <v>0</v>
      </c>
      <c r="S14" s="9">
        <f t="shared" si="4"/>
        <v>1</v>
      </c>
      <c r="T14" s="9">
        <f t="shared" si="5"/>
        <v>1</v>
      </c>
    </row>
    <row r="15" spans="1:32" ht="15" customHeight="1">
      <c r="A15" s="63" t="s">
        <v>1645</v>
      </c>
      <c r="B15" s="64" t="str">
        <f>'คิดทุน ประตูรั้ว'!B17</f>
        <v>ไม่ต่อ</v>
      </c>
      <c r="D15" s="592" t="s">
        <v>1725</v>
      </c>
      <c r="E15" s="67">
        <f>VLOOKUP(B11,$J$11:$L$15,3,0)</f>
        <v>0</v>
      </c>
      <c r="J15" s="65" t="s">
        <v>85</v>
      </c>
      <c r="K15" s="69">
        <v>1.9895799999999999</v>
      </c>
      <c r="L15" s="67">
        <v>2000</v>
      </c>
      <c r="M15" s="9">
        <v>14</v>
      </c>
      <c r="N15" s="9" t="str">
        <f t="shared" si="0"/>
        <v>B</v>
      </c>
      <c r="O15" s="11">
        <f t="shared" si="1"/>
        <v>4.0599999999999996</v>
      </c>
      <c r="P15" s="12">
        <f t="shared" si="6"/>
        <v>93.440000000000012</v>
      </c>
      <c r="Q15" s="12">
        <f t="shared" si="2"/>
        <v>119.44000000000001</v>
      </c>
      <c r="R15" s="9">
        <f t="shared" si="3"/>
        <v>0</v>
      </c>
      <c r="S15" s="9">
        <f t="shared" si="4"/>
        <v>1</v>
      </c>
      <c r="T15" s="9">
        <f t="shared" si="5"/>
        <v>1</v>
      </c>
    </row>
    <row r="16" spans="1:32" ht="15" customHeight="1">
      <c r="D16" s="65" t="s">
        <v>1607</v>
      </c>
      <c r="E16" s="67">
        <f>IF(B12="รวม",ROUNDUP(IF(B10&lt;=250,2,3)/MAX(INT(600/B9),1),0),0)</f>
        <v>0</v>
      </c>
      <c r="M16" s="9">
        <v>15</v>
      </c>
      <c r="N16" s="9" t="str">
        <f t="shared" si="0"/>
        <v>B</v>
      </c>
      <c r="O16" s="11">
        <f t="shared" si="1"/>
        <v>4.0599999999999996</v>
      </c>
      <c r="P16" s="12">
        <f t="shared" si="6"/>
        <v>97.500000000000014</v>
      </c>
      <c r="Q16" s="12">
        <f t="shared" si="2"/>
        <v>125.50000000000001</v>
      </c>
      <c r="R16" s="9">
        <f t="shared" si="3"/>
        <v>0</v>
      </c>
      <c r="S16" s="9">
        <f t="shared" si="4"/>
        <v>1</v>
      </c>
      <c r="T16" s="9">
        <f t="shared" si="5"/>
        <v>1</v>
      </c>
    </row>
    <row r="17" spans="1:20" ht="15" customHeight="1">
      <c r="D17" s="65" t="s">
        <v>1727</v>
      </c>
      <c r="E17" s="67">
        <f>ROUND(485*E5/5,0)*5</f>
        <v>485</v>
      </c>
      <c r="M17" s="9">
        <v>16</v>
      </c>
      <c r="N17" s="9" t="str">
        <f t="shared" si="0"/>
        <v>B</v>
      </c>
      <c r="O17" s="11">
        <f t="shared" si="1"/>
        <v>4.0599999999999996</v>
      </c>
      <c r="P17" s="12">
        <f t="shared" si="6"/>
        <v>101.56000000000002</v>
      </c>
      <c r="Q17" s="12">
        <f t="shared" si="2"/>
        <v>131.56</v>
      </c>
      <c r="R17" s="9">
        <f t="shared" si="3"/>
        <v>0</v>
      </c>
      <c r="S17" s="9">
        <f t="shared" si="4"/>
        <v>1</v>
      </c>
      <c r="T17" s="9">
        <f t="shared" si="5"/>
        <v>1</v>
      </c>
    </row>
    <row r="18" spans="1:20" ht="15" customHeight="1">
      <c r="J18" s="65" t="s">
        <v>1609</v>
      </c>
      <c r="K18" s="88">
        <v>1</v>
      </c>
      <c r="M18" s="9">
        <v>17</v>
      </c>
      <c r="N18" s="9" t="str">
        <f t="shared" si="0"/>
        <v>A</v>
      </c>
      <c r="O18" s="11">
        <f t="shared" si="1"/>
        <v>10.16</v>
      </c>
      <c r="P18" s="12">
        <f t="shared" si="6"/>
        <v>111.72000000000001</v>
      </c>
      <c r="Q18" s="12">
        <f t="shared" si="2"/>
        <v>143.72000000000003</v>
      </c>
      <c r="R18" s="9">
        <f t="shared" si="3"/>
        <v>1</v>
      </c>
      <c r="S18" s="9">
        <f t="shared" si="4"/>
        <v>0</v>
      </c>
      <c r="T18" s="9">
        <f t="shared" si="5"/>
        <v>1</v>
      </c>
    </row>
    <row r="19" spans="1:20" ht="15" customHeight="1">
      <c r="J19" s="65" t="s">
        <v>1610</v>
      </c>
      <c r="K19" s="88">
        <v>5</v>
      </c>
      <c r="M19" s="9">
        <v>18</v>
      </c>
      <c r="N19" s="9" t="str">
        <f t="shared" si="0"/>
        <v>A</v>
      </c>
      <c r="O19" s="11">
        <f t="shared" si="1"/>
        <v>10.16</v>
      </c>
      <c r="P19" s="12">
        <f t="shared" si="6"/>
        <v>121.88000000000001</v>
      </c>
      <c r="Q19" s="12">
        <f t="shared" si="2"/>
        <v>155.88</v>
      </c>
      <c r="R19" s="9">
        <f t="shared" si="3"/>
        <v>1</v>
      </c>
      <c r="S19" s="9">
        <f t="shared" si="4"/>
        <v>0</v>
      </c>
      <c r="T19" s="9">
        <f t="shared" si="5"/>
        <v>1</v>
      </c>
    </row>
    <row r="20" spans="1:20" ht="15" customHeight="1">
      <c r="A20" s="82" t="s">
        <v>606</v>
      </c>
      <c r="B20" s="82" t="s">
        <v>1124</v>
      </c>
      <c r="C20" s="82" t="s">
        <v>1541</v>
      </c>
      <c r="D20" s="82" t="s">
        <v>1242</v>
      </c>
      <c r="J20" s="83" t="s">
        <v>1616</v>
      </c>
      <c r="K20" s="89">
        <v>2.54</v>
      </c>
      <c r="M20" s="9">
        <v>19</v>
      </c>
      <c r="N20" s="9" t="str">
        <f t="shared" si="0"/>
        <v>A</v>
      </c>
      <c r="O20" s="11">
        <f t="shared" si="1"/>
        <v>10.16</v>
      </c>
      <c r="P20" s="12">
        <f t="shared" si="6"/>
        <v>132.04000000000002</v>
      </c>
      <c r="Q20" s="12">
        <f t="shared" si="2"/>
        <v>168.04000000000002</v>
      </c>
      <c r="R20" s="9">
        <f t="shared" si="3"/>
        <v>1</v>
      </c>
      <c r="S20" s="9">
        <f t="shared" si="4"/>
        <v>0</v>
      </c>
      <c r="T20" s="9">
        <f t="shared" si="5"/>
        <v>1</v>
      </c>
    </row>
    <row r="21" spans="1:20" ht="15" customHeight="1">
      <c r="A21" s="71" t="str">
        <f>B2&amp;" — A (โชว์ "&amp;B3&amp;")"</f>
        <v>กล่อง 1"×4" — A (โชว์ 4")</v>
      </c>
      <c r="B21" s="57">
        <f>E13</f>
        <v>6</v>
      </c>
      <c r="C21" s="57">
        <f>E6</f>
        <v>905</v>
      </c>
      <c r="D21" s="57">
        <f t="shared" ref="D21:D26" si="7">B21*C21</f>
        <v>5430</v>
      </c>
      <c r="J21" s="65" t="s">
        <v>1621</v>
      </c>
      <c r="K21" s="88">
        <v>3.81</v>
      </c>
      <c r="M21" s="9">
        <v>20</v>
      </c>
      <c r="N21" s="9" t="str">
        <f t="shared" si="0"/>
        <v>B</v>
      </c>
      <c r="O21" s="11">
        <f t="shared" si="1"/>
        <v>4.0599999999999996</v>
      </c>
      <c r="P21" s="12">
        <f t="shared" si="6"/>
        <v>136.10000000000002</v>
      </c>
      <c r="Q21" s="12">
        <f t="shared" si="2"/>
        <v>174.10000000000002</v>
      </c>
      <c r="R21" s="9">
        <f t="shared" si="3"/>
        <v>0</v>
      </c>
      <c r="S21" s="9">
        <f t="shared" si="4"/>
        <v>1</v>
      </c>
      <c r="T21" s="9">
        <f t="shared" si="5"/>
        <v>1</v>
      </c>
    </row>
    <row r="22" spans="1:20" ht="15" customHeight="1">
      <c r="A22" s="71" t="str">
        <f>B5&amp;" — B (โชว์ "&amp;B6&amp;")"</f>
        <v>กล่อง 1.6"×1.6" — B (โชว์ 1.6")</v>
      </c>
      <c r="B22" s="57">
        <f>E14</f>
        <v>9</v>
      </c>
      <c r="C22" s="57">
        <f>E7</f>
        <v>770</v>
      </c>
      <c r="D22" s="57">
        <f t="shared" si="7"/>
        <v>6930</v>
      </c>
      <c r="J22" s="65" t="s">
        <v>1612</v>
      </c>
      <c r="K22" s="88">
        <v>4.0599999999999996</v>
      </c>
      <c r="M22" s="9">
        <v>21</v>
      </c>
      <c r="N22" s="9" t="str">
        <f t="shared" si="0"/>
        <v>B</v>
      </c>
      <c r="O22" s="11">
        <f t="shared" si="1"/>
        <v>4.0599999999999996</v>
      </c>
      <c r="P22" s="12">
        <f t="shared" si="6"/>
        <v>140.16000000000003</v>
      </c>
      <c r="Q22" s="12">
        <f t="shared" si="2"/>
        <v>180.16000000000003</v>
      </c>
      <c r="R22" s="9">
        <f t="shared" si="3"/>
        <v>0</v>
      </c>
      <c r="S22" s="9">
        <f t="shared" si="4"/>
        <v>1</v>
      </c>
      <c r="T22" s="9">
        <f t="shared" si="5"/>
        <v>1</v>
      </c>
    </row>
    <row r="23" spans="1:20" ht="15" customHeight="1">
      <c r="A23" s="71" t="s">
        <v>1728</v>
      </c>
      <c r="B23" s="57">
        <f>IF(AND(B15="ต่อ",H6&gt;0),E9+E10,0)</f>
        <v>0</v>
      </c>
      <c r="C23" s="57">
        <v>80</v>
      </c>
      <c r="D23" s="57">
        <f t="shared" si="7"/>
        <v>0</v>
      </c>
      <c r="J23" s="65" t="s">
        <v>1630</v>
      </c>
      <c r="K23" s="88">
        <v>10.16</v>
      </c>
      <c r="M23" s="9">
        <v>22</v>
      </c>
      <c r="N23" s="9" t="str">
        <f t="shared" si="0"/>
        <v>B</v>
      </c>
      <c r="O23" s="11">
        <f t="shared" si="1"/>
        <v>4.0599999999999996</v>
      </c>
      <c r="P23" s="12">
        <f t="shared" si="6"/>
        <v>144.22000000000003</v>
      </c>
      <c r="Q23" s="12">
        <f t="shared" si="2"/>
        <v>186.22000000000003</v>
      </c>
      <c r="R23" s="9">
        <f t="shared" si="3"/>
        <v>0</v>
      </c>
      <c r="S23" s="9">
        <f t="shared" si="4"/>
        <v>1</v>
      </c>
      <c r="T23" s="9">
        <f t="shared" si="5"/>
        <v>1</v>
      </c>
    </row>
    <row r="24" spans="1:20" ht="15" customHeight="1">
      <c r="A24" s="71" t="s">
        <v>1729</v>
      </c>
      <c r="B24" s="57">
        <f>E16</f>
        <v>0</v>
      </c>
      <c r="C24" s="57">
        <f>E17</f>
        <v>485</v>
      </c>
      <c r="D24" s="57">
        <f t="shared" si="7"/>
        <v>0</v>
      </c>
      <c r="M24" s="9">
        <v>23</v>
      </c>
      <c r="N24" s="9" t="str">
        <f t="shared" si="0"/>
        <v>B</v>
      </c>
      <c r="O24" s="11">
        <f t="shared" si="1"/>
        <v>4.0599999999999996</v>
      </c>
      <c r="P24" s="12">
        <f t="shared" si="6"/>
        <v>148.28000000000003</v>
      </c>
      <c r="Q24" s="12">
        <f t="shared" si="2"/>
        <v>192.28000000000003</v>
      </c>
      <c r="R24" s="9">
        <f t="shared" si="3"/>
        <v>0</v>
      </c>
      <c r="S24" s="9">
        <f t="shared" si="4"/>
        <v>1</v>
      </c>
      <c r="T24" s="9">
        <f t="shared" si="5"/>
        <v>1</v>
      </c>
    </row>
    <row r="25" spans="1:20" ht="15" customHeight="1">
      <c r="A25" s="71" t="s">
        <v>1666</v>
      </c>
      <c r="B25" s="57">
        <f>IF(E15&gt;0,1,0)</f>
        <v>0</v>
      </c>
      <c r="C25" s="57">
        <f>E15</f>
        <v>0</v>
      </c>
      <c r="D25" s="57">
        <f t="shared" si="7"/>
        <v>0</v>
      </c>
      <c r="M25" s="9">
        <v>24</v>
      </c>
      <c r="N25" s="9" t="str">
        <f t="shared" si="0"/>
        <v>B</v>
      </c>
      <c r="O25" s="11">
        <f t="shared" si="1"/>
        <v>4.0599999999999996</v>
      </c>
      <c r="P25" s="12">
        <f t="shared" si="6"/>
        <v>152.34000000000003</v>
      </c>
      <c r="Q25" s="12">
        <f t="shared" si="2"/>
        <v>198.34000000000003</v>
      </c>
      <c r="R25" s="9">
        <f t="shared" si="3"/>
        <v>0</v>
      </c>
      <c r="S25" s="9">
        <f t="shared" si="4"/>
        <v>1</v>
      </c>
      <c r="T25" s="9">
        <f t="shared" si="5"/>
        <v>1</v>
      </c>
    </row>
    <row r="26" spans="1:20" ht="15" customHeight="1">
      <c r="A26" s="90" t="s">
        <v>1668</v>
      </c>
      <c r="B26" s="91">
        <f>E2</f>
        <v>7</v>
      </c>
      <c r="C26" s="91">
        <f>B13+B14</f>
        <v>926.75</v>
      </c>
      <c r="D26" s="91">
        <f t="shared" si="7"/>
        <v>6487.25</v>
      </c>
      <c r="M26" s="9">
        <v>25</v>
      </c>
      <c r="N26" s="9" t="str">
        <f t="shared" si="0"/>
        <v>A</v>
      </c>
      <c r="O26" s="11">
        <f t="shared" si="1"/>
        <v>10.16</v>
      </c>
      <c r="P26" s="12">
        <f t="shared" si="6"/>
        <v>162.50000000000003</v>
      </c>
      <c r="Q26" s="12">
        <f t="shared" si="2"/>
        <v>210.50000000000003</v>
      </c>
      <c r="R26" s="9">
        <f t="shared" si="3"/>
        <v>1</v>
      </c>
      <c r="S26" s="9">
        <f t="shared" si="4"/>
        <v>0</v>
      </c>
      <c r="T26" s="9">
        <f t="shared" si="5"/>
        <v>1</v>
      </c>
    </row>
    <row r="27" spans="1:20" ht="15" customHeight="1">
      <c r="A27" s="73" t="s">
        <v>1137</v>
      </c>
      <c r="B27" s="117"/>
      <c r="C27" s="117"/>
      <c r="D27" s="74">
        <f>SUM(D21:D26)</f>
        <v>18847.25</v>
      </c>
      <c r="M27" s="9">
        <v>26</v>
      </c>
      <c r="N27" s="9" t="str">
        <f t="shared" si="0"/>
        <v>A</v>
      </c>
      <c r="O27" s="11">
        <f t="shared" si="1"/>
        <v>10.16</v>
      </c>
      <c r="P27" s="12">
        <f t="shared" si="6"/>
        <v>172.66000000000003</v>
      </c>
      <c r="Q27" s="12">
        <f t="shared" si="2"/>
        <v>222.66000000000003</v>
      </c>
      <c r="R27" s="9">
        <f t="shared" si="3"/>
        <v>1</v>
      </c>
      <c r="S27" s="9">
        <f t="shared" si="4"/>
        <v>0</v>
      </c>
      <c r="T27" s="9">
        <f t="shared" si="5"/>
        <v>1</v>
      </c>
    </row>
    <row r="28" spans="1:20" ht="15" customHeight="1">
      <c r="A28" s="73" t="s">
        <v>1045</v>
      </c>
      <c r="B28" s="117"/>
      <c r="C28" s="117"/>
      <c r="D28" s="74">
        <f>D27/E2</f>
        <v>2692.4642857142858</v>
      </c>
      <c r="M28" s="9">
        <v>27</v>
      </c>
      <c r="N28" s="9" t="str">
        <f t="shared" si="0"/>
        <v>A</v>
      </c>
      <c r="O28" s="11">
        <f t="shared" si="1"/>
        <v>10.16</v>
      </c>
      <c r="P28" s="12">
        <f t="shared" si="6"/>
        <v>182.82000000000002</v>
      </c>
      <c r="Q28" s="12">
        <f t="shared" si="2"/>
        <v>234.82000000000002</v>
      </c>
      <c r="R28" s="9">
        <f t="shared" si="3"/>
        <v>1</v>
      </c>
      <c r="S28" s="9">
        <f t="shared" si="4"/>
        <v>0</v>
      </c>
      <c r="T28" s="9">
        <f t="shared" si="5"/>
        <v>1</v>
      </c>
    </row>
    <row r="29" spans="1:20" ht="15" customHeight="1">
      <c r="A29" s="13"/>
      <c r="M29" s="9">
        <v>28</v>
      </c>
      <c r="N29" s="9" t="str">
        <f t="shared" si="0"/>
        <v>B</v>
      </c>
      <c r="O29" s="11">
        <f t="shared" si="1"/>
        <v>4.0599999999999996</v>
      </c>
      <c r="P29" s="12">
        <f t="shared" si="6"/>
        <v>186.88000000000002</v>
      </c>
      <c r="Q29" s="12">
        <f t="shared" si="2"/>
        <v>240.88000000000002</v>
      </c>
      <c r="R29" s="9">
        <f t="shared" si="3"/>
        <v>0</v>
      </c>
      <c r="S29" s="9">
        <f t="shared" si="4"/>
        <v>1</v>
      </c>
      <c r="T29" s="9">
        <f t="shared" si="5"/>
        <v>1</v>
      </c>
    </row>
    <row r="30" spans="1:20" ht="15" customHeight="1">
      <c r="A30" s="79"/>
      <c r="B30" s="114"/>
      <c r="M30" s="9">
        <v>29</v>
      </c>
      <c r="N30" s="9" t="str">
        <f t="shared" si="0"/>
        <v>B</v>
      </c>
      <c r="O30" s="11">
        <f t="shared" si="1"/>
        <v>4.0599999999999996</v>
      </c>
      <c r="P30" s="12">
        <f t="shared" si="6"/>
        <v>190.94000000000003</v>
      </c>
      <c r="Q30" s="12">
        <f t="shared" si="2"/>
        <v>246.94000000000003</v>
      </c>
      <c r="R30" s="9">
        <f t="shared" si="3"/>
        <v>0</v>
      </c>
      <c r="S30" s="9">
        <f t="shared" si="4"/>
        <v>1</v>
      </c>
      <c r="T30" s="9">
        <f t="shared" si="5"/>
        <v>1</v>
      </c>
    </row>
    <row r="31" spans="1:20" ht="15" customHeight="1">
      <c r="A31" s="26" t="s">
        <v>1730</v>
      </c>
      <c r="D31" s="42">
        <f>SUM(D21:D25)</f>
        <v>12360</v>
      </c>
      <c r="M31" s="9">
        <v>30</v>
      </c>
      <c r="N31" s="9" t="str">
        <f t="shared" si="0"/>
        <v>B</v>
      </c>
      <c r="O31" s="11">
        <f t="shared" si="1"/>
        <v>4.0599999999999996</v>
      </c>
      <c r="P31" s="12">
        <f t="shared" si="6"/>
        <v>195.00000000000003</v>
      </c>
      <c r="Q31" s="12">
        <f t="shared" si="2"/>
        <v>253.00000000000003</v>
      </c>
      <c r="R31" s="9">
        <f t="shared" si="3"/>
        <v>0</v>
      </c>
      <c r="S31" s="9">
        <f t="shared" si="4"/>
        <v>1</v>
      </c>
      <c r="T31" s="9">
        <f t="shared" si="5"/>
        <v>1</v>
      </c>
    </row>
    <row r="32" spans="1:20" ht="15" customHeight="1">
      <c r="A32" s="26" t="s">
        <v>711</v>
      </c>
      <c r="D32" s="42">
        <f>B13*E2</f>
        <v>2276.75</v>
      </c>
      <c r="M32" s="9">
        <v>31</v>
      </c>
      <c r="N32" s="9" t="str">
        <f t="shared" si="0"/>
        <v>B</v>
      </c>
      <c r="O32" s="11">
        <f t="shared" si="1"/>
        <v>4.0599999999999996</v>
      </c>
      <c r="P32" s="12">
        <f t="shared" si="6"/>
        <v>199.06000000000003</v>
      </c>
      <c r="Q32" s="12">
        <f t="shared" si="2"/>
        <v>259.06000000000006</v>
      </c>
      <c r="R32" s="9">
        <f t="shared" si="3"/>
        <v>0</v>
      </c>
      <c r="S32" s="9">
        <f t="shared" si="4"/>
        <v>1</v>
      </c>
      <c r="T32" s="9">
        <f t="shared" si="5"/>
        <v>1</v>
      </c>
    </row>
    <row r="33" spans="1:20" ht="15" customHeight="1">
      <c r="A33" s="26" t="s">
        <v>647</v>
      </c>
      <c r="D33" s="42">
        <f>B14*E2</f>
        <v>4210.5</v>
      </c>
      <c r="M33" s="9">
        <v>32</v>
      </c>
      <c r="N33" s="9" t="str">
        <f t="shared" si="0"/>
        <v>B</v>
      </c>
      <c r="O33" s="11">
        <f t="shared" si="1"/>
        <v>4.0599999999999996</v>
      </c>
      <c r="P33" s="12">
        <f t="shared" si="6"/>
        <v>203.12000000000003</v>
      </c>
      <c r="Q33" s="12">
        <f t="shared" si="2"/>
        <v>265.12</v>
      </c>
      <c r="R33" s="9">
        <f t="shared" si="3"/>
        <v>0</v>
      </c>
      <c r="S33" s="9">
        <f t="shared" si="4"/>
        <v>1</v>
      </c>
      <c r="T33" s="9">
        <f t="shared" si="5"/>
        <v>1</v>
      </c>
    </row>
    <row r="34" spans="1:20" ht="15" customHeight="1">
      <c r="A34" s="21" t="s">
        <v>1731</v>
      </c>
      <c r="D34" s="94">
        <f>ROUNDUP((D31*($B$216*$B$217)+D32*(1+B205/100))*(1+$B$207/100)/100,0)*100</f>
        <v>31700</v>
      </c>
      <c r="M34" s="9">
        <v>33</v>
      </c>
      <c r="N34" s="9" t="str">
        <f t="shared" ref="N34:N65" si="8">IF(MOD(M34-1,$B$4+$B$7)&lt;$B$4,"A","B")</f>
        <v>A</v>
      </c>
      <c r="O34" s="11">
        <f t="shared" ref="O34:O65" si="9">IF(N34="A",$E$3,$E$4)</f>
        <v>10.16</v>
      </c>
      <c r="P34" s="12">
        <f t="shared" si="6"/>
        <v>213.28000000000003</v>
      </c>
      <c r="Q34" s="12">
        <f t="shared" ref="Q34:Q65" si="10">P34+(M34-1)*$B$8</f>
        <v>277.28000000000003</v>
      </c>
      <c r="R34" s="9">
        <f t="shared" ref="R34:R65" si="11">IF(AND(Q34&lt;=$B$9,N34="A"),1,0)</f>
        <v>1</v>
      </c>
      <c r="S34" s="9">
        <f t="shared" ref="S34:S65" si="12">IF(AND(Q34&lt;=$B$9,N34="B"),1,0)</f>
        <v>0</v>
      </c>
      <c r="T34" s="9">
        <f t="shared" ref="T34:T65" si="13">IF(Q34&lt;=$B$9,1,0)</f>
        <v>1</v>
      </c>
    </row>
    <row r="35" spans="1:20" ht="15" customHeight="1">
      <c r="A35" s="21" t="s">
        <v>1732</v>
      </c>
      <c r="D35" s="94">
        <f>D34+ROUNDUP((D33*(1+B206/100))*(1+$B$207/100)/100,0)*100</f>
        <v>40200</v>
      </c>
      <c r="M35" s="9">
        <v>34</v>
      </c>
      <c r="N35" s="9" t="str">
        <f t="shared" si="8"/>
        <v>A</v>
      </c>
      <c r="O35" s="11">
        <f t="shared" si="9"/>
        <v>10.16</v>
      </c>
      <c r="P35" s="12">
        <f t="shared" ref="P35:P66" si="14">P34+O35</f>
        <v>223.44000000000003</v>
      </c>
      <c r="Q35" s="12">
        <f t="shared" si="10"/>
        <v>289.44000000000005</v>
      </c>
      <c r="R35" s="9">
        <f t="shared" si="11"/>
        <v>1</v>
      </c>
      <c r="S35" s="9">
        <f t="shared" si="12"/>
        <v>0</v>
      </c>
      <c r="T35" s="9">
        <f t="shared" si="13"/>
        <v>1</v>
      </c>
    </row>
    <row r="36" spans="1:20" ht="15" customHeight="1">
      <c r="A36" s="26" t="s">
        <v>1733</v>
      </c>
      <c r="D36" s="95">
        <f>(D34-(D31+D32))/(D31+D32)</f>
        <v>1.1657813380702684</v>
      </c>
      <c r="M36" s="9">
        <v>35</v>
      </c>
      <c r="N36" s="9" t="str">
        <f t="shared" si="8"/>
        <v>A</v>
      </c>
      <c r="O36" s="11">
        <f t="shared" si="9"/>
        <v>10.16</v>
      </c>
      <c r="P36" s="12">
        <f t="shared" si="14"/>
        <v>233.60000000000002</v>
      </c>
      <c r="Q36" s="12">
        <f t="shared" si="10"/>
        <v>301.60000000000002</v>
      </c>
      <c r="R36" s="9">
        <f t="shared" si="11"/>
        <v>1</v>
      </c>
      <c r="S36" s="9">
        <f t="shared" si="12"/>
        <v>0</v>
      </c>
      <c r="T36" s="9">
        <f t="shared" si="13"/>
        <v>1</v>
      </c>
    </row>
    <row r="37" spans="1:20" ht="15" customHeight="1">
      <c r="M37" s="9">
        <v>36</v>
      </c>
      <c r="N37" s="9" t="str">
        <f t="shared" si="8"/>
        <v>B</v>
      </c>
      <c r="O37" s="11">
        <f t="shared" si="9"/>
        <v>4.0599999999999996</v>
      </c>
      <c r="P37" s="12">
        <f t="shared" si="14"/>
        <v>237.66000000000003</v>
      </c>
      <c r="Q37" s="12">
        <f t="shared" si="10"/>
        <v>307.66000000000003</v>
      </c>
      <c r="R37" s="9">
        <f t="shared" si="11"/>
        <v>0</v>
      </c>
      <c r="S37" s="9">
        <f t="shared" si="12"/>
        <v>1</v>
      </c>
      <c r="T37" s="9">
        <f t="shared" si="13"/>
        <v>1</v>
      </c>
    </row>
    <row r="38" spans="1:20" ht="15" customHeight="1">
      <c r="M38" s="9">
        <v>37</v>
      </c>
      <c r="N38" s="9" t="str">
        <f t="shared" si="8"/>
        <v>B</v>
      </c>
      <c r="O38" s="11">
        <f t="shared" si="9"/>
        <v>4.0599999999999996</v>
      </c>
      <c r="P38" s="12">
        <f t="shared" si="14"/>
        <v>241.72000000000003</v>
      </c>
      <c r="Q38" s="12">
        <f t="shared" si="10"/>
        <v>313.72000000000003</v>
      </c>
      <c r="R38" s="9">
        <f t="shared" si="11"/>
        <v>0</v>
      </c>
      <c r="S38" s="9">
        <f t="shared" si="12"/>
        <v>1</v>
      </c>
      <c r="T38" s="9">
        <f t="shared" si="13"/>
        <v>1</v>
      </c>
    </row>
    <row r="39" spans="1:20" ht="15" customHeight="1">
      <c r="M39" s="9">
        <v>38</v>
      </c>
      <c r="N39" s="9" t="str">
        <f t="shared" si="8"/>
        <v>B</v>
      </c>
      <c r="O39" s="11">
        <f t="shared" si="9"/>
        <v>4.0599999999999996</v>
      </c>
      <c r="P39" s="12">
        <f t="shared" si="14"/>
        <v>245.78000000000003</v>
      </c>
      <c r="Q39" s="12">
        <f t="shared" si="10"/>
        <v>319.78000000000003</v>
      </c>
      <c r="R39" s="9">
        <f t="shared" si="11"/>
        <v>0</v>
      </c>
      <c r="S39" s="9">
        <f t="shared" si="12"/>
        <v>1</v>
      </c>
      <c r="T39" s="9">
        <f t="shared" si="13"/>
        <v>1</v>
      </c>
    </row>
    <row r="40" spans="1:20" ht="15" customHeight="1">
      <c r="M40" s="9">
        <v>39</v>
      </c>
      <c r="N40" s="9" t="str">
        <f t="shared" si="8"/>
        <v>B</v>
      </c>
      <c r="O40" s="11">
        <f t="shared" si="9"/>
        <v>4.0599999999999996</v>
      </c>
      <c r="P40" s="12">
        <f t="shared" si="14"/>
        <v>249.84000000000003</v>
      </c>
      <c r="Q40" s="12">
        <f t="shared" si="10"/>
        <v>325.84000000000003</v>
      </c>
      <c r="R40" s="9">
        <f t="shared" si="11"/>
        <v>0</v>
      </c>
      <c r="S40" s="9">
        <f t="shared" si="12"/>
        <v>1</v>
      </c>
      <c r="T40" s="9">
        <f t="shared" si="13"/>
        <v>1</v>
      </c>
    </row>
    <row r="41" spans="1:20" ht="15" customHeight="1">
      <c r="M41" s="9">
        <v>40</v>
      </c>
      <c r="N41" s="9" t="str">
        <f t="shared" si="8"/>
        <v>B</v>
      </c>
      <c r="O41" s="11">
        <f t="shared" si="9"/>
        <v>4.0599999999999996</v>
      </c>
      <c r="P41" s="12">
        <f t="shared" si="14"/>
        <v>253.90000000000003</v>
      </c>
      <c r="Q41" s="12">
        <f t="shared" si="10"/>
        <v>331.90000000000003</v>
      </c>
      <c r="R41" s="9">
        <f t="shared" si="11"/>
        <v>0</v>
      </c>
      <c r="S41" s="9">
        <f t="shared" si="12"/>
        <v>1</v>
      </c>
      <c r="T41" s="9">
        <f t="shared" si="13"/>
        <v>1</v>
      </c>
    </row>
    <row r="42" spans="1:20" ht="15" customHeight="1">
      <c r="M42" s="9">
        <v>41</v>
      </c>
      <c r="N42" s="9" t="str">
        <f t="shared" si="8"/>
        <v>A</v>
      </c>
      <c r="O42" s="11">
        <f t="shared" si="9"/>
        <v>10.16</v>
      </c>
      <c r="P42" s="12">
        <f t="shared" si="14"/>
        <v>264.06000000000006</v>
      </c>
      <c r="Q42" s="12">
        <f t="shared" si="10"/>
        <v>344.06000000000006</v>
      </c>
      <c r="R42" s="9">
        <f t="shared" si="11"/>
        <v>1</v>
      </c>
      <c r="S42" s="9">
        <f t="shared" si="12"/>
        <v>0</v>
      </c>
      <c r="T42" s="9">
        <f t="shared" si="13"/>
        <v>1</v>
      </c>
    </row>
    <row r="43" spans="1:20" ht="15" customHeight="1">
      <c r="M43" s="9">
        <v>42</v>
      </c>
      <c r="N43" s="9" t="str">
        <f t="shared" si="8"/>
        <v>A</v>
      </c>
      <c r="O43" s="11">
        <f t="shared" si="9"/>
        <v>10.16</v>
      </c>
      <c r="P43" s="12">
        <f t="shared" si="14"/>
        <v>274.22000000000008</v>
      </c>
      <c r="Q43" s="12">
        <f t="shared" si="10"/>
        <v>356.22000000000008</v>
      </c>
      <c r="R43" s="9">
        <f t="shared" si="11"/>
        <v>0</v>
      </c>
      <c r="S43" s="9">
        <f t="shared" si="12"/>
        <v>0</v>
      </c>
      <c r="T43" s="9">
        <f t="shared" si="13"/>
        <v>0</v>
      </c>
    </row>
    <row r="44" spans="1:20" ht="15" customHeight="1">
      <c r="M44" s="9">
        <v>43</v>
      </c>
      <c r="N44" s="9" t="str">
        <f t="shared" si="8"/>
        <v>A</v>
      </c>
      <c r="O44" s="11">
        <f t="shared" si="9"/>
        <v>10.16</v>
      </c>
      <c r="P44" s="12">
        <f t="shared" si="14"/>
        <v>284.38000000000011</v>
      </c>
      <c r="Q44" s="12">
        <f t="shared" si="10"/>
        <v>368.38000000000011</v>
      </c>
      <c r="R44" s="9">
        <f t="shared" si="11"/>
        <v>0</v>
      </c>
      <c r="S44" s="9">
        <f t="shared" si="12"/>
        <v>0</v>
      </c>
      <c r="T44" s="9">
        <f t="shared" si="13"/>
        <v>0</v>
      </c>
    </row>
    <row r="45" spans="1:20" ht="15" customHeight="1">
      <c r="M45" s="9">
        <v>44</v>
      </c>
      <c r="N45" s="9" t="str">
        <f t="shared" si="8"/>
        <v>B</v>
      </c>
      <c r="O45" s="11">
        <f t="shared" si="9"/>
        <v>4.0599999999999996</v>
      </c>
      <c r="P45" s="12">
        <f t="shared" si="14"/>
        <v>288.44000000000011</v>
      </c>
      <c r="Q45" s="12">
        <f t="shared" si="10"/>
        <v>374.44000000000011</v>
      </c>
      <c r="R45" s="9">
        <f t="shared" si="11"/>
        <v>0</v>
      </c>
      <c r="S45" s="9">
        <f t="shared" si="12"/>
        <v>0</v>
      </c>
      <c r="T45" s="9">
        <f t="shared" si="13"/>
        <v>0</v>
      </c>
    </row>
    <row r="46" spans="1:20" ht="15" customHeight="1">
      <c r="M46" s="9">
        <v>45</v>
      </c>
      <c r="N46" s="9" t="str">
        <f t="shared" si="8"/>
        <v>B</v>
      </c>
      <c r="O46" s="11">
        <f t="shared" si="9"/>
        <v>4.0599999999999996</v>
      </c>
      <c r="P46" s="12">
        <f t="shared" si="14"/>
        <v>292.50000000000011</v>
      </c>
      <c r="Q46" s="12">
        <f t="shared" si="10"/>
        <v>380.50000000000011</v>
      </c>
      <c r="R46" s="9">
        <f t="shared" si="11"/>
        <v>0</v>
      </c>
      <c r="S46" s="9">
        <f t="shared" si="12"/>
        <v>0</v>
      </c>
      <c r="T46" s="9">
        <f t="shared" si="13"/>
        <v>0</v>
      </c>
    </row>
    <row r="47" spans="1:20" ht="15" customHeight="1">
      <c r="M47" s="9">
        <v>46</v>
      </c>
      <c r="N47" s="9" t="str">
        <f t="shared" si="8"/>
        <v>B</v>
      </c>
      <c r="O47" s="11">
        <f t="shared" si="9"/>
        <v>4.0599999999999996</v>
      </c>
      <c r="P47" s="12">
        <f t="shared" si="14"/>
        <v>296.56000000000012</v>
      </c>
      <c r="Q47" s="12">
        <f t="shared" si="10"/>
        <v>386.56000000000012</v>
      </c>
      <c r="R47" s="9">
        <f t="shared" si="11"/>
        <v>0</v>
      </c>
      <c r="S47" s="9">
        <f t="shared" si="12"/>
        <v>0</v>
      </c>
      <c r="T47" s="9">
        <f t="shared" si="13"/>
        <v>0</v>
      </c>
    </row>
    <row r="48" spans="1:20" ht="15" customHeight="1">
      <c r="M48" s="9">
        <v>47</v>
      </c>
      <c r="N48" s="9" t="str">
        <f t="shared" si="8"/>
        <v>B</v>
      </c>
      <c r="O48" s="11">
        <f t="shared" si="9"/>
        <v>4.0599999999999996</v>
      </c>
      <c r="P48" s="12">
        <f t="shared" si="14"/>
        <v>300.62000000000012</v>
      </c>
      <c r="Q48" s="12">
        <f t="shared" si="10"/>
        <v>392.62000000000012</v>
      </c>
      <c r="R48" s="9">
        <f t="shared" si="11"/>
        <v>0</v>
      </c>
      <c r="S48" s="9">
        <f t="shared" si="12"/>
        <v>0</v>
      </c>
      <c r="T48" s="9">
        <f t="shared" si="13"/>
        <v>0</v>
      </c>
    </row>
    <row r="49" spans="13:20" ht="15" customHeight="1">
      <c r="M49" s="9">
        <v>48</v>
      </c>
      <c r="N49" s="9" t="str">
        <f t="shared" si="8"/>
        <v>B</v>
      </c>
      <c r="O49" s="11">
        <f t="shared" si="9"/>
        <v>4.0599999999999996</v>
      </c>
      <c r="P49" s="12">
        <f t="shared" si="14"/>
        <v>304.68000000000012</v>
      </c>
      <c r="Q49" s="12">
        <f t="shared" si="10"/>
        <v>398.68000000000012</v>
      </c>
      <c r="R49" s="9">
        <f t="shared" si="11"/>
        <v>0</v>
      </c>
      <c r="S49" s="9">
        <f t="shared" si="12"/>
        <v>0</v>
      </c>
      <c r="T49" s="9">
        <f t="shared" si="13"/>
        <v>0</v>
      </c>
    </row>
    <row r="50" spans="13:20" ht="15" customHeight="1">
      <c r="M50" s="9">
        <v>49</v>
      </c>
      <c r="N50" s="9" t="str">
        <f t="shared" si="8"/>
        <v>A</v>
      </c>
      <c r="O50" s="11">
        <f t="shared" si="9"/>
        <v>10.16</v>
      </c>
      <c r="P50" s="12">
        <f t="shared" si="14"/>
        <v>314.84000000000015</v>
      </c>
      <c r="Q50" s="12">
        <f t="shared" si="10"/>
        <v>410.84000000000015</v>
      </c>
      <c r="R50" s="9">
        <f t="shared" si="11"/>
        <v>0</v>
      </c>
      <c r="S50" s="9">
        <f t="shared" si="12"/>
        <v>0</v>
      </c>
      <c r="T50" s="9">
        <f t="shared" si="13"/>
        <v>0</v>
      </c>
    </row>
    <row r="51" spans="13:20" ht="15" customHeight="1">
      <c r="M51" s="9">
        <v>50</v>
      </c>
      <c r="N51" s="9" t="str">
        <f t="shared" si="8"/>
        <v>A</v>
      </c>
      <c r="O51" s="11">
        <f t="shared" si="9"/>
        <v>10.16</v>
      </c>
      <c r="P51" s="12">
        <f t="shared" si="14"/>
        <v>325.00000000000017</v>
      </c>
      <c r="Q51" s="12">
        <f t="shared" si="10"/>
        <v>423.00000000000017</v>
      </c>
      <c r="R51" s="9">
        <f t="shared" si="11"/>
        <v>0</v>
      </c>
      <c r="S51" s="9">
        <f t="shared" si="12"/>
        <v>0</v>
      </c>
      <c r="T51" s="9">
        <f t="shared" si="13"/>
        <v>0</v>
      </c>
    </row>
    <row r="52" spans="13:20" ht="15" customHeight="1">
      <c r="M52" s="9">
        <v>51</v>
      </c>
      <c r="N52" s="9" t="str">
        <f t="shared" si="8"/>
        <v>A</v>
      </c>
      <c r="O52" s="11">
        <f t="shared" si="9"/>
        <v>10.16</v>
      </c>
      <c r="P52" s="12">
        <f t="shared" si="14"/>
        <v>335.1600000000002</v>
      </c>
      <c r="Q52" s="12">
        <f t="shared" si="10"/>
        <v>435.1600000000002</v>
      </c>
      <c r="R52" s="9">
        <f t="shared" si="11"/>
        <v>0</v>
      </c>
      <c r="S52" s="9">
        <f t="shared" si="12"/>
        <v>0</v>
      </c>
      <c r="T52" s="9">
        <f t="shared" si="13"/>
        <v>0</v>
      </c>
    </row>
    <row r="53" spans="13:20" ht="15" customHeight="1">
      <c r="M53" s="9">
        <v>52</v>
      </c>
      <c r="N53" s="9" t="str">
        <f t="shared" si="8"/>
        <v>B</v>
      </c>
      <c r="O53" s="11">
        <f t="shared" si="9"/>
        <v>4.0599999999999996</v>
      </c>
      <c r="P53" s="12">
        <f t="shared" si="14"/>
        <v>339.2200000000002</v>
      </c>
      <c r="Q53" s="12">
        <f t="shared" si="10"/>
        <v>441.2200000000002</v>
      </c>
      <c r="R53" s="9">
        <f t="shared" si="11"/>
        <v>0</v>
      </c>
      <c r="S53" s="9">
        <f t="shared" si="12"/>
        <v>0</v>
      </c>
      <c r="T53" s="9">
        <f t="shared" si="13"/>
        <v>0</v>
      </c>
    </row>
    <row r="54" spans="13:20" ht="15" customHeight="1">
      <c r="M54" s="9">
        <v>53</v>
      </c>
      <c r="N54" s="9" t="str">
        <f t="shared" si="8"/>
        <v>B</v>
      </c>
      <c r="O54" s="11">
        <f t="shared" si="9"/>
        <v>4.0599999999999996</v>
      </c>
      <c r="P54" s="12">
        <f t="shared" si="14"/>
        <v>343.2800000000002</v>
      </c>
      <c r="Q54" s="12">
        <f t="shared" si="10"/>
        <v>447.2800000000002</v>
      </c>
      <c r="R54" s="9">
        <f t="shared" si="11"/>
        <v>0</v>
      </c>
      <c r="S54" s="9">
        <f t="shared" si="12"/>
        <v>0</v>
      </c>
      <c r="T54" s="9">
        <f t="shared" si="13"/>
        <v>0</v>
      </c>
    </row>
    <row r="55" spans="13:20" ht="15" customHeight="1">
      <c r="M55" s="9">
        <v>54</v>
      </c>
      <c r="N55" s="9" t="str">
        <f t="shared" si="8"/>
        <v>B</v>
      </c>
      <c r="O55" s="11">
        <f t="shared" si="9"/>
        <v>4.0599999999999996</v>
      </c>
      <c r="P55" s="12">
        <f t="shared" si="14"/>
        <v>347.3400000000002</v>
      </c>
      <c r="Q55" s="12">
        <f t="shared" si="10"/>
        <v>453.3400000000002</v>
      </c>
      <c r="R55" s="9">
        <f t="shared" si="11"/>
        <v>0</v>
      </c>
      <c r="S55" s="9">
        <f t="shared" si="12"/>
        <v>0</v>
      </c>
      <c r="T55" s="9">
        <f t="shared" si="13"/>
        <v>0</v>
      </c>
    </row>
    <row r="56" spans="13:20" ht="15" customHeight="1">
      <c r="M56" s="9">
        <v>55</v>
      </c>
      <c r="N56" s="9" t="str">
        <f t="shared" si="8"/>
        <v>B</v>
      </c>
      <c r="O56" s="11">
        <f t="shared" si="9"/>
        <v>4.0599999999999996</v>
      </c>
      <c r="P56" s="12">
        <f t="shared" si="14"/>
        <v>351.4000000000002</v>
      </c>
      <c r="Q56" s="12">
        <f t="shared" si="10"/>
        <v>459.4000000000002</v>
      </c>
      <c r="R56" s="9">
        <f t="shared" si="11"/>
        <v>0</v>
      </c>
      <c r="S56" s="9">
        <f t="shared" si="12"/>
        <v>0</v>
      </c>
      <c r="T56" s="9">
        <f t="shared" si="13"/>
        <v>0</v>
      </c>
    </row>
    <row r="57" spans="13:20" ht="15" customHeight="1">
      <c r="M57" s="9">
        <v>56</v>
      </c>
      <c r="N57" s="9" t="str">
        <f t="shared" si="8"/>
        <v>B</v>
      </c>
      <c r="O57" s="11">
        <f t="shared" si="9"/>
        <v>4.0599999999999996</v>
      </c>
      <c r="P57" s="12">
        <f t="shared" si="14"/>
        <v>355.46000000000021</v>
      </c>
      <c r="Q57" s="12">
        <f t="shared" si="10"/>
        <v>465.46000000000021</v>
      </c>
      <c r="R57" s="9">
        <f t="shared" si="11"/>
        <v>0</v>
      </c>
      <c r="S57" s="9">
        <f t="shared" si="12"/>
        <v>0</v>
      </c>
      <c r="T57" s="9">
        <f t="shared" si="13"/>
        <v>0</v>
      </c>
    </row>
    <row r="58" spans="13:20" ht="15" customHeight="1">
      <c r="M58" s="9">
        <v>57</v>
      </c>
      <c r="N58" s="9" t="str">
        <f t="shared" si="8"/>
        <v>A</v>
      </c>
      <c r="O58" s="11">
        <f t="shared" si="9"/>
        <v>10.16</v>
      </c>
      <c r="P58" s="12">
        <f t="shared" si="14"/>
        <v>365.62000000000023</v>
      </c>
      <c r="Q58" s="12">
        <f t="shared" si="10"/>
        <v>477.62000000000023</v>
      </c>
      <c r="R58" s="9">
        <f t="shared" si="11"/>
        <v>0</v>
      </c>
      <c r="S58" s="9">
        <f t="shared" si="12"/>
        <v>0</v>
      </c>
      <c r="T58" s="9">
        <f t="shared" si="13"/>
        <v>0</v>
      </c>
    </row>
    <row r="59" spans="13:20" ht="15" customHeight="1">
      <c r="M59" s="9">
        <v>58</v>
      </c>
      <c r="N59" s="9" t="str">
        <f t="shared" si="8"/>
        <v>A</v>
      </c>
      <c r="O59" s="11">
        <f t="shared" si="9"/>
        <v>10.16</v>
      </c>
      <c r="P59" s="12">
        <f t="shared" si="14"/>
        <v>375.78000000000026</v>
      </c>
      <c r="Q59" s="12">
        <f t="shared" si="10"/>
        <v>489.78000000000026</v>
      </c>
      <c r="R59" s="9">
        <f t="shared" si="11"/>
        <v>0</v>
      </c>
      <c r="S59" s="9">
        <f t="shared" si="12"/>
        <v>0</v>
      </c>
      <c r="T59" s="9">
        <f t="shared" si="13"/>
        <v>0</v>
      </c>
    </row>
    <row r="60" spans="13:20" ht="15" customHeight="1">
      <c r="M60" s="9">
        <v>59</v>
      </c>
      <c r="N60" s="9" t="str">
        <f t="shared" si="8"/>
        <v>A</v>
      </c>
      <c r="O60" s="11">
        <f t="shared" si="9"/>
        <v>10.16</v>
      </c>
      <c r="P60" s="12">
        <f t="shared" si="14"/>
        <v>385.94000000000028</v>
      </c>
      <c r="Q60" s="12">
        <f t="shared" si="10"/>
        <v>501.94000000000028</v>
      </c>
      <c r="R60" s="9">
        <f t="shared" si="11"/>
        <v>0</v>
      </c>
      <c r="S60" s="9">
        <f t="shared" si="12"/>
        <v>0</v>
      </c>
      <c r="T60" s="9">
        <f t="shared" si="13"/>
        <v>0</v>
      </c>
    </row>
    <row r="61" spans="13:20" ht="15" customHeight="1">
      <c r="M61" s="9">
        <v>60</v>
      </c>
      <c r="N61" s="9" t="str">
        <f t="shared" si="8"/>
        <v>B</v>
      </c>
      <c r="O61" s="11">
        <f t="shared" si="9"/>
        <v>4.0599999999999996</v>
      </c>
      <c r="P61" s="12">
        <f t="shared" si="14"/>
        <v>390.00000000000028</v>
      </c>
      <c r="Q61" s="12">
        <f t="shared" si="10"/>
        <v>508.00000000000028</v>
      </c>
      <c r="R61" s="9">
        <f t="shared" si="11"/>
        <v>0</v>
      </c>
      <c r="S61" s="9">
        <f t="shared" si="12"/>
        <v>0</v>
      </c>
      <c r="T61" s="9">
        <f t="shared" si="13"/>
        <v>0</v>
      </c>
    </row>
    <row r="62" spans="13:20" ht="15" customHeight="1">
      <c r="M62" s="9">
        <v>61</v>
      </c>
      <c r="N62" s="9" t="str">
        <f t="shared" si="8"/>
        <v>B</v>
      </c>
      <c r="O62" s="11">
        <f t="shared" si="9"/>
        <v>4.0599999999999996</v>
      </c>
      <c r="P62" s="12">
        <f t="shared" si="14"/>
        <v>394.06000000000029</v>
      </c>
      <c r="Q62" s="12">
        <f t="shared" si="10"/>
        <v>514.06000000000029</v>
      </c>
      <c r="R62" s="9">
        <f t="shared" si="11"/>
        <v>0</v>
      </c>
      <c r="S62" s="9">
        <f t="shared" si="12"/>
        <v>0</v>
      </c>
      <c r="T62" s="9">
        <f t="shared" si="13"/>
        <v>0</v>
      </c>
    </row>
    <row r="63" spans="13:20" ht="15" customHeight="1">
      <c r="M63" s="9">
        <v>62</v>
      </c>
      <c r="N63" s="9" t="str">
        <f t="shared" si="8"/>
        <v>B</v>
      </c>
      <c r="O63" s="11">
        <f t="shared" si="9"/>
        <v>4.0599999999999996</v>
      </c>
      <c r="P63" s="12">
        <f t="shared" si="14"/>
        <v>398.12000000000029</v>
      </c>
      <c r="Q63" s="12">
        <f t="shared" si="10"/>
        <v>520.12000000000035</v>
      </c>
      <c r="R63" s="9">
        <f t="shared" si="11"/>
        <v>0</v>
      </c>
      <c r="S63" s="9">
        <f t="shared" si="12"/>
        <v>0</v>
      </c>
      <c r="T63" s="9">
        <f t="shared" si="13"/>
        <v>0</v>
      </c>
    </row>
    <row r="64" spans="13:20" ht="15" customHeight="1">
      <c r="M64" s="9">
        <v>63</v>
      </c>
      <c r="N64" s="9" t="str">
        <f t="shared" si="8"/>
        <v>B</v>
      </c>
      <c r="O64" s="11">
        <f t="shared" si="9"/>
        <v>4.0599999999999996</v>
      </c>
      <c r="P64" s="12">
        <f t="shared" si="14"/>
        <v>402.18000000000029</v>
      </c>
      <c r="Q64" s="12">
        <f t="shared" si="10"/>
        <v>526.18000000000029</v>
      </c>
      <c r="R64" s="9">
        <f t="shared" si="11"/>
        <v>0</v>
      </c>
      <c r="S64" s="9">
        <f t="shared" si="12"/>
        <v>0</v>
      </c>
      <c r="T64" s="9">
        <f t="shared" si="13"/>
        <v>0</v>
      </c>
    </row>
    <row r="65" spans="13:20" ht="15" customHeight="1">
      <c r="M65" s="9">
        <v>64</v>
      </c>
      <c r="N65" s="9" t="str">
        <f t="shared" si="8"/>
        <v>B</v>
      </c>
      <c r="O65" s="11">
        <f t="shared" si="9"/>
        <v>4.0599999999999996</v>
      </c>
      <c r="P65" s="12">
        <f t="shared" si="14"/>
        <v>406.24000000000029</v>
      </c>
      <c r="Q65" s="12">
        <f t="shared" si="10"/>
        <v>532.24000000000024</v>
      </c>
      <c r="R65" s="9">
        <f t="shared" si="11"/>
        <v>0</v>
      </c>
      <c r="S65" s="9">
        <f t="shared" si="12"/>
        <v>0</v>
      </c>
      <c r="T65" s="9">
        <f t="shared" si="13"/>
        <v>0</v>
      </c>
    </row>
    <row r="66" spans="13:20" ht="15" customHeight="1">
      <c r="M66" s="9">
        <v>65</v>
      </c>
      <c r="N66" s="9" t="str">
        <f t="shared" ref="N66:N97" si="15">IF(MOD(M66-1,$B$4+$B$7)&lt;$B$4,"A","B")</f>
        <v>A</v>
      </c>
      <c r="O66" s="11">
        <f t="shared" ref="O66:O97" si="16">IF(N66="A",$E$3,$E$4)</f>
        <v>10.16</v>
      </c>
      <c r="P66" s="12">
        <f t="shared" si="14"/>
        <v>416.40000000000032</v>
      </c>
      <c r="Q66" s="12">
        <f t="shared" ref="Q66:Q97" si="17">P66+(M66-1)*$B$8</f>
        <v>544.40000000000032</v>
      </c>
      <c r="R66" s="9">
        <f t="shared" ref="R66:R97" si="18">IF(AND(Q66&lt;=$B$9,N66="A"),1,0)</f>
        <v>0</v>
      </c>
      <c r="S66" s="9">
        <f t="shared" ref="S66:S97" si="19">IF(AND(Q66&lt;=$B$9,N66="B"),1,0)</f>
        <v>0</v>
      </c>
      <c r="T66" s="9">
        <f t="shared" ref="T66:T97" si="20">IF(Q66&lt;=$B$9,1,0)</f>
        <v>0</v>
      </c>
    </row>
    <row r="67" spans="13:20" ht="15" customHeight="1">
      <c r="M67" s="9">
        <v>66</v>
      </c>
      <c r="N67" s="9" t="str">
        <f t="shared" si="15"/>
        <v>A</v>
      </c>
      <c r="O67" s="11">
        <f t="shared" si="16"/>
        <v>10.16</v>
      </c>
      <c r="P67" s="12">
        <f t="shared" ref="P67:P98" si="21">P66+O67</f>
        <v>426.56000000000034</v>
      </c>
      <c r="Q67" s="12">
        <f t="shared" si="17"/>
        <v>556.5600000000004</v>
      </c>
      <c r="R67" s="9">
        <f t="shared" si="18"/>
        <v>0</v>
      </c>
      <c r="S67" s="9">
        <f t="shared" si="19"/>
        <v>0</v>
      </c>
      <c r="T67" s="9">
        <f t="shared" si="20"/>
        <v>0</v>
      </c>
    </row>
    <row r="68" spans="13:20" ht="15" customHeight="1">
      <c r="M68" s="9">
        <v>67</v>
      </c>
      <c r="N68" s="9" t="str">
        <f t="shared" si="15"/>
        <v>A</v>
      </c>
      <c r="O68" s="11">
        <f t="shared" si="16"/>
        <v>10.16</v>
      </c>
      <c r="P68" s="12">
        <f t="shared" si="21"/>
        <v>436.72000000000037</v>
      </c>
      <c r="Q68" s="12">
        <f t="shared" si="17"/>
        <v>568.72000000000037</v>
      </c>
      <c r="R68" s="9">
        <f t="shared" si="18"/>
        <v>0</v>
      </c>
      <c r="S68" s="9">
        <f t="shared" si="19"/>
        <v>0</v>
      </c>
      <c r="T68" s="9">
        <f t="shared" si="20"/>
        <v>0</v>
      </c>
    </row>
    <row r="69" spans="13:20" ht="15" customHeight="1">
      <c r="M69" s="9">
        <v>68</v>
      </c>
      <c r="N69" s="9" t="str">
        <f t="shared" si="15"/>
        <v>B</v>
      </c>
      <c r="O69" s="11">
        <f t="shared" si="16"/>
        <v>4.0599999999999996</v>
      </c>
      <c r="P69" s="12">
        <f t="shared" si="21"/>
        <v>440.78000000000037</v>
      </c>
      <c r="Q69" s="12">
        <f t="shared" si="17"/>
        <v>574.78000000000043</v>
      </c>
      <c r="R69" s="9">
        <f t="shared" si="18"/>
        <v>0</v>
      </c>
      <c r="S69" s="9">
        <f t="shared" si="19"/>
        <v>0</v>
      </c>
      <c r="T69" s="9">
        <f t="shared" si="20"/>
        <v>0</v>
      </c>
    </row>
    <row r="70" spans="13:20" ht="15" customHeight="1">
      <c r="M70" s="9">
        <v>69</v>
      </c>
      <c r="N70" s="9" t="str">
        <f t="shared" si="15"/>
        <v>B</v>
      </c>
      <c r="O70" s="11">
        <f t="shared" si="16"/>
        <v>4.0599999999999996</v>
      </c>
      <c r="P70" s="12">
        <f t="shared" si="21"/>
        <v>444.84000000000037</v>
      </c>
      <c r="Q70" s="12">
        <f t="shared" si="17"/>
        <v>580.84000000000037</v>
      </c>
      <c r="R70" s="9">
        <f t="shared" si="18"/>
        <v>0</v>
      </c>
      <c r="S70" s="9">
        <f t="shared" si="19"/>
        <v>0</v>
      </c>
      <c r="T70" s="9">
        <f t="shared" si="20"/>
        <v>0</v>
      </c>
    </row>
    <row r="71" spans="13:20" ht="15" customHeight="1">
      <c r="M71" s="9">
        <v>70</v>
      </c>
      <c r="N71" s="9" t="str">
        <f t="shared" si="15"/>
        <v>B</v>
      </c>
      <c r="O71" s="11">
        <f t="shared" si="16"/>
        <v>4.0599999999999996</v>
      </c>
      <c r="P71" s="12">
        <f t="shared" si="21"/>
        <v>448.90000000000038</v>
      </c>
      <c r="Q71" s="12">
        <f t="shared" si="17"/>
        <v>586.90000000000032</v>
      </c>
      <c r="R71" s="9">
        <f t="shared" si="18"/>
        <v>0</v>
      </c>
      <c r="S71" s="9">
        <f t="shared" si="19"/>
        <v>0</v>
      </c>
      <c r="T71" s="9">
        <f t="shared" si="20"/>
        <v>0</v>
      </c>
    </row>
    <row r="72" spans="13:20" ht="15" customHeight="1">
      <c r="M72" s="9">
        <v>71</v>
      </c>
      <c r="N72" s="9" t="str">
        <f t="shared" si="15"/>
        <v>B</v>
      </c>
      <c r="O72" s="11">
        <f t="shared" si="16"/>
        <v>4.0599999999999996</v>
      </c>
      <c r="P72" s="12">
        <f t="shared" si="21"/>
        <v>452.96000000000038</v>
      </c>
      <c r="Q72" s="12">
        <f t="shared" si="17"/>
        <v>592.96000000000038</v>
      </c>
      <c r="R72" s="9">
        <f t="shared" si="18"/>
        <v>0</v>
      </c>
      <c r="S72" s="9">
        <f t="shared" si="19"/>
        <v>0</v>
      </c>
      <c r="T72" s="9">
        <f t="shared" si="20"/>
        <v>0</v>
      </c>
    </row>
    <row r="73" spans="13:20" ht="15" customHeight="1">
      <c r="M73" s="9">
        <v>72</v>
      </c>
      <c r="N73" s="9" t="str">
        <f t="shared" si="15"/>
        <v>B</v>
      </c>
      <c r="O73" s="11">
        <f t="shared" si="16"/>
        <v>4.0599999999999996</v>
      </c>
      <c r="P73" s="12">
        <f t="shared" si="21"/>
        <v>457.02000000000038</v>
      </c>
      <c r="Q73" s="12">
        <f t="shared" si="17"/>
        <v>599.02000000000044</v>
      </c>
      <c r="R73" s="9">
        <f t="shared" si="18"/>
        <v>0</v>
      </c>
      <c r="S73" s="9">
        <f t="shared" si="19"/>
        <v>0</v>
      </c>
      <c r="T73" s="9">
        <f t="shared" si="20"/>
        <v>0</v>
      </c>
    </row>
    <row r="74" spans="13:20" ht="15" customHeight="1">
      <c r="M74" s="9">
        <v>73</v>
      </c>
      <c r="N74" s="9" t="str">
        <f t="shared" si="15"/>
        <v>A</v>
      </c>
      <c r="O74" s="11">
        <f t="shared" si="16"/>
        <v>10.16</v>
      </c>
      <c r="P74" s="12">
        <f t="shared" si="21"/>
        <v>467.1800000000004</v>
      </c>
      <c r="Q74" s="12">
        <f t="shared" si="17"/>
        <v>611.1800000000004</v>
      </c>
      <c r="R74" s="9">
        <f t="shared" si="18"/>
        <v>0</v>
      </c>
      <c r="S74" s="9">
        <f t="shared" si="19"/>
        <v>0</v>
      </c>
      <c r="T74" s="9">
        <f t="shared" si="20"/>
        <v>0</v>
      </c>
    </row>
    <row r="75" spans="13:20" ht="15" customHeight="1">
      <c r="M75" s="9">
        <v>74</v>
      </c>
      <c r="N75" s="9" t="str">
        <f t="shared" si="15"/>
        <v>A</v>
      </c>
      <c r="O75" s="11">
        <f t="shared" si="16"/>
        <v>10.16</v>
      </c>
      <c r="P75" s="12">
        <f t="shared" si="21"/>
        <v>477.34000000000043</v>
      </c>
      <c r="Q75" s="12">
        <f t="shared" si="17"/>
        <v>623.34000000000037</v>
      </c>
      <c r="R75" s="9">
        <f t="shared" si="18"/>
        <v>0</v>
      </c>
      <c r="S75" s="9">
        <f t="shared" si="19"/>
        <v>0</v>
      </c>
      <c r="T75" s="9">
        <f t="shared" si="20"/>
        <v>0</v>
      </c>
    </row>
    <row r="76" spans="13:20" ht="15" customHeight="1">
      <c r="M76" s="9">
        <v>75</v>
      </c>
      <c r="N76" s="9" t="str">
        <f t="shared" si="15"/>
        <v>A</v>
      </c>
      <c r="O76" s="11">
        <f t="shared" si="16"/>
        <v>10.16</v>
      </c>
      <c r="P76" s="12">
        <f t="shared" si="21"/>
        <v>487.50000000000045</v>
      </c>
      <c r="Q76" s="12">
        <f t="shared" si="17"/>
        <v>635.50000000000045</v>
      </c>
      <c r="R76" s="9">
        <f t="shared" si="18"/>
        <v>0</v>
      </c>
      <c r="S76" s="9">
        <f t="shared" si="19"/>
        <v>0</v>
      </c>
      <c r="T76" s="9">
        <f t="shared" si="20"/>
        <v>0</v>
      </c>
    </row>
    <row r="77" spans="13:20" ht="15" customHeight="1">
      <c r="M77" s="9">
        <v>76</v>
      </c>
      <c r="N77" s="9" t="str">
        <f t="shared" si="15"/>
        <v>B</v>
      </c>
      <c r="O77" s="11">
        <f t="shared" si="16"/>
        <v>4.0599999999999996</v>
      </c>
      <c r="P77" s="12">
        <f t="shared" si="21"/>
        <v>491.56000000000046</v>
      </c>
      <c r="Q77" s="12">
        <f t="shared" si="17"/>
        <v>641.5600000000004</v>
      </c>
      <c r="R77" s="9">
        <f t="shared" si="18"/>
        <v>0</v>
      </c>
      <c r="S77" s="9">
        <f t="shared" si="19"/>
        <v>0</v>
      </c>
      <c r="T77" s="9">
        <f t="shared" si="20"/>
        <v>0</v>
      </c>
    </row>
    <row r="78" spans="13:20" ht="15" customHeight="1">
      <c r="M78" s="9">
        <v>77</v>
      </c>
      <c r="N78" s="9" t="str">
        <f t="shared" si="15"/>
        <v>B</v>
      </c>
      <c r="O78" s="11">
        <f t="shared" si="16"/>
        <v>4.0599999999999996</v>
      </c>
      <c r="P78" s="12">
        <f t="shared" si="21"/>
        <v>495.62000000000046</v>
      </c>
      <c r="Q78" s="12">
        <f t="shared" si="17"/>
        <v>647.62000000000046</v>
      </c>
      <c r="R78" s="9">
        <f t="shared" si="18"/>
        <v>0</v>
      </c>
      <c r="S78" s="9">
        <f t="shared" si="19"/>
        <v>0</v>
      </c>
      <c r="T78" s="9">
        <f t="shared" si="20"/>
        <v>0</v>
      </c>
    </row>
    <row r="79" spans="13:20" ht="15" customHeight="1">
      <c r="M79" s="9">
        <v>78</v>
      </c>
      <c r="N79" s="9" t="str">
        <f t="shared" si="15"/>
        <v>B</v>
      </c>
      <c r="O79" s="11">
        <f t="shared" si="16"/>
        <v>4.0599999999999996</v>
      </c>
      <c r="P79" s="12">
        <f t="shared" si="21"/>
        <v>499.68000000000046</v>
      </c>
      <c r="Q79" s="12">
        <f t="shared" si="17"/>
        <v>653.68000000000052</v>
      </c>
      <c r="R79" s="9">
        <f t="shared" si="18"/>
        <v>0</v>
      </c>
      <c r="S79" s="9">
        <f t="shared" si="19"/>
        <v>0</v>
      </c>
      <c r="T79" s="9">
        <f t="shared" si="20"/>
        <v>0</v>
      </c>
    </row>
    <row r="80" spans="13:20" ht="15" customHeight="1">
      <c r="M80" s="9">
        <v>79</v>
      </c>
      <c r="N80" s="9" t="str">
        <f t="shared" si="15"/>
        <v>B</v>
      </c>
      <c r="O80" s="11">
        <f t="shared" si="16"/>
        <v>4.0599999999999996</v>
      </c>
      <c r="P80" s="12">
        <f t="shared" si="21"/>
        <v>503.74000000000046</v>
      </c>
      <c r="Q80" s="12">
        <f t="shared" si="17"/>
        <v>659.74000000000046</v>
      </c>
      <c r="R80" s="9">
        <f t="shared" si="18"/>
        <v>0</v>
      </c>
      <c r="S80" s="9">
        <f t="shared" si="19"/>
        <v>0</v>
      </c>
      <c r="T80" s="9">
        <f t="shared" si="20"/>
        <v>0</v>
      </c>
    </row>
    <row r="81" spans="13:20" ht="15" customHeight="1">
      <c r="M81" s="9">
        <v>80</v>
      </c>
      <c r="N81" s="9" t="str">
        <f t="shared" si="15"/>
        <v>B</v>
      </c>
      <c r="O81" s="11">
        <f t="shared" si="16"/>
        <v>4.0599999999999996</v>
      </c>
      <c r="P81" s="12">
        <f t="shared" si="21"/>
        <v>507.80000000000047</v>
      </c>
      <c r="Q81" s="12">
        <f t="shared" si="17"/>
        <v>665.80000000000041</v>
      </c>
      <c r="R81" s="9">
        <f t="shared" si="18"/>
        <v>0</v>
      </c>
      <c r="S81" s="9">
        <f t="shared" si="19"/>
        <v>0</v>
      </c>
      <c r="T81" s="9">
        <f t="shared" si="20"/>
        <v>0</v>
      </c>
    </row>
    <row r="82" spans="13:20" ht="15" customHeight="1">
      <c r="M82" s="9">
        <v>81</v>
      </c>
      <c r="N82" s="9" t="str">
        <f t="shared" si="15"/>
        <v>A</v>
      </c>
      <c r="O82" s="11">
        <f t="shared" si="16"/>
        <v>10.16</v>
      </c>
      <c r="P82" s="12">
        <f t="shared" si="21"/>
        <v>517.96000000000049</v>
      </c>
      <c r="Q82" s="12">
        <f t="shared" si="17"/>
        <v>677.96000000000049</v>
      </c>
      <c r="R82" s="9">
        <f t="shared" si="18"/>
        <v>0</v>
      </c>
      <c r="S82" s="9">
        <f t="shared" si="19"/>
        <v>0</v>
      </c>
      <c r="T82" s="9">
        <f t="shared" si="20"/>
        <v>0</v>
      </c>
    </row>
    <row r="83" spans="13:20" ht="15" customHeight="1">
      <c r="M83" s="9">
        <v>82</v>
      </c>
      <c r="N83" s="9" t="str">
        <f t="shared" si="15"/>
        <v>A</v>
      </c>
      <c r="O83" s="11">
        <f t="shared" si="16"/>
        <v>10.16</v>
      </c>
      <c r="P83" s="12">
        <f t="shared" si="21"/>
        <v>528.12000000000046</v>
      </c>
      <c r="Q83" s="12">
        <f t="shared" si="17"/>
        <v>690.12000000000046</v>
      </c>
      <c r="R83" s="9">
        <f t="shared" si="18"/>
        <v>0</v>
      </c>
      <c r="S83" s="9">
        <f t="shared" si="19"/>
        <v>0</v>
      </c>
      <c r="T83" s="9">
        <f t="shared" si="20"/>
        <v>0</v>
      </c>
    </row>
    <row r="84" spans="13:20" ht="15" customHeight="1">
      <c r="M84" s="9">
        <v>83</v>
      </c>
      <c r="N84" s="9" t="str">
        <f t="shared" si="15"/>
        <v>A</v>
      </c>
      <c r="O84" s="11">
        <f t="shared" si="16"/>
        <v>10.16</v>
      </c>
      <c r="P84" s="12">
        <f t="shared" si="21"/>
        <v>538.28000000000043</v>
      </c>
      <c r="Q84" s="12">
        <f t="shared" si="17"/>
        <v>702.28000000000043</v>
      </c>
      <c r="R84" s="9">
        <f t="shared" si="18"/>
        <v>0</v>
      </c>
      <c r="S84" s="9">
        <f t="shared" si="19"/>
        <v>0</v>
      </c>
      <c r="T84" s="9">
        <f t="shared" si="20"/>
        <v>0</v>
      </c>
    </row>
    <row r="85" spans="13:20" ht="15" customHeight="1">
      <c r="M85" s="9">
        <v>84</v>
      </c>
      <c r="N85" s="9" t="str">
        <f t="shared" si="15"/>
        <v>B</v>
      </c>
      <c r="O85" s="11">
        <f t="shared" si="16"/>
        <v>4.0599999999999996</v>
      </c>
      <c r="P85" s="12">
        <f t="shared" si="21"/>
        <v>542.34000000000037</v>
      </c>
      <c r="Q85" s="12">
        <f t="shared" si="17"/>
        <v>708.34000000000037</v>
      </c>
      <c r="R85" s="9">
        <f t="shared" si="18"/>
        <v>0</v>
      </c>
      <c r="S85" s="9">
        <f t="shared" si="19"/>
        <v>0</v>
      </c>
      <c r="T85" s="9">
        <f t="shared" si="20"/>
        <v>0</v>
      </c>
    </row>
    <row r="86" spans="13:20" ht="15" customHeight="1">
      <c r="M86" s="9">
        <v>85</v>
      </c>
      <c r="N86" s="9" t="str">
        <f t="shared" si="15"/>
        <v>B</v>
      </c>
      <c r="O86" s="11">
        <f t="shared" si="16"/>
        <v>4.0599999999999996</v>
      </c>
      <c r="P86" s="12">
        <f t="shared" si="21"/>
        <v>546.40000000000032</v>
      </c>
      <c r="Q86" s="12">
        <f t="shared" si="17"/>
        <v>714.40000000000032</v>
      </c>
      <c r="R86" s="9">
        <f t="shared" si="18"/>
        <v>0</v>
      </c>
      <c r="S86" s="9">
        <f t="shared" si="19"/>
        <v>0</v>
      </c>
      <c r="T86" s="9">
        <f t="shared" si="20"/>
        <v>0</v>
      </c>
    </row>
    <row r="87" spans="13:20" ht="15" customHeight="1">
      <c r="M87" s="9">
        <v>86</v>
      </c>
      <c r="N87" s="9" t="str">
        <f t="shared" si="15"/>
        <v>B</v>
      </c>
      <c r="O87" s="11">
        <f t="shared" si="16"/>
        <v>4.0599999999999996</v>
      </c>
      <c r="P87" s="12">
        <f t="shared" si="21"/>
        <v>550.46000000000026</v>
      </c>
      <c r="Q87" s="12">
        <f t="shared" si="17"/>
        <v>720.46000000000026</v>
      </c>
      <c r="R87" s="9">
        <f t="shared" si="18"/>
        <v>0</v>
      </c>
      <c r="S87" s="9">
        <f t="shared" si="19"/>
        <v>0</v>
      </c>
      <c r="T87" s="9">
        <f t="shared" si="20"/>
        <v>0</v>
      </c>
    </row>
    <row r="88" spans="13:20" ht="15" customHeight="1">
      <c r="M88" s="9">
        <v>87</v>
      </c>
      <c r="N88" s="9" t="str">
        <f t="shared" si="15"/>
        <v>B</v>
      </c>
      <c r="O88" s="11">
        <f t="shared" si="16"/>
        <v>4.0599999999999996</v>
      </c>
      <c r="P88" s="12">
        <f t="shared" si="21"/>
        <v>554.52000000000021</v>
      </c>
      <c r="Q88" s="12">
        <f t="shared" si="17"/>
        <v>726.52000000000021</v>
      </c>
      <c r="R88" s="9">
        <f t="shared" si="18"/>
        <v>0</v>
      </c>
      <c r="S88" s="9">
        <f t="shared" si="19"/>
        <v>0</v>
      </c>
      <c r="T88" s="9">
        <f t="shared" si="20"/>
        <v>0</v>
      </c>
    </row>
    <row r="89" spans="13:20" ht="15" customHeight="1">
      <c r="M89" s="9">
        <v>88</v>
      </c>
      <c r="N89" s="9" t="str">
        <f t="shared" si="15"/>
        <v>B</v>
      </c>
      <c r="O89" s="11">
        <f t="shared" si="16"/>
        <v>4.0599999999999996</v>
      </c>
      <c r="P89" s="12">
        <f t="shared" si="21"/>
        <v>558.58000000000015</v>
      </c>
      <c r="Q89" s="12">
        <f t="shared" si="17"/>
        <v>732.58000000000015</v>
      </c>
      <c r="R89" s="9">
        <f t="shared" si="18"/>
        <v>0</v>
      </c>
      <c r="S89" s="9">
        <f t="shared" si="19"/>
        <v>0</v>
      </c>
      <c r="T89" s="9">
        <f t="shared" si="20"/>
        <v>0</v>
      </c>
    </row>
    <row r="90" spans="13:20" ht="15" customHeight="1">
      <c r="M90" s="9">
        <v>89</v>
      </c>
      <c r="N90" s="9" t="str">
        <f t="shared" si="15"/>
        <v>A</v>
      </c>
      <c r="O90" s="11">
        <f t="shared" si="16"/>
        <v>10.16</v>
      </c>
      <c r="P90" s="12">
        <f t="shared" si="21"/>
        <v>568.74000000000012</v>
      </c>
      <c r="Q90" s="12">
        <f t="shared" si="17"/>
        <v>744.74000000000012</v>
      </c>
      <c r="R90" s="9">
        <f t="shared" si="18"/>
        <v>0</v>
      </c>
      <c r="S90" s="9">
        <f t="shared" si="19"/>
        <v>0</v>
      </c>
      <c r="T90" s="9">
        <f t="shared" si="20"/>
        <v>0</v>
      </c>
    </row>
    <row r="91" spans="13:20" ht="15" customHeight="1">
      <c r="M91" s="9">
        <v>90</v>
      </c>
      <c r="N91" s="9" t="str">
        <f t="shared" si="15"/>
        <v>A</v>
      </c>
      <c r="O91" s="11">
        <f t="shared" si="16"/>
        <v>10.16</v>
      </c>
      <c r="P91" s="12">
        <f t="shared" si="21"/>
        <v>578.90000000000009</v>
      </c>
      <c r="Q91" s="12">
        <f t="shared" si="17"/>
        <v>756.90000000000009</v>
      </c>
      <c r="R91" s="9">
        <f t="shared" si="18"/>
        <v>0</v>
      </c>
      <c r="S91" s="9">
        <f t="shared" si="19"/>
        <v>0</v>
      </c>
      <c r="T91" s="9">
        <f t="shared" si="20"/>
        <v>0</v>
      </c>
    </row>
    <row r="92" spans="13:20" ht="15" customHeight="1">
      <c r="M92" s="9">
        <v>91</v>
      </c>
      <c r="N92" s="9" t="str">
        <f t="shared" si="15"/>
        <v>A</v>
      </c>
      <c r="O92" s="11">
        <f t="shared" si="16"/>
        <v>10.16</v>
      </c>
      <c r="P92" s="12">
        <f t="shared" si="21"/>
        <v>589.06000000000006</v>
      </c>
      <c r="Q92" s="12">
        <f t="shared" si="17"/>
        <v>769.06000000000006</v>
      </c>
      <c r="R92" s="9">
        <f t="shared" si="18"/>
        <v>0</v>
      </c>
      <c r="S92" s="9">
        <f t="shared" si="19"/>
        <v>0</v>
      </c>
      <c r="T92" s="9">
        <f t="shared" si="20"/>
        <v>0</v>
      </c>
    </row>
    <row r="93" spans="13:20" ht="15" customHeight="1">
      <c r="M93" s="9">
        <v>92</v>
      </c>
      <c r="N93" s="9" t="str">
        <f t="shared" si="15"/>
        <v>B</v>
      </c>
      <c r="O93" s="11">
        <f t="shared" si="16"/>
        <v>4.0599999999999996</v>
      </c>
      <c r="P93" s="12">
        <f t="shared" si="21"/>
        <v>593.12</v>
      </c>
      <c r="Q93" s="12">
        <f t="shared" si="17"/>
        <v>775.12</v>
      </c>
      <c r="R93" s="9">
        <f t="shared" si="18"/>
        <v>0</v>
      </c>
      <c r="S93" s="9">
        <f t="shared" si="19"/>
        <v>0</v>
      </c>
      <c r="T93" s="9">
        <f t="shared" si="20"/>
        <v>0</v>
      </c>
    </row>
    <row r="94" spans="13:20" ht="15" customHeight="1">
      <c r="M94" s="9">
        <v>93</v>
      </c>
      <c r="N94" s="9" t="str">
        <f t="shared" si="15"/>
        <v>B</v>
      </c>
      <c r="O94" s="11">
        <f t="shared" si="16"/>
        <v>4.0599999999999996</v>
      </c>
      <c r="P94" s="12">
        <f t="shared" si="21"/>
        <v>597.17999999999995</v>
      </c>
      <c r="Q94" s="12">
        <f t="shared" si="17"/>
        <v>781.18</v>
      </c>
      <c r="R94" s="9">
        <f t="shared" si="18"/>
        <v>0</v>
      </c>
      <c r="S94" s="9">
        <f t="shared" si="19"/>
        <v>0</v>
      </c>
      <c r="T94" s="9">
        <f t="shared" si="20"/>
        <v>0</v>
      </c>
    </row>
    <row r="95" spans="13:20" ht="15" customHeight="1">
      <c r="M95" s="9">
        <v>94</v>
      </c>
      <c r="N95" s="9" t="str">
        <f t="shared" si="15"/>
        <v>B</v>
      </c>
      <c r="O95" s="11">
        <f t="shared" si="16"/>
        <v>4.0599999999999996</v>
      </c>
      <c r="P95" s="12">
        <f t="shared" si="21"/>
        <v>601.2399999999999</v>
      </c>
      <c r="Q95" s="12">
        <f t="shared" si="17"/>
        <v>787.2399999999999</v>
      </c>
      <c r="R95" s="9">
        <f t="shared" si="18"/>
        <v>0</v>
      </c>
      <c r="S95" s="9">
        <f t="shared" si="19"/>
        <v>0</v>
      </c>
      <c r="T95" s="9">
        <f t="shared" si="20"/>
        <v>0</v>
      </c>
    </row>
    <row r="96" spans="13:20" ht="15" customHeight="1">
      <c r="M96" s="9">
        <v>95</v>
      </c>
      <c r="N96" s="9" t="str">
        <f t="shared" si="15"/>
        <v>B</v>
      </c>
      <c r="O96" s="11">
        <f t="shared" si="16"/>
        <v>4.0599999999999996</v>
      </c>
      <c r="P96" s="12">
        <f t="shared" si="21"/>
        <v>605.29999999999984</v>
      </c>
      <c r="Q96" s="12">
        <f t="shared" si="17"/>
        <v>793.29999999999984</v>
      </c>
      <c r="R96" s="9">
        <f t="shared" si="18"/>
        <v>0</v>
      </c>
      <c r="S96" s="9">
        <f t="shared" si="19"/>
        <v>0</v>
      </c>
      <c r="T96" s="9">
        <f t="shared" si="20"/>
        <v>0</v>
      </c>
    </row>
    <row r="97" spans="13:20" ht="15" customHeight="1">
      <c r="M97" s="9">
        <v>96</v>
      </c>
      <c r="N97" s="9" t="str">
        <f t="shared" si="15"/>
        <v>B</v>
      </c>
      <c r="O97" s="11">
        <f t="shared" si="16"/>
        <v>4.0599999999999996</v>
      </c>
      <c r="P97" s="12">
        <f t="shared" si="21"/>
        <v>609.35999999999979</v>
      </c>
      <c r="Q97" s="12">
        <f t="shared" si="17"/>
        <v>799.35999999999979</v>
      </c>
      <c r="R97" s="9">
        <f t="shared" si="18"/>
        <v>0</v>
      </c>
      <c r="S97" s="9">
        <f t="shared" si="19"/>
        <v>0</v>
      </c>
      <c r="T97" s="9">
        <f t="shared" si="20"/>
        <v>0</v>
      </c>
    </row>
    <row r="98" spans="13:20" ht="15" customHeight="1">
      <c r="M98" s="9">
        <v>97</v>
      </c>
      <c r="N98" s="9" t="str">
        <f t="shared" ref="N98:N129" si="22">IF(MOD(M98-1,$B$4+$B$7)&lt;$B$4,"A","B")</f>
        <v>A</v>
      </c>
      <c r="O98" s="11">
        <f t="shared" ref="O98:O129" si="23">IF(N98="A",$E$3,$E$4)</f>
        <v>10.16</v>
      </c>
      <c r="P98" s="12">
        <f t="shared" si="21"/>
        <v>619.51999999999975</v>
      </c>
      <c r="Q98" s="12">
        <f t="shared" ref="Q98:Q129" si="24">P98+(M98-1)*$B$8</f>
        <v>811.51999999999975</v>
      </c>
      <c r="R98" s="9">
        <f t="shared" ref="R98:R129" si="25">IF(AND(Q98&lt;=$B$9,N98="A"),1,0)</f>
        <v>0</v>
      </c>
      <c r="S98" s="9">
        <f t="shared" ref="S98:S129" si="26">IF(AND(Q98&lt;=$B$9,N98="B"),1,0)</f>
        <v>0</v>
      </c>
      <c r="T98" s="9">
        <f t="shared" ref="T98:T129" si="27">IF(Q98&lt;=$B$9,1,0)</f>
        <v>0</v>
      </c>
    </row>
    <row r="99" spans="13:20" ht="15" customHeight="1">
      <c r="M99" s="9">
        <v>98</v>
      </c>
      <c r="N99" s="9" t="str">
        <f t="shared" si="22"/>
        <v>A</v>
      </c>
      <c r="O99" s="11">
        <f t="shared" si="23"/>
        <v>10.16</v>
      </c>
      <c r="P99" s="12">
        <f t="shared" ref="P99:P130" si="28">P98+O99</f>
        <v>629.67999999999972</v>
      </c>
      <c r="Q99" s="12">
        <f t="shared" si="24"/>
        <v>823.67999999999972</v>
      </c>
      <c r="R99" s="9">
        <f t="shared" si="25"/>
        <v>0</v>
      </c>
      <c r="S99" s="9">
        <f t="shared" si="26"/>
        <v>0</v>
      </c>
      <c r="T99" s="9">
        <f t="shared" si="27"/>
        <v>0</v>
      </c>
    </row>
    <row r="100" spans="13:20" ht="15" customHeight="1">
      <c r="M100" s="9">
        <v>99</v>
      </c>
      <c r="N100" s="9" t="str">
        <f t="shared" si="22"/>
        <v>A</v>
      </c>
      <c r="O100" s="11">
        <f t="shared" si="23"/>
        <v>10.16</v>
      </c>
      <c r="P100" s="12">
        <f t="shared" si="28"/>
        <v>639.83999999999969</v>
      </c>
      <c r="Q100" s="12">
        <f t="shared" si="24"/>
        <v>835.83999999999969</v>
      </c>
      <c r="R100" s="9">
        <f t="shared" si="25"/>
        <v>0</v>
      </c>
      <c r="S100" s="9">
        <f t="shared" si="26"/>
        <v>0</v>
      </c>
      <c r="T100" s="9">
        <f t="shared" si="27"/>
        <v>0</v>
      </c>
    </row>
    <row r="101" spans="13:20" ht="15" customHeight="1">
      <c r="M101" s="9">
        <v>100</v>
      </c>
      <c r="N101" s="9" t="str">
        <f t="shared" si="22"/>
        <v>B</v>
      </c>
      <c r="O101" s="11">
        <f t="shared" si="23"/>
        <v>4.0599999999999996</v>
      </c>
      <c r="P101" s="12">
        <f t="shared" si="28"/>
        <v>643.89999999999964</v>
      </c>
      <c r="Q101" s="12">
        <f t="shared" si="24"/>
        <v>841.89999999999964</v>
      </c>
      <c r="R101" s="9">
        <f t="shared" si="25"/>
        <v>0</v>
      </c>
      <c r="S101" s="9">
        <f t="shared" si="26"/>
        <v>0</v>
      </c>
      <c r="T101" s="9">
        <f t="shared" si="27"/>
        <v>0</v>
      </c>
    </row>
    <row r="102" spans="13:20" ht="15" customHeight="1">
      <c r="M102" s="9">
        <v>101</v>
      </c>
      <c r="N102" s="9" t="str">
        <f t="shared" si="22"/>
        <v>B</v>
      </c>
      <c r="O102" s="11">
        <f t="shared" si="23"/>
        <v>4.0599999999999996</v>
      </c>
      <c r="P102" s="12">
        <f t="shared" si="28"/>
        <v>647.95999999999958</v>
      </c>
      <c r="Q102" s="12">
        <f t="shared" si="24"/>
        <v>847.95999999999958</v>
      </c>
      <c r="R102" s="9">
        <f t="shared" si="25"/>
        <v>0</v>
      </c>
      <c r="S102" s="9">
        <f t="shared" si="26"/>
        <v>0</v>
      </c>
      <c r="T102" s="9">
        <f t="shared" si="27"/>
        <v>0</v>
      </c>
    </row>
    <row r="103" spans="13:20" ht="15" customHeight="1">
      <c r="M103" s="9">
        <v>102</v>
      </c>
      <c r="N103" s="9" t="str">
        <f t="shared" si="22"/>
        <v>B</v>
      </c>
      <c r="O103" s="11">
        <f t="shared" si="23"/>
        <v>4.0599999999999996</v>
      </c>
      <c r="P103" s="12">
        <f t="shared" si="28"/>
        <v>652.01999999999953</v>
      </c>
      <c r="Q103" s="12">
        <f t="shared" si="24"/>
        <v>854.01999999999953</v>
      </c>
      <c r="R103" s="9">
        <f t="shared" si="25"/>
        <v>0</v>
      </c>
      <c r="S103" s="9">
        <f t="shared" si="26"/>
        <v>0</v>
      </c>
      <c r="T103" s="9">
        <f t="shared" si="27"/>
        <v>0</v>
      </c>
    </row>
    <row r="104" spans="13:20" ht="15" customHeight="1">
      <c r="M104" s="9">
        <v>103</v>
      </c>
      <c r="N104" s="9" t="str">
        <f t="shared" si="22"/>
        <v>B</v>
      </c>
      <c r="O104" s="11">
        <f t="shared" si="23"/>
        <v>4.0599999999999996</v>
      </c>
      <c r="P104" s="12">
        <f t="shared" si="28"/>
        <v>656.07999999999947</v>
      </c>
      <c r="Q104" s="12">
        <f t="shared" si="24"/>
        <v>860.07999999999947</v>
      </c>
      <c r="R104" s="9">
        <f t="shared" si="25"/>
        <v>0</v>
      </c>
      <c r="S104" s="9">
        <f t="shared" si="26"/>
        <v>0</v>
      </c>
      <c r="T104" s="9">
        <f t="shared" si="27"/>
        <v>0</v>
      </c>
    </row>
    <row r="105" spans="13:20" ht="15" customHeight="1">
      <c r="M105" s="9">
        <v>104</v>
      </c>
      <c r="N105" s="9" t="str">
        <f t="shared" si="22"/>
        <v>B</v>
      </c>
      <c r="O105" s="11">
        <f t="shared" si="23"/>
        <v>4.0599999999999996</v>
      </c>
      <c r="P105" s="12">
        <f t="shared" si="28"/>
        <v>660.13999999999942</v>
      </c>
      <c r="Q105" s="12">
        <f t="shared" si="24"/>
        <v>866.13999999999942</v>
      </c>
      <c r="R105" s="9">
        <f t="shared" si="25"/>
        <v>0</v>
      </c>
      <c r="S105" s="9">
        <f t="shared" si="26"/>
        <v>0</v>
      </c>
      <c r="T105" s="9">
        <f t="shared" si="27"/>
        <v>0</v>
      </c>
    </row>
    <row r="106" spans="13:20" ht="15" customHeight="1">
      <c r="M106" s="9">
        <v>105</v>
      </c>
      <c r="N106" s="9" t="str">
        <f t="shared" si="22"/>
        <v>A</v>
      </c>
      <c r="O106" s="11">
        <f t="shared" si="23"/>
        <v>10.16</v>
      </c>
      <c r="P106" s="12">
        <f t="shared" si="28"/>
        <v>670.29999999999939</v>
      </c>
      <c r="Q106" s="12">
        <f t="shared" si="24"/>
        <v>878.29999999999939</v>
      </c>
      <c r="R106" s="9">
        <f t="shared" si="25"/>
        <v>0</v>
      </c>
      <c r="S106" s="9">
        <f t="shared" si="26"/>
        <v>0</v>
      </c>
      <c r="T106" s="9">
        <f t="shared" si="27"/>
        <v>0</v>
      </c>
    </row>
    <row r="107" spans="13:20" ht="15" customHeight="1">
      <c r="M107" s="9">
        <v>106</v>
      </c>
      <c r="N107" s="9" t="str">
        <f t="shared" si="22"/>
        <v>A</v>
      </c>
      <c r="O107" s="11">
        <f t="shared" si="23"/>
        <v>10.16</v>
      </c>
      <c r="P107" s="12">
        <f t="shared" si="28"/>
        <v>680.45999999999935</v>
      </c>
      <c r="Q107" s="12">
        <f t="shared" si="24"/>
        <v>890.45999999999935</v>
      </c>
      <c r="R107" s="9">
        <f t="shared" si="25"/>
        <v>0</v>
      </c>
      <c r="S107" s="9">
        <f t="shared" si="26"/>
        <v>0</v>
      </c>
      <c r="T107" s="9">
        <f t="shared" si="27"/>
        <v>0</v>
      </c>
    </row>
    <row r="108" spans="13:20" ht="15" customHeight="1">
      <c r="M108" s="9">
        <v>107</v>
      </c>
      <c r="N108" s="9" t="str">
        <f t="shared" si="22"/>
        <v>A</v>
      </c>
      <c r="O108" s="11">
        <f t="shared" si="23"/>
        <v>10.16</v>
      </c>
      <c r="P108" s="12">
        <f t="shared" si="28"/>
        <v>690.61999999999932</v>
      </c>
      <c r="Q108" s="12">
        <f t="shared" si="24"/>
        <v>902.61999999999932</v>
      </c>
      <c r="R108" s="9">
        <f t="shared" si="25"/>
        <v>0</v>
      </c>
      <c r="S108" s="9">
        <f t="shared" si="26"/>
        <v>0</v>
      </c>
      <c r="T108" s="9">
        <f t="shared" si="27"/>
        <v>0</v>
      </c>
    </row>
    <row r="109" spans="13:20" ht="15" customHeight="1">
      <c r="M109" s="9">
        <v>108</v>
      </c>
      <c r="N109" s="9" t="str">
        <f t="shared" si="22"/>
        <v>B</v>
      </c>
      <c r="O109" s="11">
        <f t="shared" si="23"/>
        <v>4.0599999999999996</v>
      </c>
      <c r="P109" s="12">
        <f t="shared" si="28"/>
        <v>694.67999999999927</v>
      </c>
      <c r="Q109" s="12">
        <f t="shared" si="24"/>
        <v>908.67999999999927</v>
      </c>
      <c r="R109" s="9">
        <f t="shared" si="25"/>
        <v>0</v>
      </c>
      <c r="S109" s="9">
        <f t="shared" si="26"/>
        <v>0</v>
      </c>
      <c r="T109" s="9">
        <f t="shared" si="27"/>
        <v>0</v>
      </c>
    </row>
    <row r="110" spans="13:20" ht="15" customHeight="1">
      <c r="M110" s="9">
        <v>109</v>
      </c>
      <c r="N110" s="9" t="str">
        <f t="shared" si="22"/>
        <v>B</v>
      </c>
      <c r="O110" s="11">
        <f t="shared" si="23"/>
        <v>4.0599999999999996</v>
      </c>
      <c r="P110" s="12">
        <f t="shared" si="28"/>
        <v>698.73999999999921</v>
      </c>
      <c r="Q110" s="12">
        <f t="shared" si="24"/>
        <v>914.73999999999921</v>
      </c>
      <c r="R110" s="9">
        <f t="shared" si="25"/>
        <v>0</v>
      </c>
      <c r="S110" s="9">
        <f t="shared" si="26"/>
        <v>0</v>
      </c>
      <c r="T110" s="9">
        <f t="shared" si="27"/>
        <v>0</v>
      </c>
    </row>
    <row r="111" spans="13:20" ht="15" customHeight="1">
      <c r="M111" s="9">
        <v>110</v>
      </c>
      <c r="N111" s="9" t="str">
        <f t="shared" si="22"/>
        <v>B</v>
      </c>
      <c r="O111" s="11">
        <f t="shared" si="23"/>
        <v>4.0599999999999996</v>
      </c>
      <c r="P111" s="12">
        <f t="shared" si="28"/>
        <v>702.79999999999916</v>
      </c>
      <c r="Q111" s="12">
        <f t="shared" si="24"/>
        <v>920.79999999999916</v>
      </c>
      <c r="R111" s="9">
        <f t="shared" si="25"/>
        <v>0</v>
      </c>
      <c r="S111" s="9">
        <f t="shared" si="26"/>
        <v>0</v>
      </c>
      <c r="T111" s="9">
        <f t="shared" si="27"/>
        <v>0</v>
      </c>
    </row>
    <row r="112" spans="13:20" ht="15" customHeight="1">
      <c r="M112" s="9">
        <v>111</v>
      </c>
      <c r="N112" s="9" t="str">
        <f t="shared" si="22"/>
        <v>B</v>
      </c>
      <c r="O112" s="11">
        <f t="shared" si="23"/>
        <v>4.0599999999999996</v>
      </c>
      <c r="P112" s="12">
        <f t="shared" si="28"/>
        <v>706.8599999999991</v>
      </c>
      <c r="Q112" s="12">
        <f t="shared" si="24"/>
        <v>926.8599999999991</v>
      </c>
      <c r="R112" s="9">
        <f t="shared" si="25"/>
        <v>0</v>
      </c>
      <c r="S112" s="9">
        <f t="shared" si="26"/>
        <v>0</v>
      </c>
      <c r="T112" s="9">
        <f t="shared" si="27"/>
        <v>0</v>
      </c>
    </row>
    <row r="113" spans="13:20" ht="15" customHeight="1">
      <c r="M113" s="9">
        <v>112</v>
      </c>
      <c r="N113" s="9" t="str">
        <f t="shared" si="22"/>
        <v>B</v>
      </c>
      <c r="O113" s="11">
        <f t="shared" si="23"/>
        <v>4.0599999999999996</v>
      </c>
      <c r="P113" s="12">
        <f t="shared" si="28"/>
        <v>710.91999999999905</v>
      </c>
      <c r="Q113" s="12">
        <f t="shared" si="24"/>
        <v>932.91999999999905</v>
      </c>
      <c r="R113" s="9">
        <f t="shared" si="25"/>
        <v>0</v>
      </c>
      <c r="S113" s="9">
        <f t="shared" si="26"/>
        <v>0</v>
      </c>
      <c r="T113" s="9">
        <f t="shared" si="27"/>
        <v>0</v>
      </c>
    </row>
    <row r="114" spans="13:20" ht="15" customHeight="1">
      <c r="M114" s="9">
        <v>113</v>
      </c>
      <c r="N114" s="9" t="str">
        <f t="shared" si="22"/>
        <v>A</v>
      </c>
      <c r="O114" s="11">
        <f t="shared" si="23"/>
        <v>10.16</v>
      </c>
      <c r="P114" s="12">
        <f t="shared" si="28"/>
        <v>721.07999999999902</v>
      </c>
      <c r="Q114" s="12">
        <f t="shared" si="24"/>
        <v>945.07999999999902</v>
      </c>
      <c r="R114" s="9">
        <f t="shared" si="25"/>
        <v>0</v>
      </c>
      <c r="S114" s="9">
        <f t="shared" si="26"/>
        <v>0</v>
      </c>
      <c r="T114" s="9">
        <f t="shared" si="27"/>
        <v>0</v>
      </c>
    </row>
    <row r="115" spans="13:20" ht="15" customHeight="1">
      <c r="M115" s="9">
        <v>114</v>
      </c>
      <c r="N115" s="9" t="str">
        <f t="shared" si="22"/>
        <v>A</v>
      </c>
      <c r="O115" s="11">
        <f t="shared" si="23"/>
        <v>10.16</v>
      </c>
      <c r="P115" s="12">
        <f t="shared" si="28"/>
        <v>731.23999999999899</v>
      </c>
      <c r="Q115" s="12">
        <f t="shared" si="24"/>
        <v>957.23999999999899</v>
      </c>
      <c r="R115" s="9">
        <f t="shared" si="25"/>
        <v>0</v>
      </c>
      <c r="S115" s="9">
        <f t="shared" si="26"/>
        <v>0</v>
      </c>
      <c r="T115" s="9">
        <f t="shared" si="27"/>
        <v>0</v>
      </c>
    </row>
    <row r="116" spans="13:20" ht="15" customHeight="1">
      <c r="M116" s="9">
        <v>115</v>
      </c>
      <c r="N116" s="9" t="str">
        <f t="shared" si="22"/>
        <v>A</v>
      </c>
      <c r="O116" s="11">
        <f t="shared" si="23"/>
        <v>10.16</v>
      </c>
      <c r="P116" s="12">
        <f t="shared" si="28"/>
        <v>741.39999999999895</v>
      </c>
      <c r="Q116" s="12">
        <f t="shared" si="24"/>
        <v>969.39999999999895</v>
      </c>
      <c r="R116" s="9">
        <f t="shared" si="25"/>
        <v>0</v>
      </c>
      <c r="S116" s="9">
        <f t="shared" si="26"/>
        <v>0</v>
      </c>
      <c r="T116" s="9">
        <f t="shared" si="27"/>
        <v>0</v>
      </c>
    </row>
    <row r="117" spans="13:20" ht="15" customHeight="1">
      <c r="M117" s="9">
        <v>116</v>
      </c>
      <c r="N117" s="9" t="str">
        <f t="shared" si="22"/>
        <v>B</v>
      </c>
      <c r="O117" s="11">
        <f t="shared" si="23"/>
        <v>4.0599999999999996</v>
      </c>
      <c r="P117" s="12">
        <f t="shared" si="28"/>
        <v>745.4599999999989</v>
      </c>
      <c r="Q117" s="12">
        <f t="shared" si="24"/>
        <v>975.4599999999989</v>
      </c>
      <c r="R117" s="9">
        <f t="shared" si="25"/>
        <v>0</v>
      </c>
      <c r="S117" s="9">
        <f t="shared" si="26"/>
        <v>0</v>
      </c>
      <c r="T117" s="9">
        <f t="shared" si="27"/>
        <v>0</v>
      </c>
    </row>
    <row r="118" spans="13:20" ht="15" customHeight="1">
      <c r="M118" s="9">
        <v>117</v>
      </c>
      <c r="N118" s="9" t="str">
        <f t="shared" si="22"/>
        <v>B</v>
      </c>
      <c r="O118" s="11">
        <f t="shared" si="23"/>
        <v>4.0599999999999996</v>
      </c>
      <c r="P118" s="12">
        <f t="shared" si="28"/>
        <v>749.51999999999884</v>
      </c>
      <c r="Q118" s="12">
        <f t="shared" si="24"/>
        <v>981.51999999999884</v>
      </c>
      <c r="R118" s="9">
        <f t="shared" si="25"/>
        <v>0</v>
      </c>
      <c r="S118" s="9">
        <f t="shared" si="26"/>
        <v>0</v>
      </c>
      <c r="T118" s="9">
        <f t="shared" si="27"/>
        <v>0</v>
      </c>
    </row>
    <row r="119" spans="13:20" ht="15" customHeight="1">
      <c r="M119" s="9">
        <v>118</v>
      </c>
      <c r="N119" s="9" t="str">
        <f t="shared" si="22"/>
        <v>B</v>
      </c>
      <c r="O119" s="11">
        <f t="shared" si="23"/>
        <v>4.0599999999999996</v>
      </c>
      <c r="P119" s="12">
        <f t="shared" si="28"/>
        <v>753.57999999999879</v>
      </c>
      <c r="Q119" s="12">
        <f t="shared" si="24"/>
        <v>987.57999999999879</v>
      </c>
      <c r="R119" s="9">
        <f t="shared" si="25"/>
        <v>0</v>
      </c>
      <c r="S119" s="9">
        <f t="shared" si="26"/>
        <v>0</v>
      </c>
      <c r="T119" s="9">
        <f t="shared" si="27"/>
        <v>0</v>
      </c>
    </row>
    <row r="120" spans="13:20" ht="15" customHeight="1">
      <c r="M120" s="9">
        <v>119</v>
      </c>
      <c r="N120" s="9" t="str">
        <f t="shared" si="22"/>
        <v>B</v>
      </c>
      <c r="O120" s="11">
        <f t="shared" si="23"/>
        <v>4.0599999999999996</v>
      </c>
      <c r="P120" s="12">
        <f t="shared" si="28"/>
        <v>757.63999999999874</v>
      </c>
      <c r="Q120" s="12">
        <f t="shared" si="24"/>
        <v>993.63999999999874</v>
      </c>
      <c r="R120" s="9">
        <f t="shared" si="25"/>
        <v>0</v>
      </c>
      <c r="S120" s="9">
        <f t="shared" si="26"/>
        <v>0</v>
      </c>
      <c r="T120" s="9">
        <f t="shared" si="27"/>
        <v>0</v>
      </c>
    </row>
    <row r="121" spans="13:20" ht="15" customHeight="1">
      <c r="M121" s="9">
        <v>120</v>
      </c>
      <c r="N121" s="9" t="str">
        <f t="shared" si="22"/>
        <v>B</v>
      </c>
      <c r="O121" s="11">
        <f t="shared" si="23"/>
        <v>4.0599999999999996</v>
      </c>
      <c r="P121" s="12">
        <f t="shared" si="28"/>
        <v>761.69999999999868</v>
      </c>
      <c r="Q121" s="12">
        <f t="shared" si="24"/>
        <v>999.69999999999868</v>
      </c>
      <c r="R121" s="9">
        <f t="shared" si="25"/>
        <v>0</v>
      </c>
      <c r="S121" s="9">
        <f t="shared" si="26"/>
        <v>0</v>
      </c>
      <c r="T121" s="9">
        <f t="shared" si="27"/>
        <v>0</v>
      </c>
    </row>
    <row r="122" spans="13:20" ht="15" customHeight="1">
      <c r="M122" s="9">
        <v>121</v>
      </c>
      <c r="N122" s="9" t="str">
        <f t="shared" si="22"/>
        <v>A</v>
      </c>
      <c r="O122" s="11">
        <f t="shared" si="23"/>
        <v>10.16</v>
      </c>
      <c r="P122" s="12">
        <f t="shared" si="28"/>
        <v>771.85999999999865</v>
      </c>
      <c r="Q122" s="12">
        <f t="shared" si="24"/>
        <v>1011.8599999999986</v>
      </c>
      <c r="R122" s="9">
        <f t="shared" si="25"/>
        <v>0</v>
      </c>
      <c r="S122" s="9">
        <f t="shared" si="26"/>
        <v>0</v>
      </c>
      <c r="T122" s="9">
        <f t="shared" si="27"/>
        <v>0</v>
      </c>
    </row>
    <row r="123" spans="13:20" ht="15" customHeight="1">
      <c r="M123" s="9">
        <v>122</v>
      </c>
      <c r="N123" s="9" t="str">
        <f t="shared" si="22"/>
        <v>A</v>
      </c>
      <c r="O123" s="11">
        <f t="shared" si="23"/>
        <v>10.16</v>
      </c>
      <c r="P123" s="12">
        <f t="shared" si="28"/>
        <v>782.01999999999862</v>
      </c>
      <c r="Q123" s="12">
        <f t="shared" si="24"/>
        <v>1024.0199999999986</v>
      </c>
      <c r="R123" s="9">
        <f t="shared" si="25"/>
        <v>0</v>
      </c>
      <c r="S123" s="9">
        <f t="shared" si="26"/>
        <v>0</v>
      </c>
      <c r="T123" s="9">
        <f t="shared" si="27"/>
        <v>0</v>
      </c>
    </row>
    <row r="124" spans="13:20" ht="15" customHeight="1">
      <c r="M124" s="9">
        <v>123</v>
      </c>
      <c r="N124" s="9" t="str">
        <f t="shared" si="22"/>
        <v>A</v>
      </c>
      <c r="O124" s="11">
        <f t="shared" si="23"/>
        <v>10.16</v>
      </c>
      <c r="P124" s="12">
        <f t="shared" si="28"/>
        <v>792.17999999999859</v>
      </c>
      <c r="Q124" s="12">
        <f t="shared" si="24"/>
        <v>1036.1799999999985</v>
      </c>
      <c r="R124" s="9">
        <f t="shared" si="25"/>
        <v>0</v>
      </c>
      <c r="S124" s="9">
        <f t="shared" si="26"/>
        <v>0</v>
      </c>
      <c r="T124" s="9">
        <f t="shared" si="27"/>
        <v>0</v>
      </c>
    </row>
    <row r="125" spans="13:20" ht="15" customHeight="1">
      <c r="M125" s="9">
        <v>124</v>
      </c>
      <c r="N125" s="9" t="str">
        <f t="shared" si="22"/>
        <v>B</v>
      </c>
      <c r="O125" s="11">
        <f t="shared" si="23"/>
        <v>4.0599999999999996</v>
      </c>
      <c r="P125" s="12">
        <f t="shared" si="28"/>
        <v>796.23999999999853</v>
      </c>
      <c r="Q125" s="12">
        <f t="shared" si="24"/>
        <v>1042.2399999999984</v>
      </c>
      <c r="R125" s="9">
        <f t="shared" si="25"/>
        <v>0</v>
      </c>
      <c r="S125" s="9">
        <f t="shared" si="26"/>
        <v>0</v>
      </c>
      <c r="T125" s="9">
        <f t="shared" si="27"/>
        <v>0</v>
      </c>
    </row>
    <row r="126" spans="13:20" ht="15" customHeight="1">
      <c r="M126" s="9">
        <v>125</v>
      </c>
      <c r="N126" s="9" t="str">
        <f t="shared" si="22"/>
        <v>B</v>
      </c>
      <c r="O126" s="11">
        <f t="shared" si="23"/>
        <v>4.0599999999999996</v>
      </c>
      <c r="P126" s="12">
        <f t="shared" si="28"/>
        <v>800.29999999999848</v>
      </c>
      <c r="Q126" s="12">
        <f t="shared" si="24"/>
        <v>1048.2999999999984</v>
      </c>
      <c r="R126" s="9">
        <f t="shared" si="25"/>
        <v>0</v>
      </c>
      <c r="S126" s="9">
        <f t="shared" si="26"/>
        <v>0</v>
      </c>
      <c r="T126" s="9">
        <f t="shared" si="27"/>
        <v>0</v>
      </c>
    </row>
    <row r="127" spans="13:20" ht="15" customHeight="1">
      <c r="M127" s="9">
        <v>126</v>
      </c>
      <c r="N127" s="9" t="str">
        <f t="shared" si="22"/>
        <v>B</v>
      </c>
      <c r="O127" s="11">
        <f t="shared" si="23"/>
        <v>4.0599999999999996</v>
      </c>
      <c r="P127" s="12">
        <f t="shared" si="28"/>
        <v>804.35999999999842</v>
      </c>
      <c r="Q127" s="12">
        <f t="shared" si="24"/>
        <v>1054.3599999999983</v>
      </c>
      <c r="R127" s="9">
        <f t="shared" si="25"/>
        <v>0</v>
      </c>
      <c r="S127" s="9">
        <f t="shared" si="26"/>
        <v>0</v>
      </c>
      <c r="T127" s="9">
        <f t="shared" si="27"/>
        <v>0</v>
      </c>
    </row>
    <row r="128" spans="13:20" ht="15" customHeight="1">
      <c r="M128" s="9">
        <v>127</v>
      </c>
      <c r="N128" s="9" t="str">
        <f t="shared" si="22"/>
        <v>B</v>
      </c>
      <c r="O128" s="11">
        <f t="shared" si="23"/>
        <v>4.0599999999999996</v>
      </c>
      <c r="P128" s="12">
        <f t="shared" si="28"/>
        <v>808.41999999999837</v>
      </c>
      <c r="Q128" s="12">
        <f t="shared" si="24"/>
        <v>1060.4199999999983</v>
      </c>
      <c r="R128" s="9">
        <f t="shared" si="25"/>
        <v>0</v>
      </c>
      <c r="S128" s="9">
        <f t="shared" si="26"/>
        <v>0</v>
      </c>
      <c r="T128" s="9">
        <f t="shared" si="27"/>
        <v>0</v>
      </c>
    </row>
    <row r="129" spans="13:20" ht="15" customHeight="1">
      <c r="M129" s="9">
        <v>128</v>
      </c>
      <c r="N129" s="9" t="str">
        <f t="shared" si="22"/>
        <v>B</v>
      </c>
      <c r="O129" s="11">
        <f t="shared" si="23"/>
        <v>4.0599999999999996</v>
      </c>
      <c r="P129" s="12">
        <f t="shared" si="28"/>
        <v>812.47999999999831</v>
      </c>
      <c r="Q129" s="12">
        <f t="shared" si="24"/>
        <v>1066.4799999999982</v>
      </c>
      <c r="R129" s="9">
        <f t="shared" si="25"/>
        <v>0</v>
      </c>
      <c r="S129" s="9">
        <f t="shared" si="26"/>
        <v>0</v>
      </c>
      <c r="T129" s="9">
        <f t="shared" si="27"/>
        <v>0</v>
      </c>
    </row>
    <row r="130" spans="13:20" ht="15" customHeight="1">
      <c r="M130" s="9">
        <v>129</v>
      </c>
      <c r="N130" s="9" t="str">
        <f t="shared" ref="N130:N161" si="29">IF(MOD(M130-1,$B$4+$B$7)&lt;$B$4,"A","B")</f>
        <v>A</v>
      </c>
      <c r="O130" s="11">
        <f t="shared" ref="O130:O161" si="30">IF(N130="A",$E$3,$E$4)</f>
        <v>10.16</v>
      </c>
      <c r="P130" s="12">
        <f t="shared" si="28"/>
        <v>822.63999999999828</v>
      </c>
      <c r="Q130" s="12">
        <f t="shared" ref="Q130:Q161" si="31">P130+(M130-1)*$B$8</f>
        <v>1078.6399999999983</v>
      </c>
      <c r="R130" s="9">
        <f t="shared" ref="R130:R161" si="32">IF(AND(Q130&lt;=$B$9,N130="A"),1,0)</f>
        <v>0</v>
      </c>
      <c r="S130" s="9">
        <f t="shared" ref="S130:S161" si="33">IF(AND(Q130&lt;=$B$9,N130="B"),1,0)</f>
        <v>0</v>
      </c>
      <c r="T130" s="9">
        <f t="shared" ref="T130:T161" si="34">IF(Q130&lt;=$B$9,1,0)</f>
        <v>0</v>
      </c>
    </row>
    <row r="131" spans="13:20" ht="15" customHeight="1">
      <c r="M131" s="9">
        <v>130</v>
      </c>
      <c r="N131" s="9" t="str">
        <f t="shared" si="29"/>
        <v>A</v>
      </c>
      <c r="O131" s="11">
        <f t="shared" si="30"/>
        <v>10.16</v>
      </c>
      <c r="P131" s="12">
        <f t="shared" ref="P131:P162" si="35">P130+O131</f>
        <v>832.79999999999825</v>
      </c>
      <c r="Q131" s="12">
        <f t="shared" si="31"/>
        <v>1090.7999999999984</v>
      </c>
      <c r="R131" s="9">
        <f t="shared" si="32"/>
        <v>0</v>
      </c>
      <c r="S131" s="9">
        <f t="shared" si="33"/>
        <v>0</v>
      </c>
      <c r="T131" s="9">
        <f t="shared" si="34"/>
        <v>0</v>
      </c>
    </row>
    <row r="132" spans="13:20" ht="15" customHeight="1">
      <c r="M132" s="9">
        <v>131</v>
      </c>
      <c r="N132" s="9" t="str">
        <f t="shared" si="29"/>
        <v>A</v>
      </c>
      <c r="O132" s="11">
        <f t="shared" si="30"/>
        <v>10.16</v>
      </c>
      <c r="P132" s="12">
        <f t="shared" si="35"/>
        <v>842.95999999999822</v>
      </c>
      <c r="Q132" s="12">
        <f t="shared" si="31"/>
        <v>1102.9599999999982</v>
      </c>
      <c r="R132" s="9">
        <f t="shared" si="32"/>
        <v>0</v>
      </c>
      <c r="S132" s="9">
        <f t="shared" si="33"/>
        <v>0</v>
      </c>
      <c r="T132" s="9">
        <f t="shared" si="34"/>
        <v>0</v>
      </c>
    </row>
    <row r="133" spans="13:20" ht="15" customHeight="1">
      <c r="M133" s="9">
        <v>132</v>
      </c>
      <c r="N133" s="9" t="str">
        <f t="shared" si="29"/>
        <v>B</v>
      </c>
      <c r="O133" s="11">
        <f t="shared" si="30"/>
        <v>4.0599999999999996</v>
      </c>
      <c r="P133" s="12">
        <f t="shared" si="35"/>
        <v>847.01999999999816</v>
      </c>
      <c r="Q133" s="12">
        <f t="shared" si="31"/>
        <v>1109.0199999999982</v>
      </c>
      <c r="R133" s="9">
        <f t="shared" si="32"/>
        <v>0</v>
      </c>
      <c r="S133" s="9">
        <f t="shared" si="33"/>
        <v>0</v>
      </c>
      <c r="T133" s="9">
        <f t="shared" si="34"/>
        <v>0</v>
      </c>
    </row>
    <row r="134" spans="13:20" ht="15" customHeight="1">
      <c r="M134" s="9">
        <v>133</v>
      </c>
      <c r="N134" s="9" t="str">
        <f t="shared" si="29"/>
        <v>B</v>
      </c>
      <c r="O134" s="11">
        <f t="shared" si="30"/>
        <v>4.0599999999999996</v>
      </c>
      <c r="P134" s="12">
        <f t="shared" si="35"/>
        <v>851.07999999999811</v>
      </c>
      <c r="Q134" s="12">
        <f t="shared" si="31"/>
        <v>1115.0799999999981</v>
      </c>
      <c r="R134" s="9">
        <f t="shared" si="32"/>
        <v>0</v>
      </c>
      <c r="S134" s="9">
        <f t="shared" si="33"/>
        <v>0</v>
      </c>
      <c r="T134" s="9">
        <f t="shared" si="34"/>
        <v>0</v>
      </c>
    </row>
    <row r="135" spans="13:20" ht="15" customHeight="1">
      <c r="M135" s="9">
        <v>134</v>
      </c>
      <c r="N135" s="9" t="str">
        <f t="shared" si="29"/>
        <v>B</v>
      </c>
      <c r="O135" s="11">
        <f t="shared" si="30"/>
        <v>4.0599999999999996</v>
      </c>
      <c r="P135" s="12">
        <f t="shared" si="35"/>
        <v>855.13999999999805</v>
      </c>
      <c r="Q135" s="12">
        <f t="shared" si="31"/>
        <v>1121.1399999999981</v>
      </c>
      <c r="R135" s="9">
        <f t="shared" si="32"/>
        <v>0</v>
      </c>
      <c r="S135" s="9">
        <f t="shared" si="33"/>
        <v>0</v>
      </c>
      <c r="T135" s="9">
        <f t="shared" si="34"/>
        <v>0</v>
      </c>
    </row>
    <row r="136" spans="13:20" ht="15" customHeight="1">
      <c r="M136" s="9">
        <v>135</v>
      </c>
      <c r="N136" s="9" t="str">
        <f t="shared" si="29"/>
        <v>B</v>
      </c>
      <c r="O136" s="11">
        <f t="shared" si="30"/>
        <v>4.0599999999999996</v>
      </c>
      <c r="P136" s="12">
        <f t="shared" si="35"/>
        <v>859.199999999998</v>
      </c>
      <c r="Q136" s="12">
        <f t="shared" si="31"/>
        <v>1127.199999999998</v>
      </c>
      <c r="R136" s="9">
        <f t="shared" si="32"/>
        <v>0</v>
      </c>
      <c r="S136" s="9">
        <f t="shared" si="33"/>
        <v>0</v>
      </c>
      <c r="T136" s="9">
        <f t="shared" si="34"/>
        <v>0</v>
      </c>
    </row>
    <row r="137" spans="13:20" ht="15" customHeight="1">
      <c r="M137" s="9">
        <v>136</v>
      </c>
      <c r="N137" s="9" t="str">
        <f t="shared" si="29"/>
        <v>B</v>
      </c>
      <c r="O137" s="11">
        <f t="shared" si="30"/>
        <v>4.0599999999999996</v>
      </c>
      <c r="P137" s="12">
        <f t="shared" si="35"/>
        <v>863.25999999999794</v>
      </c>
      <c r="Q137" s="12">
        <f t="shared" si="31"/>
        <v>1133.2599999999979</v>
      </c>
      <c r="R137" s="9">
        <f t="shared" si="32"/>
        <v>0</v>
      </c>
      <c r="S137" s="9">
        <f t="shared" si="33"/>
        <v>0</v>
      </c>
      <c r="T137" s="9">
        <f t="shared" si="34"/>
        <v>0</v>
      </c>
    </row>
    <row r="138" spans="13:20" ht="15" customHeight="1">
      <c r="M138" s="9">
        <v>137</v>
      </c>
      <c r="N138" s="9" t="str">
        <f t="shared" si="29"/>
        <v>A</v>
      </c>
      <c r="O138" s="11">
        <f t="shared" si="30"/>
        <v>10.16</v>
      </c>
      <c r="P138" s="12">
        <f t="shared" si="35"/>
        <v>873.41999999999791</v>
      </c>
      <c r="Q138" s="12">
        <f t="shared" si="31"/>
        <v>1145.4199999999978</v>
      </c>
      <c r="R138" s="9">
        <f t="shared" si="32"/>
        <v>0</v>
      </c>
      <c r="S138" s="9">
        <f t="shared" si="33"/>
        <v>0</v>
      </c>
      <c r="T138" s="9">
        <f t="shared" si="34"/>
        <v>0</v>
      </c>
    </row>
    <row r="139" spans="13:20" ht="15" customHeight="1">
      <c r="M139" s="9">
        <v>138</v>
      </c>
      <c r="N139" s="9" t="str">
        <f t="shared" si="29"/>
        <v>A</v>
      </c>
      <c r="O139" s="11">
        <f t="shared" si="30"/>
        <v>10.16</v>
      </c>
      <c r="P139" s="12">
        <f t="shared" si="35"/>
        <v>883.57999999999788</v>
      </c>
      <c r="Q139" s="12">
        <f t="shared" si="31"/>
        <v>1157.5799999999979</v>
      </c>
      <c r="R139" s="9">
        <f t="shared" si="32"/>
        <v>0</v>
      </c>
      <c r="S139" s="9">
        <f t="shared" si="33"/>
        <v>0</v>
      </c>
      <c r="T139" s="9">
        <f t="shared" si="34"/>
        <v>0</v>
      </c>
    </row>
    <row r="140" spans="13:20" ht="15" customHeight="1">
      <c r="M140" s="9">
        <v>139</v>
      </c>
      <c r="N140" s="9" t="str">
        <f t="shared" si="29"/>
        <v>A</v>
      </c>
      <c r="O140" s="11">
        <f t="shared" si="30"/>
        <v>10.16</v>
      </c>
      <c r="P140" s="12">
        <f t="shared" si="35"/>
        <v>893.73999999999785</v>
      </c>
      <c r="Q140" s="12">
        <f t="shared" si="31"/>
        <v>1169.739999999998</v>
      </c>
      <c r="R140" s="9">
        <f t="shared" si="32"/>
        <v>0</v>
      </c>
      <c r="S140" s="9">
        <f t="shared" si="33"/>
        <v>0</v>
      </c>
      <c r="T140" s="9">
        <f t="shared" si="34"/>
        <v>0</v>
      </c>
    </row>
    <row r="141" spans="13:20" ht="15" customHeight="1">
      <c r="M141" s="9">
        <v>140</v>
      </c>
      <c r="N141" s="9" t="str">
        <f t="shared" si="29"/>
        <v>B</v>
      </c>
      <c r="O141" s="11">
        <f t="shared" si="30"/>
        <v>4.0599999999999996</v>
      </c>
      <c r="P141" s="12">
        <f t="shared" si="35"/>
        <v>897.79999999999779</v>
      </c>
      <c r="Q141" s="12">
        <f t="shared" si="31"/>
        <v>1175.7999999999979</v>
      </c>
      <c r="R141" s="9">
        <f t="shared" si="32"/>
        <v>0</v>
      </c>
      <c r="S141" s="9">
        <f t="shared" si="33"/>
        <v>0</v>
      </c>
      <c r="T141" s="9">
        <f t="shared" si="34"/>
        <v>0</v>
      </c>
    </row>
    <row r="142" spans="13:20" ht="15" customHeight="1">
      <c r="M142" s="9">
        <v>141</v>
      </c>
      <c r="N142" s="9" t="str">
        <f t="shared" si="29"/>
        <v>B</v>
      </c>
      <c r="O142" s="11">
        <f t="shared" si="30"/>
        <v>4.0599999999999996</v>
      </c>
      <c r="P142" s="12">
        <f t="shared" si="35"/>
        <v>901.85999999999774</v>
      </c>
      <c r="Q142" s="12">
        <f t="shared" si="31"/>
        <v>1181.8599999999979</v>
      </c>
      <c r="R142" s="9">
        <f t="shared" si="32"/>
        <v>0</v>
      </c>
      <c r="S142" s="9">
        <f t="shared" si="33"/>
        <v>0</v>
      </c>
      <c r="T142" s="9">
        <f t="shared" si="34"/>
        <v>0</v>
      </c>
    </row>
    <row r="143" spans="13:20" ht="15" customHeight="1">
      <c r="M143" s="9">
        <v>142</v>
      </c>
      <c r="N143" s="9" t="str">
        <f t="shared" si="29"/>
        <v>B</v>
      </c>
      <c r="O143" s="11">
        <f t="shared" si="30"/>
        <v>4.0599999999999996</v>
      </c>
      <c r="P143" s="12">
        <f t="shared" si="35"/>
        <v>905.91999999999769</v>
      </c>
      <c r="Q143" s="12">
        <f t="shared" si="31"/>
        <v>1187.9199999999978</v>
      </c>
      <c r="R143" s="9">
        <f t="shared" si="32"/>
        <v>0</v>
      </c>
      <c r="S143" s="9">
        <f t="shared" si="33"/>
        <v>0</v>
      </c>
      <c r="T143" s="9">
        <f t="shared" si="34"/>
        <v>0</v>
      </c>
    </row>
    <row r="144" spans="13:20" ht="15" customHeight="1">
      <c r="M144" s="9">
        <v>143</v>
      </c>
      <c r="N144" s="9" t="str">
        <f t="shared" si="29"/>
        <v>B</v>
      </c>
      <c r="O144" s="11">
        <f t="shared" si="30"/>
        <v>4.0599999999999996</v>
      </c>
      <c r="P144" s="12">
        <f t="shared" si="35"/>
        <v>909.97999999999763</v>
      </c>
      <c r="Q144" s="12">
        <f t="shared" si="31"/>
        <v>1193.9799999999977</v>
      </c>
      <c r="R144" s="9">
        <f t="shared" si="32"/>
        <v>0</v>
      </c>
      <c r="S144" s="9">
        <f t="shared" si="33"/>
        <v>0</v>
      </c>
      <c r="T144" s="9">
        <f t="shared" si="34"/>
        <v>0</v>
      </c>
    </row>
    <row r="145" spans="13:20" ht="15" customHeight="1">
      <c r="M145" s="9">
        <v>144</v>
      </c>
      <c r="N145" s="9" t="str">
        <f t="shared" si="29"/>
        <v>B</v>
      </c>
      <c r="O145" s="11">
        <f t="shared" si="30"/>
        <v>4.0599999999999996</v>
      </c>
      <c r="P145" s="12">
        <f t="shared" si="35"/>
        <v>914.03999999999758</v>
      </c>
      <c r="Q145" s="12">
        <f t="shared" si="31"/>
        <v>1200.0399999999977</v>
      </c>
      <c r="R145" s="9">
        <f t="shared" si="32"/>
        <v>0</v>
      </c>
      <c r="S145" s="9">
        <f t="shared" si="33"/>
        <v>0</v>
      </c>
      <c r="T145" s="9">
        <f t="shared" si="34"/>
        <v>0</v>
      </c>
    </row>
    <row r="146" spans="13:20" ht="15" customHeight="1">
      <c r="M146" s="9">
        <v>145</v>
      </c>
      <c r="N146" s="9" t="str">
        <f t="shared" si="29"/>
        <v>A</v>
      </c>
      <c r="O146" s="11">
        <f t="shared" si="30"/>
        <v>10.16</v>
      </c>
      <c r="P146" s="12">
        <f t="shared" si="35"/>
        <v>924.19999999999754</v>
      </c>
      <c r="Q146" s="12">
        <f t="shared" si="31"/>
        <v>1212.1999999999975</v>
      </c>
      <c r="R146" s="9">
        <f t="shared" si="32"/>
        <v>0</v>
      </c>
      <c r="S146" s="9">
        <f t="shared" si="33"/>
        <v>0</v>
      </c>
      <c r="T146" s="9">
        <f t="shared" si="34"/>
        <v>0</v>
      </c>
    </row>
    <row r="147" spans="13:20" ht="15" customHeight="1">
      <c r="M147" s="9">
        <v>146</v>
      </c>
      <c r="N147" s="9" t="str">
        <f t="shared" si="29"/>
        <v>A</v>
      </c>
      <c r="O147" s="11">
        <f t="shared" si="30"/>
        <v>10.16</v>
      </c>
      <c r="P147" s="12">
        <f t="shared" si="35"/>
        <v>934.35999999999751</v>
      </c>
      <c r="Q147" s="12">
        <f t="shared" si="31"/>
        <v>1224.3599999999974</v>
      </c>
      <c r="R147" s="9">
        <f t="shared" si="32"/>
        <v>0</v>
      </c>
      <c r="S147" s="9">
        <f t="shared" si="33"/>
        <v>0</v>
      </c>
      <c r="T147" s="9">
        <f t="shared" si="34"/>
        <v>0</v>
      </c>
    </row>
    <row r="148" spans="13:20" ht="15" customHeight="1">
      <c r="M148" s="9">
        <v>147</v>
      </c>
      <c r="N148" s="9" t="str">
        <f t="shared" si="29"/>
        <v>A</v>
      </c>
      <c r="O148" s="11">
        <f t="shared" si="30"/>
        <v>10.16</v>
      </c>
      <c r="P148" s="12">
        <f t="shared" si="35"/>
        <v>944.51999999999748</v>
      </c>
      <c r="Q148" s="12">
        <f t="shared" si="31"/>
        <v>1236.5199999999975</v>
      </c>
      <c r="R148" s="9">
        <f t="shared" si="32"/>
        <v>0</v>
      </c>
      <c r="S148" s="9">
        <f t="shared" si="33"/>
        <v>0</v>
      </c>
      <c r="T148" s="9">
        <f t="shared" si="34"/>
        <v>0</v>
      </c>
    </row>
    <row r="149" spans="13:20" ht="15" customHeight="1">
      <c r="M149" s="9">
        <v>148</v>
      </c>
      <c r="N149" s="9" t="str">
        <f t="shared" si="29"/>
        <v>B</v>
      </c>
      <c r="O149" s="11">
        <f t="shared" si="30"/>
        <v>4.0599999999999996</v>
      </c>
      <c r="P149" s="12">
        <f t="shared" si="35"/>
        <v>948.57999999999743</v>
      </c>
      <c r="Q149" s="12">
        <f t="shared" si="31"/>
        <v>1242.5799999999974</v>
      </c>
      <c r="R149" s="9">
        <f t="shared" si="32"/>
        <v>0</v>
      </c>
      <c r="S149" s="9">
        <f t="shared" si="33"/>
        <v>0</v>
      </c>
      <c r="T149" s="9">
        <f t="shared" si="34"/>
        <v>0</v>
      </c>
    </row>
    <row r="150" spans="13:20" ht="15" customHeight="1">
      <c r="M150" s="9">
        <v>149</v>
      </c>
      <c r="N150" s="9" t="str">
        <f t="shared" si="29"/>
        <v>B</v>
      </c>
      <c r="O150" s="11">
        <f t="shared" si="30"/>
        <v>4.0599999999999996</v>
      </c>
      <c r="P150" s="12">
        <f t="shared" si="35"/>
        <v>952.63999999999737</v>
      </c>
      <c r="Q150" s="12">
        <f t="shared" si="31"/>
        <v>1248.6399999999974</v>
      </c>
      <c r="R150" s="9">
        <f t="shared" si="32"/>
        <v>0</v>
      </c>
      <c r="S150" s="9">
        <f t="shared" si="33"/>
        <v>0</v>
      </c>
      <c r="T150" s="9">
        <f t="shared" si="34"/>
        <v>0</v>
      </c>
    </row>
    <row r="151" spans="13:20" ht="15" customHeight="1">
      <c r="M151" s="9">
        <v>150</v>
      </c>
      <c r="N151" s="9" t="str">
        <f t="shared" si="29"/>
        <v>B</v>
      </c>
      <c r="O151" s="11">
        <f t="shared" si="30"/>
        <v>4.0599999999999996</v>
      </c>
      <c r="P151" s="12">
        <f t="shared" si="35"/>
        <v>956.69999999999732</v>
      </c>
      <c r="Q151" s="12">
        <f t="shared" si="31"/>
        <v>1254.6999999999973</v>
      </c>
      <c r="R151" s="9">
        <f t="shared" si="32"/>
        <v>0</v>
      </c>
      <c r="S151" s="9">
        <f t="shared" si="33"/>
        <v>0</v>
      </c>
      <c r="T151" s="9">
        <f t="shared" si="34"/>
        <v>0</v>
      </c>
    </row>
    <row r="152" spans="13:20" ht="15" customHeight="1">
      <c r="M152" s="9">
        <v>151</v>
      </c>
      <c r="N152" s="9" t="str">
        <f t="shared" si="29"/>
        <v>B</v>
      </c>
      <c r="O152" s="11">
        <f t="shared" si="30"/>
        <v>4.0599999999999996</v>
      </c>
      <c r="P152" s="12">
        <f t="shared" si="35"/>
        <v>960.75999999999726</v>
      </c>
      <c r="Q152" s="12">
        <f t="shared" si="31"/>
        <v>1260.7599999999973</v>
      </c>
      <c r="R152" s="9">
        <f t="shared" si="32"/>
        <v>0</v>
      </c>
      <c r="S152" s="9">
        <f t="shared" si="33"/>
        <v>0</v>
      </c>
      <c r="T152" s="9">
        <f t="shared" si="34"/>
        <v>0</v>
      </c>
    </row>
    <row r="153" spans="13:20" ht="15" customHeight="1">
      <c r="M153" s="9">
        <v>152</v>
      </c>
      <c r="N153" s="9" t="str">
        <f t="shared" si="29"/>
        <v>B</v>
      </c>
      <c r="O153" s="11">
        <f t="shared" si="30"/>
        <v>4.0599999999999996</v>
      </c>
      <c r="P153" s="12">
        <f t="shared" si="35"/>
        <v>964.81999999999721</v>
      </c>
      <c r="Q153" s="12">
        <f t="shared" si="31"/>
        <v>1266.8199999999972</v>
      </c>
      <c r="R153" s="9">
        <f t="shared" si="32"/>
        <v>0</v>
      </c>
      <c r="S153" s="9">
        <f t="shared" si="33"/>
        <v>0</v>
      </c>
      <c r="T153" s="9">
        <f t="shared" si="34"/>
        <v>0</v>
      </c>
    </row>
    <row r="154" spans="13:20" ht="15" customHeight="1">
      <c r="M154" s="9">
        <v>153</v>
      </c>
      <c r="N154" s="9" t="str">
        <f t="shared" si="29"/>
        <v>A</v>
      </c>
      <c r="O154" s="11">
        <f t="shared" si="30"/>
        <v>10.16</v>
      </c>
      <c r="P154" s="12">
        <f t="shared" si="35"/>
        <v>974.97999999999718</v>
      </c>
      <c r="Q154" s="12">
        <f t="shared" si="31"/>
        <v>1278.9799999999973</v>
      </c>
      <c r="R154" s="9">
        <f t="shared" si="32"/>
        <v>0</v>
      </c>
      <c r="S154" s="9">
        <f t="shared" si="33"/>
        <v>0</v>
      </c>
      <c r="T154" s="9">
        <f t="shared" si="34"/>
        <v>0</v>
      </c>
    </row>
    <row r="155" spans="13:20" ht="15" customHeight="1">
      <c r="M155" s="9">
        <v>154</v>
      </c>
      <c r="N155" s="9" t="str">
        <f t="shared" si="29"/>
        <v>A</v>
      </c>
      <c r="O155" s="11">
        <f t="shared" si="30"/>
        <v>10.16</v>
      </c>
      <c r="P155" s="12">
        <f t="shared" si="35"/>
        <v>985.13999999999714</v>
      </c>
      <c r="Q155" s="12">
        <f t="shared" si="31"/>
        <v>1291.1399999999971</v>
      </c>
      <c r="R155" s="9">
        <f t="shared" si="32"/>
        <v>0</v>
      </c>
      <c r="S155" s="9">
        <f t="shared" si="33"/>
        <v>0</v>
      </c>
      <c r="T155" s="9">
        <f t="shared" si="34"/>
        <v>0</v>
      </c>
    </row>
    <row r="156" spans="13:20" ht="15" customHeight="1">
      <c r="M156" s="9">
        <v>155</v>
      </c>
      <c r="N156" s="9" t="str">
        <f t="shared" si="29"/>
        <v>A</v>
      </c>
      <c r="O156" s="11">
        <f t="shared" si="30"/>
        <v>10.16</v>
      </c>
      <c r="P156" s="12">
        <f t="shared" si="35"/>
        <v>995.29999999999711</v>
      </c>
      <c r="Q156" s="12">
        <f t="shared" si="31"/>
        <v>1303.299999999997</v>
      </c>
      <c r="R156" s="9">
        <f t="shared" si="32"/>
        <v>0</v>
      </c>
      <c r="S156" s="9">
        <f t="shared" si="33"/>
        <v>0</v>
      </c>
      <c r="T156" s="9">
        <f t="shared" si="34"/>
        <v>0</v>
      </c>
    </row>
    <row r="157" spans="13:20" ht="15" customHeight="1">
      <c r="M157" s="9">
        <v>156</v>
      </c>
      <c r="N157" s="9" t="str">
        <f t="shared" si="29"/>
        <v>B</v>
      </c>
      <c r="O157" s="11">
        <f t="shared" si="30"/>
        <v>4.0599999999999996</v>
      </c>
      <c r="P157" s="12">
        <f t="shared" si="35"/>
        <v>999.35999999999706</v>
      </c>
      <c r="Q157" s="12">
        <f t="shared" si="31"/>
        <v>1309.3599999999969</v>
      </c>
      <c r="R157" s="9">
        <f t="shared" si="32"/>
        <v>0</v>
      </c>
      <c r="S157" s="9">
        <f t="shared" si="33"/>
        <v>0</v>
      </c>
      <c r="T157" s="9">
        <f t="shared" si="34"/>
        <v>0</v>
      </c>
    </row>
    <row r="158" spans="13:20" ht="15" customHeight="1">
      <c r="M158" s="9">
        <v>157</v>
      </c>
      <c r="N158" s="9" t="str">
        <f t="shared" si="29"/>
        <v>B</v>
      </c>
      <c r="O158" s="11">
        <f t="shared" si="30"/>
        <v>4.0599999999999996</v>
      </c>
      <c r="P158" s="12">
        <f t="shared" si="35"/>
        <v>1003.419999999997</v>
      </c>
      <c r="Q158" s="12">
        <f t="shared" si="31"/>
        <v>1315.4199999999969</v>
      </c>
      <c r="R158" s="9">
        <f t="shared" si="32"/>
        <v>0</v>
      </c>
      <c r="S158" s="9">
        <f t="shared" si="33"/>
        <v>0</v>
      </c>
      <c r="T158" s="9">
        <f t="shared" si="34"/>
        <v>0</v>
      </c>
    </row>
    <row r="159" spans="13:20" ht="15" customHeight="1">
      <c r="M159" s="9">
        <v>158</v>
      </c>
      <c r="N159" s="9" t="str">
        <f t="shared" si="29"/>
        <v>B</v>
      </c>
      <c r="O159" s="11">
        <f t="shared" si="30"/>
        <v>4.0599999999999996</v>
      </c>
      <c r="P159" s="12">
        <f t="shared" si="35"/>
        <v>1007.4799999999969</v>
      </c>
      <c r="Q159" s="12">
        <f t="shared" si="31"/>
        <v>1321.4799999999968</v>
      </c>
      <c r="R159" s="9">
        <f t="shared" si="32"/>
        <v>0</v>
      </c>
      <c r="S159" s="9">
        <f t="shared" si="33"/>
        <v>0</v>
      </c>
      <c r="T159" s="9">
        <f t="shared" si="34"/>
        <v>0</v>
      </c>
    </row>
    <row r="160" spans="13:20" ht="15" customHeight="1">
      <c r="M160" s="9">
        <v>159</v>
      </c>
      <c r="N160" s="9" t="str">
        <f t="shared" si="29"/>
        <v>B</v>
      </c>
      <c r="O160" s="11">
        <f t="shared" si="30"/>
        <v>4.0599999999999996</v>
      </c>
      <c r="P160" s="12">
        <f t="shared" si="35"/>
        <v>1011.5399999999969</v>
      </c>
      <c r="Q160" s="12">
        <f t="shared" si="31"/>
        <v>1327.5399999999968</v>
      </c>
      <c r="R160" s="9">
        <f t="shared" si="32"/>
        <v>0</v>
      </c>
      <c r="S160" s="9">
        <f t="shared" si="33"/>
        <v>0</v>
      </c>
      <c r="T160" s="9">
        <f t="shared" si="34"/>
        <v>0</v>
      </c>
    </row>
    <row r="161" spans="13:20" ht="15" customHeight="1">
      <c r="M161" s="9">
        <v>160</v>
      </c>
      <c r="N161" s="9" t="str">
        <f t="shared" si="29"/>
        <v>B</v>
      </c>
      <c r="O161" s="11">
        <f t="shared" si="30"/>
        <v>4.0599999999999996</v>
      </c>
      <c r="P161" s="12">
        <f t="shared" si="35"/>
        <v>1015.5999999999968</v>
      </c>
      <c r="Q161" s="12">
        <f t="shared" si="31"/>
        <v>1333.5999999999967</v>
      </c>
      <c r="R161" s="9">
        <f t="shared" si="32"/>
        <v>0</v>
      </c>
      <c r="S161" s="9">
        <f t="shared" si="33"/>
        <v>0</v>
      </c>
      <c r="T161" s="9">
        <f t="shared" si="34"/>
        <v>0</v>
      </c>
    </row>
    <row r="162" spans="13:20" ht="15" customHeight="1">
      <c r="M162" s="9">
        <v>161</v>
      </c>
      <c r="N162" s="9" t="str">
        <f t="shared" ref="N162:N193" si="36">IF(MOD(M162-1,$B$4+$B$7)&lt;$B$4,"A","B")</f>
        <v>A</v>
      </c>
      <c r="O162" s="11">
        <f t="shared" ref="O162:O193" si="37">IF(N162="A",$E$3,$E$4)</f>
        <v>10.16</v>
      </c>
      <c r="P162" s="12">
        <f t="shared" si="35"/>
        <v>1025.7599999999968</v>
      </c>
      <c r="Q162" s="12">
        <f t="shared" ref="Q162:Q193" si="38">P162+(M162-1)*$B$8</f>
        <v>1345.7599999999968</v>
      </c>
      <c r="R162" s="9">
        <f t="shared" ref="R162:R193" si="39">IF(AND(Q162&lt;=$B$9,N162="A"),1,0)</f>
        <v>0</v>
      </c>
      <c r="S162" s="9">
        <f t="shared" ref="S162:S193" si="40">IF(AND(Q162&lt;=$B$9,N162="B"),1,0)</f>
        <v>0</v>
      </c>
      <c r="T162" s="9">
        <f t="shared" ref="T162:T193" si="41">IF(Q162&lt;=$B$9,1,0)</f>
        <v>0</v>
      </c>
    </row>
    <row r="163" spans="13:20" ht="15" customHeight="1">
      <c r="M163" s="9">
        <v>162</v>
      </c>
      <c r="N163" s="9" t="str">
        <f t="shared" si="36"/>
        <v>A</v>
      </c>
      <c r="O163" s="11">
        <f t="shared" si="37"/>
        <v>10.16</v>
      </c>
      <c r="P163" s="12">
        <f t="shared" ref="P163:P194" si="42">P162+O163</f>
        <v>1035.9199999999969</v>
      </c>
      <c r="Q163" s="12">
        <f t="shared" si="38"/>
        <v>1357.9199999999969</v>
      </c>
      <c r="R163" s="9">
        <f t="shared" si="39"/>
        <v>0</v>
      </c>
      <c r="S163" s="9">
        <f t="shared" si="40"/>
        <v>0</v>
      </c>
      <c r="T163" s="9">
        <f t="shared" si="41"/>
        <v>0</v>
      </c>
    </row>
    <row r="164" spans="13:20" ht="15" customHeight="1">
      <c r="M164" s="9">
        <v>163</v>
      </c>
      <c r="N164" s="9" t="str">
        <f t="shared" si="36"/>
        <v>A</v>
      </c>
      <c r="O164" s="11">
        <f t="shared" si="37"/>
        <v>10.16</v>
      </c>
      <c r="P164" s="12">
        <f t="shared" si="42"/>
        <v>1046.079999999997</v>
      </c>
      <c r="Q164" s="12">
        <f t="shared" si="38"/>
        <v>1370.079999999997</v>
      </c>
      <c r="R164" s="9">
        <f t="shared" si="39"/>
        <v>0</v>
      </c>
      <c r="S164" s="9">
        <f t="shared" si="40"/>
        <v>0</v>
      </c>
      <c r="T164" s="9">
        <f t="shared" si="41"/>
        <v>0</v>
      </c>
    </row>
    <row r="165" spans="13:20" ht="15" customHeight="1">
      <c r="M165" s="9">
        <v>164</v>
      </c>
      <c r="N165" s="9" t="str">
        <f t="shared" si="36"/>
        <v>B</v>
      </c>
      <c r="O165" s="11">
        <f t="shared" si="37"/>
        <v>4.0599999999999996</v>
      </c>
      <c r="P165" s="12">
        <f t="shared" si="42"/>
        <v>1050.1399999999969</v>
      </c>
      <c r="Q165" s="12">
        <f t="shared" si="38"/>
        <v>1376.1399999999969</v>
      </c>
      <c r="R165" s="9">
        <f t="shared" si="39"/>
        <v>0</v>
      </c>
      <c r="S165" s="9">
        <f t="shared" si="40"/>
        <v>0</v>
      </c>
      <c r="T165" s="9">
        <f t="shared" si="41"/>
        <v>0</v>
      </c>
    </row>
    <row r="166" spans="13:20" ht="15" customHeight="1">
      <c r="M166" s="9">
        <v>165</v>
      </c>
      <c r="N166" s="9" t="str">
        <f t="shared" si="36"/>
        <v>B</v>
      </c>
      <c r="O166" s="11">
        <f t="shared" si="37"/>
        <v>4.0599999999999996</v>
      </c>
      <c r="P166" s="12">
        <f t="shared" si="42"/>
        <v>1054.1999999999969</v>
      </c>
      <c r="Q166" s="12">
        <f t="shared" si="38"/>
        <v>1382.1999999999969</v>
      </c>
      <c r="R166" s="9">
        <f t="shared" si="39"/>
        <v>0</v>
      </c>
      <c r="S166" s="9">
        <f t="shared" si="40"/>
        <v>0</v>
      </c>
      <c r="T166" s="9">
        <f t="shared" si="41"/>
        <v>0</v>
      </c>
    </row>
    <row r="167" spans="13:20" ht="15" customHeight="1">
      <c r="M167" s="9">
        <v>166</v>
      </c>
      <c r="N167" s="9" t="str">
        <f t="shared" si="36"/>
        <v>B</v>
      </c>
      <c r="O167" s="11">
        <f t="shared" si="37"/>
        <v>4.0599999999999996</v>
      </c>
      <c r="P167" s="12">
        <f t="shared" si="42"/>
        <v>1058.2599999999968</v>
      </c>
      <c r="Q167" s="12">
        <f t="shared" si="38"/>
        <v>1388.2599999999968</v>
      </c>
      <c r="R167" s="9">
        <f t="shared" si="39"/>
        <v>0</v>
      </c>
      <c r="S167" s="9">
        <f t="shared" si="40"/>
        <v>0</v>
      </c>
      <c r="T167" s="9">
        <f t="shared" si="41"/>
        <v>0</v>
      </c>
    </row>
    <row r="168" spans="13:20" ht="15" customHeight="1">
      <c r="M168" s="9">
        <v>167</v>
      </c>
      <c r="N168" s="9" t="str">
        <f t="shared" si="36"/>
        <v>B</v>
      </c>
      <c r="O168" s="11">
        <f t="shared" si="37"/>
        <v>4.0599999999999996</v>
      </c>
      <c r="P168" s="12">
        <f t="shared" si="42"/>
        <v>1062.3199999999968</v>
      </c>
      <c r="Q168" s="12">
        <f t="shared" si="38"/>
        <v>1394.3199999999968</v>
      </c>
      <c r="R168" s="9">
        <f t="shared" si="39"/>
        <v>0</v>
      </c>
      <c r="S168" s="9">
        <f t="shared" si="40"/>
        <v>0</v>
      </c>
      <c r="T168" s="9">
        <f t="shared" si="41"/>
        <v>0</v>
      </c>
    </row>
    <row r="169" spans="13:20" ht="15" customHeight="1">
      <c r="M169" s="9">
        <v>168</v>
      </c>
      <c r="N169" s="9" t="str">
        <f t="shared" si="36"/>
        <v>B</v>
      </c>
      <c r="O169" s="11">
        <f t="shared" si="37"/>
        <v>4.0599999999999996</v>
      </c>
      <c r="P169" s="12">
        <f t="shared" si="42"/>
        <v>1066.3799999999967</v>
      </c>
      <c r="Q169" s="12">
        <f t="shared" si="38"/>
        <v>1400.3799999999967</v>
      </c>
      <c r="R169" s="9">
        <f t="shared" si="39"/>
        <v>0</v>
      </c>
      <c r="S169" s="9">
        <f t="shared" si="40"/>
        <v>0</v>
      </c>
      <c r="T169" s="9">
        <f t="shared" si="41"/>
        <v>0</v>
      </c>
    </row>
    <row r="170" spans="13:20" ht="15" customHeight="1">
      <c r="M170" s="9">
        <v>169</v>
      </c>
      <c r="N170" s="9" t="str">
        <f t="shared" si="36"/>
        <v>A</v>
      </c>
      <c r="O170" s="11">
        <f t="shared" si="37"/>
        <v>10.16</v>
      </c>
      <c r="P170" s="12">
        <f t="shared" si="42"/>
        <v>1076.5399999999968</v>
      </c>
      <c r="Q170" s="12">
        <f t="shared" si="38"/>
        <v>1412.5399999999968</v>
      </c>
      <c r="R170" s="9">
        <f t="shared" si="39"/>
        <v>0</v>
      </c>
      <c r="S170" s="9">
        <f t="shared" si="40"/>
        <v>0</v>
      </c>
      <c r="T170" s="9">
        <f t="shared" si="41"/>
        <v>0</v>
      </c>
    </row>
    <row r="171" spans="13:20" ht="15" customHeight="1">
      <c r="M171" s="9">
        <v>170</v>
      </c>
      <c r="N171" s="9" t="str">
        <f t="shared" si="36"/>
        <v>A</v>
      </c>
      <c r="O171" s="11">
        <f t="shared" si="37"/>
        <v>10.16</v>
      </c>
      <c r="P171" s="12">
        <f t="shared" si="42"/>
        <v>1086.6999999999969</v>
      </c>
      <c r="Q171" s="12">
        <f t="shared" si="38"/>
        <v>1424.6999999999969</v>
      </c>
      <c r="R171" s="9">
        <f t="shared" si="39"/>
        <v>0</v>
      </c>
      <c r="S171" s="9">
        <f t="shared" si="40"/>
        <v>0</v>
      </c>
      <c r="T171" s="9">
        <f t="shared" si="41"/>
        <v>0</v>
      </c>
    </row>
    <row r="172" spans="13:20" ht="15" customHeight="1">
      <c r="M172" s="9">
        <v>171</v>
      </c>
      <c r="N172" s="9" t="str">
        <f t="shared" si="36"/>
        <v>A</v>
      </c>
      <c r="O172" s="11">
        <f t="shared" si="37"/>
        <v>10.16</v>
      </c>
      <c r="P172" s="12">
        <f t="shared" si="42"/>
        <v>1096.8599999999969</v>
      </c>
      <c r="Q172" s="12">
        <f t="shared" si="38"/>
        <v>1436.8599999999969</v>
      </c>
      <c r="R172" s="9">
        <f t="shared" si="39"/>
        <v>0</v>
      </c>
      <c r="S172" s="9">
        <f t="shared" si="40"/>
        <v>0</v>
      </c>
      <c r="T172" s="9">
        <f t="shared" si="41"/>
        <v>0</v>
      </c>
    </row>
    <row r="173" spans="13:20" ht="15" customHeight="1">
      <c r="M173" s="9">
        <v>172</v>
      </c>
      <c r="N173" s="9" t="str">
        <f t="shared" si="36"/>
        <v>B</v>
      </c>
      <c r="O173" s="11">
        <f t="shared" si="37"/>
        <v>4.0599999999999996</v>
      </c>
      <c r="P173" s="12">
        <f t="shared" si="42"/>
        <v>1100.9199999999969</v>
      </c>
      <c r="Q173" s="12">
        <f t="shared" si="38"/>
        <v>1442.9199999999969</v>
      </c>
      <c r="R173" s="9">
        <f t="shared" si="39"/>
        <v>0</v>
      </c>
      <c r="S173" s="9">
        <f t="shared" si="40"/>
        <v>0</v>
      </c>
      <c r="T173" s="9">
        <f t="shared" si="41"/>
        <v>0</v>
      </c>
    </row>
    <row r="174" spans="13:20" ht="15" customHeight="1">
      <c r="M174" s="9">
        <v>173</v>
      </c>
      <c r="N174" s="9" t="str">
        <f t="shared" si="36"/>
        <v>B</v>
      </c>
      <c r="O174" s="11">
        <f t="shared" si="37"/>
        <v>4.0599999999999996</v>
      </c>
      <c r="P174" s="12">
        <f t="shared" si="42"/>
        <v>1104.9799999999968</v>
      </c>
      <c r="Q174" s="12">
        <f t="shared" si="38"/>
        <v>1448.9799999999968</v>
      </c>
      <c r="R174" s="9">
        <f t="shared" si="39"/>
        <v>0</v>
      </c>
      <c r="S174" s="9">
        <f t="shared" si="40"/>
        <v>0</v>
      </c>
      <c r="T174" s="9">
        <f t="shared" si="41"/>
        <v>0</v>
      </c>
    </row>
    <row r="175" spans="13:20" ht="15" customHeight="1">
      <c r="M175" s="9">
        <v>174</v>
      </c>
      <c r="N175" s="9" t="str">
        <f t="shared" si="36"/>
        <v>B</v>
      </c>
      <c r="O175" s="11">
        <f t="shared" si="37"/>
        <v>4.0599999999999996</v>
      </c>
      <c r="P175" s="12">
        <f t="shared" si="42"/>
        <v>1109.0399999999968</v>
      </c>
      <c r="Q175" s="12">
        <f t="shared" si="38"/>
        <v>1455.0399999999968</v>
      </c>
      <c r="R175" s="9">
        <f t="shared" si="39"/>
        <v>0</v>
      </c>
      <c r="S175" s="9">
        <f t="shared" si="40"/>
        <v>0</v>
      </c>
      <c r="T175" s="9">
        <f t="shared" si="41"/>
        <v>0</v>
      </c>
    </row>
    <row r="176" spans="13:20" ht="15" customHeight="1">
      <c r="M176" s="9">
        <v>175</v>
      </c>
      <c r="N176" s="9" t="str">
        <f t="shared" si="36"/>
        <v>B</v>
      </c>
      <c r="O176" s="11">
        <f t="shared" si="37"/>
        <v>4.0599999999999996</v>
      </c>
      <c r="P176" s="12">
        <f t="shared" si="42"/>
        <v>1113.0999999999967</v>
      </c>
      <c r="Q176" s="12">
        <f t="shared" si="38"/>
        <v>1461.0999999999967</v>
      </c>
      <c r="R176" s="9">
        <f t="shared" si="39"/>
        <v>0</v>
      </c>
      <c r="S176" s="9">
        <f t="shared" si="40"/>
        <v>0</v>
      </c>
      <c r="T176" s="9">
        <f t="shared" si="41"/>
        <v>0</v>
      </c>
    </row>
    <row r="177" spans="13:20" ht="15" customHeight="1">
      <c r="M177" s="9">
        <v>176</v>
      </c>
      <c r="N177" s="9" t="str">
        <f t="shared" si="36"/>
        <v>B</v>
      </c>
      <c r="O177" s="11">
        <f t="shared" si="37"/>
        <v>4.0599999999999996</v>
      </c>
      <c r="P177" s="12">
        <f t="shared" si="42"/>
        <v>1117.1599999999967</v>
      </c>
      <c r="Q177" s="12">
        <f t="shared" si="38"/>
        <v>1467.1599999999967</v>
      </c>
      <c r="R177" s="9">
        <f t="shared" si="39"/>
        <v>0</v>
      </c>
      <c r="S177" s="9">
        <f t="shared" si="40"/>
        <v>0</v>
      </c>
      <c r="T177" s="9">
        <f t="shared" si="41"/>
        <v>0</v>
      </c>
    </row>
    <row r="178" spans="13:20" ht="15" customHeight="1">
      <c r="M178" s="9">
        <v>177</v>
      </c>
      <c r="N178" s="9" t="str">
        <f t="shared" si="36"/>
        <v>A</v>
      </c>
      <c r="O178" s="11">
        <f t="shared" si="37"/>
        <v>10.16</v>
      </c>
      <c r="P178" s="12">
        <f t="shared" si="42"/>
        <v>1127.3199999999968</v>
      </c>
      <c r="Q178" s="12">
        <f t="shared" si="38"/>
        <v>1479.3199999999968</v>
      </c>
      <c r="R178" s="9">
        <f t="shared" si="39"/>
        <v>0</v>
      </c>
      <c r="S178" s="9">
        <f t="shared" si="40"/>
        <v>0</v>
      </c>
      <c r="T178" s="9">
        <f t="shared" si="41"/>
        <v>0</v>
      </c>
    </row>
    <row r="179" spans="13:20" ht="15" customHeight="1">
      <c r="M179" s="9">
        <v>178</v>
      </c>
      <c r="N179" s="9" t="str">
        <f t="shared" si="36"/>
        <v>A</v>
      </c>
      <c r="O179" s="11">
        <f t="shared" si="37"/>
        <v>10.16</v>
      </c>
      <c r="P179" s="12">
        <f t="shared" si="42"/>
        <v>1137.4799999999968</v>
      </c>
      <c r="Q179" s="12">
        <f t="shared" si="38"/>
        <v>1491.4799999999968</v>
      </c>
      <c r="R179" s="9">
        <f t="shared" si="39"/>
        <v>0</v>
      </c>
      <c r="S179" s="9">
        <f t="shared" si="40"/>
        <v>0</v>
      </c>
      <c r="T179" s="9">
        <f t="shared" si="41"/>
        <v>0</v>
      </c>
    </row>
    <row r="180" spans="13:20" ht="15" customHeight="1">
      <c r="M180" s="9">
        <v>179</v>
      </c>
      <c r="N180" s="9" t="str">
        <f t="shared" si="36"/>
        <v>A</v>
      </c>
      <c r="O180" s="11">
        <f t="shared" si="37"/>
        <v>10.16</v>
      </c>
      <c r="P180" s="12">
        <f t="shared" si="42"/>
        <v>1147.6399999999969</v>
      </c>
      <c r="Q180" s="12">
        <f t="shared" si="38"/>
        <v>1503.6399999999969</v>
      </c>
      <c r="R180" s="9">
        <f t="shared" si="39"/>
        <v>0</v>
      </c>
      <c r="S180" s="9">
        <f t="shared" si="40"/>
        <v>0</v>
      </c>
      <c r="T180" s="9">
        <f t="shared" si="41"/>
        <v>0</v>
      </c>
    </row>
    <row r="181" spans="13:20" ht="15" customHeight="1">
      <c r="M181" s="9">
        <v>180</v>
      </c>
      <c r="N181" s="9" t="str">
        <f t="shared" si="36"/>
        <v>B</v>
      </c>
      <c r="O181" s="11">
        <f t="shared" si="37"/>
        <v>4.0599999999999996</v>
      </c>
      <c r="P181" s="12">
        <f t="shared" si="42"/>
        <v>1151.6999999999969</v>
      </c>
      <c r="Q181" s="12">
        <f t="shared" si="38"/>
        <v>1509.6999999999969</v>
      </c>
      <c r="R181" s="9">
        <f t="shared" si="39"/>
        <v>0</v>
      </c>
      <c r="S181" s="9">
        <f t="shared" si="40"/>
        <v>0</v>
      </c>
      <c r="T181" s="9">
        <f t="shared" si="41"/>
        <v>0</v>
      </c>
    </row>
    <row r="182" spans="13:20" ht="15" customHeight="1">
      <c r="M182" s="9">
        <v>181</v>
      </c>
      <c r="N182" s="9" t="str">
        <f t="shared" si="36"/>
        <v>B</v>
      </c>
      <c r="O182" s="11">
        <f t="shared" si="37"/>
        <v>4.0599999999999996</v>
      </c>
      <c r="P182" s="12">
        <f t="shared" si="42"/>
        <v>1155.7599999999968</v>
      </c>
      <c r="Q182" s="12">
        <f t="shared" si="38"/>
        <v>1515.7599999999968</v>
      </c>
      <c r="R182" s="9">
        <f t="shared" si="39"/>
        <v>0</v>
      </c>
      <c r="S182" s="9">
        <f t="shared" si="40"/>
        <v>0</v>
      </c>
      <c r="T182" s="9">
        <f t="shared" si="41"/>
        <v>0</v>
      </c>
    </row>
    <row r="183" spans="13:20" ht="15" customHeight="1">
      <c r="M183" s="9">
        <v>182</v>
      </c>
      <c r="N183" s="9" t="str">
        <f t="shared" si="36"/>
        <v>B</v>
      </c>
      <c r="O183" s="11">
        <f t="shared" si="37"/>
        <v>4.0599999999999996</v>
      </c>
      <c r="P183" s="12">
        <f t="shared" si="42"/>
        <v>1159.8199999999968</v>
      </c>
      <c r="Q183" s="12">
        <f t="shared" si="38"/>
        <v>1521.8199999999968</v>
      </c>
      <c r="R183" s="9">
        <f t="shared" si="39"/>
        <v>0</v>
      </c>
      <c r="S183" s="9">
        <f t="shared" si="40"/>
        <v>0</v>
      </c>
      <c r="T183" s="9">
        <f t="shared" si="41"/>
        <v>0</v>
      </c>
    </row>
    <row r="184" spans="13:20" ht="15" customHeight="1">
      <c r="M184" s="9">
        <v>183</v>
      </c>
      <c r="N184" s="9" t="str">
        <f t="shared" si="36"/>
        <v>B</v>
      </c>
      <c r="O184" s="11">
        <f t="shared" si="37"/>
        <v>4.0599999999999996</v>
      </c>
      <c r="P184" s="12">
        <f t="shared" si="42"/>
        <v>1163.8799999999967</v>
      </c>
      <c r="Q184" s="12">
        <f t="shared" si="38"/>
        <v>1527.8799999999967</v>
      </c>
      <c r="R184" s="9">
        <f t="shared" si="39"/>
        <v>0</v>
      </c>
      <c r="S184" s="9">
        <f t="shared" si="40"/>
        <v>0</v>
      </c>
      <c r="T184" s="9">
        <f t="shared" si="41"/>
        <v>0</v>
      </c>
    </row>
    <row r="185" spans="13:20" ht="15" customHeight="1">
      <c r="M185" s="9">
        <v>184</v>
      </c>
      <c r="N185" s="9" t="str">
        <f t="shared" si="36"/>
        <v>B</v>
      </c>
      <c r="O185" s="11">
        <f t="shared" si="37"/>
        <v>4.0599999999999996</v>
      </c>
      <c r="P185" s="12">
        <f t="shared" si="42"/>
        <v>1167.9399999999966</v>
      </c>
      <c r="Q185" s="12">
        <f t="shared" si="38"/>
        <v>1533.9399999999966</v>
      </c>
      <c r="R185" s="9">
        <f t="shared" si="39"/>
        <v>0</v>
      </c>
      <c r="S185" s="9">
        <f t="shared" si="40"/>
        <v>0</v>
      </c>
      <c r="T185" s="9">
        <f t="shared" si="41"/>
        <v>0</v>
      </c>
    </row>
    <row r="186" spans="13:20" ht="15" customHeight="1">
      <c r="M186" s="9">
        <v>185</v>
      </c>
      <c r="N186" s="9" t="str">
        <f t="shared" si="36"/>
        <v>A</v>
      </c>
      <c r="O186" s="11">
        <f t="shared" si="37"/>
        <v>10.16</v>
      </c>
      <c r="P186" s="12">
        <f t="shared" si="42"/>
        <v>1178.0999999999967</v>
      </c>
      <c r="Q186" s="12">
        <f t="shared" si="38"/>
        <v>1546.0999999999967</v>
      </c>
      <c r="R186" s="9">
        <f t="shared" si="39"/>
        <v>0</v>
      </c>
      <c r="S186" s="9">
        <f t="shared" si="40"/>
        <v>0</v>
      </c>
      <c r="T186" s="9">
        <f t="shared" si="41"/>
        <v>0</v>
      </c>
    </row>
    <row r="187" spans="13:20" ht="15" customHeight="1">
      <c r="M187" s="9">
        <v>186</v>
      </c>
      <c r="N187" s="9" t="str">
        <f t="shared" si="36"/>
        <v>A</v>
      </c>
      <c r="O187" s="11">
        <f t="shared" si="37"/>
        <v>10.16</v>
      </c>
      <c r="P187" s="12">
        <f t="shared" si="42"/>
        <v>1188.2599999999968</v>
      </c>
      <c r="Q187" s="12">
        <f t="shared" si="38"/>
        <v>1558.2599999999968</v>
      </c>
      <c r="R187" s="9">
        <f t="shared" si="39"/>
        <v>0</v>
      </c>
      <c r="S187" s="9">
        <f t="shared" si="40"/>
        <v>0</v>
      </c>
      <c r="T187" s="9">
        <f t="shared" si="41"/>
        <v>0</v>
      </c>
    </row>
    <row r="188" spans="13:20" ht="15" customHeight="1">
      <c r="M188" s="9">
        <v>187</v>
      </c>
      <c r="N188" s="9" t="str">
        <f t="shared" si="36"/>
        <v>A</v>
      </c>
      <c r="O188" s="11">
        <f t="shared" si="37"/>
        <v>10.16</v>
      </c>
      <c r="P188" s="12">
        <f t="shared" si="42"/>
        <v>1198.4199999999969</v>
      </c>
      <c r="Q188" s="12">
        <f t="shared" si="38"/>
        <v>1570.4199999999969</v>
      </c>
      <c r="R188" s="9">
        <f t="shared" si="39"/>
        <v>0</v>
      </c>
      <c r="S188" s="9">
        <f t="shared" si="40"/>
        <v>0</v>
      </c>
      <c r="T188" s="9">
        <f t="shared" si="41"/>
        <v>0</v>
      </c>
    </row>
    <row r="189" spans="13:20" ht="15" customHeight="1">
      <c r="M189" s="9">
        <v>188</v>
      </c>
      <c r="N189" s="9" t="str">
        <f t="shared" si="36"/>
        <v>B</v>
      </c>
      <c r="O189" s="11">
        <f t="shared" si="37"/>
        <v>4.0599999999999996</v>
      </c>
      <c r="P189" s="12">
        <f t="shared" si="42"/>
        <v>1202.4799999999968</v>
      </c>
      <c r="Q189" s="12">
        <f t="shared" si="38"/>
        <v>1576.4799999999968</v>
      </c>
      <c r="R189" s="9">
        <f t="shared" si="39"/>
        <v>0</v>
      </c>
      <c r="S189" s="9">
        <f t="shared" si="40"/>
        <v>0</v>
      </c>
      <c r="T189" s="9">
        <f t="shared" si="41"/>
        <v>0</v>
      </c>
    </row>
    <row r="190" spans="13:20" ht="15" customHeight="1">
      <c r="M190" s="9">
        <v>189</v>
      </c>
      <c r="N190" s="9" t="str">
        <f t="shared" si="36"/>
        <v>B</v>
      </c>
      <c r="O190" s="11">
        <f t="shared" si="37"/>
        <v>4.0599999999999996</v>
      </c>
      <c r="P190" s="12">
        <f t="shared" si="42"/>
        <v>1206.5399999999968</v>
      </c>
      <c r="Q190" s="12">
        <f t="shared" si="38"/>
        <v>1582.5399999999968</v>
      </c>
      <c r="R190" s="9">
        <f t="shared" si="39"/>
        <v>0</v>
      </c>
      <c r="S190" s="9">
        <f t="shared" si="40"/>
        <v>0</v>
      </c>
      <c r="T190" s="9">
        <f t="shared" si="41"/>
        <v>0</v>
      </c>
    </row>
    <row r="191" spans="13:20" ht="15" customHeight="1">
      <c r="M191" s="9">
        <v>190</v>
      </c>
      <c r="N191" s="9" t="str">
        <f t="shared" si="36"/>
        <v>B</v>
      </c>
      <c r="O191" s="11">
        <f t="shared" si="37"/>
        <v>4.0599999999999996</v>
      </c>
      <c r="P191" s="12">
        <f t="shared" si="42"/>
        <v>1210.5999999999967</v>
      </c>
      <c r="Q191" s="12">
        <f t="shared" si="38"/>
        <v>1588.5999999999967</v>
      </c>
      <c r="R191" s="9">
        <f t="shared" si="39"/>
        <v>0</v>
      </c>
      <c r="S191" s="9">
        <f t="shared" si="40"/>
        <v>0</v>
      </c>
      <c r="T191" s="9">
        <f t="shared" si="41"/>
        <v>0</v>
      </c>
    </row>
    <row r="192" spans="13:20" ht="15" customHeight="1">
      <c r="M192" s="9">
        <v>191</v>
      </c>
      <c r="N192" s="9" t="str">
        <f t="shared" si="36"/>
        <v>B</v>
      </c>
      <c r="O192" s="11">
        <f t="shared" si="37"/>
        <v>4.0599999999999996</v>
      </c>
      <c r="P192" s="12">
        <f t="shared" si="42"/>
        <v>1214.6599999999967</v>
      </c>
      <c r="Q192" s="12">
        <f t="shared" si="38"/>
        <v>1594.6599999999967</v>
      </c>
      <c r="R192" s="9">
        <f t="shared" si="39"/>
        <v>0</v>
      </c>
      <c r="S192" s="9">
        <f t="shared" si="40"/>
        <v>0</v>
      </c>
      <c r="T192" s="9">
        <f t="shared" si="41"/>
        <v>0</v>
      </c>
    </row>
    <row r="193" spans="1:20" ht="15" customHeight="1">
      <c r="M193" s="9">
        <v>192</v>
      </c>
      <c r="N193" s="9" t="str">
        <f t="shared" si="36"/>
        <v>B</v>
      </c>
      <c r="O193" s="11">
        <f t="shared" si="37"/>
        <v>4.0599999999999996</v>
      </c>
      <c r="P193" s="12">
        <f t="shared" si="42"/>
        <v>1218.7199999999966</v>
      </c>
      <c r="Q193" s="12">
        <f t="shared" si="38"/>
        <v>1600.7199999999966</v>
      </c>
      <c r="R193" s="9">
        <f t="shared" si="39"/>
        <v>0</v>
      </c>
      <c r="S193" s="9">
        <f t="shared" si="40"/>
        <v>0</v>
      </c>
      <c r="T193" s="9">
        <f t="shared" si="41"/>
        <v>0</v>
      </c>
    </row>
    <row r="194" spans="1:20" ht="15" customHeight="1">
      <c r="M194" s="9">
        <v>193</v>
      </c>
      <c r="N194" s="9" t="str">
        <f t="shared" ref="N194:N201" si="43">IF(MOD(M194-1,$B$4+$B$7)&lt;$B$4,"A","B")</f>
        <v>A</v>
      </c>
      <c r="O194" s="11">
        <f t="shared" ref="O194:O201" si="44">IF(N194="A",$E$3,$E$4)</f>
        <v>10.16</v>
      </c>
      <c r="P194" s="12">
        <f t="shared" si="42"/>
        <v>1228.8799999999967</v>
      </c>
      <c r="Q194" s="12">
        <f t="shared" ref="Q194:Q201" si="45">P194+(M194-1)*$B$8</f>
        <v>1612.8799999999967</v>
      </c>
      <c r="R194" s="9">
        <f t="shared" ref="R194:R201" si="46">IF(AND(Q194&lt;=$B$9,N194="A"),1,0)</f>
        <v>0</v>
      </c>
      <c r="S194" s="9">
        <f t="shared" ref="S194:S201" si="47">IF(AND(Q194&lt;=$B$9,N194="B"),1,0)</f>
        <v>0</v>
      </c>
      <c r="T194" s="9">
        <f t="shared" ref="T194:T201" si="48">IF(Q194&lt;=$B$9,1,0)</f>
        <v>0</v>
      </c>
    </row>
    <row r="195" spans="1:20" ht="15" customHeight="1">
      <c r="M195" s="9">
        <v>194</v>
      </c>
      <c r="N195" s="9" t="str">
        <f t="shared" si="43"/>
        <v>A</v>
      </c>
      <c r="O195" s="11">
        <f t="shared" si="44"/>
        <v>10.16</v>
      </c>
      <c r="P195" s="12">
        <f t="shared" ref="P195:P201" si="49">P194+O195</f>
        <v>1239.0399999999968</v>
      </c>
      <c r="Q195" s="12">
        <f t="shared" si="45"/>
        <v>1625.0399999999968</v>
      </c>
      <c r="R195" s="9">
        <f t="shared" si="46"/>
        <v>0</v>
      </c>
      <c r="S195" s="9">
        <f t="shared" si="47"/>
        <v>0</v>
      </c>
      <c r="T195" s="9">
        <f t="shared" si="48"/>
        <v>0</v>
      </c>
    </row>
    <row r="196" spans="1:20" ht="15" customHeight="1">
      <c r="M196" s="9">
        <v>195</v>
      </c>
      <c r="N196" s="9" t="str">
        <f t="shared" si="43"/>
        <v>A</v>
      </c>
      <c r="O196" s="11">
        <f t="shared" si="44"/>
        <v>10.16</v>
      </c>
      <c r="P196" s="12">
        <f t="shared" si="49"/>
        <v>1249.1999999999969</v>
      </c>
      <c r="Q196" s="12">
        <f t="shared" si="45"/>
        <v>1637.1999999999969</v>
      </c>
      <c r="R196" s="9">
        <f t="shared" si="46"/>
        <v>0</v>
      </c>
      <c r="S196" s="9">
        <f t="shared" si="47"/>
        <v>0</v>
      </c>
      <c r="T196" s="9">
        <f t="shared" si="48"/>
        <v>0</v>
      </c>
    </row>
    <row r="197" spans="1:20" ht="15" customHeight="1">
      <c r="M197" s="9">
        <v>196</v>
      </c>
      <c r="N197" s="9" t="str">
        <f t="shared" si="43"/>
        <v>B</v>
      </c>
      <c r="O197" s="11">
        <f t="shared" si="44"/>
        <v>4.0599999999999996</v>
      </c>
      <c r="P197" s="12">
        <f t="shared" si="49"/>
        <v>1253.2599999999968</v>
      </c>
      <c r="Q197" s="12">
        <f t="shared" si="45"/>
        <v>1643.2599999999968</v>
      </c>
      <c r="R197" s="9">
        <f t="shared" si="46"/>
        <v>0</v>
      </c>
      <c r="S197" s="9">
        <f t="shared" si="47"/>
        <v>0</v>
      </c>
      <c r="T197" s="9">
        <f t="shared" si="48"/>
        <v>0</v>
      </c>
    </row>
    <row r="198" spans="1:20" ht="15" customHeight="1">
      <c r="M198" s="9">
        <v>197</v>
      </c>
      <c r="N198" s="9" t="str">
        <f t="shared" si="43"/>
        <v>B</v>
      </c>
      <c r="O198" s="11">
        <f t="shared" si="44"/>
        <v>4.0599999999999996</v>
      </c>
      <c r="P198" s="12">
        <f t="shared" si="49"/>
        <v>1257.3199999999968</v>
      </c>
      <c r="Q198" s="12">
        <f t="shared" si="45"/>
        <v>1649.3199999999968</v>
      </c>
      <c r="R198" s="9">
        <f t="shared" si="46"/>
        <v>0</v>
      </c>
      <c r="S198" s="9">
        <f t="shared" si="47"/>
        <v>0</v>
      </c>
      <c r="T198" s="9">
        <f t="shared" si="48"/>
        <v>0</v>
      </c>
    </row>
    <row r="199" spans="1:20" ht="15" customHeight="1">
      <c r="M199" s="9">
        <v>198</v>
      </c>
      <c r="N199" s="9" t="str">
        <f t="shared" si="43"/>
        <v>B</v>
      </c>
      <c r="O199" s="11">
        <f t="shared" si="44"/>
        <v>4.0599999999999996</v>
      </c>
      <c r="P199" s="12">
        <f t="shared" si="49"/>
        <v>1261.3799999999967</v>
      </c>
      <c r="Q199" s="12">
        <f t="shared" si="45"/>
        <v>1655.3799999999967</v>
      </c>
      <c r="R199" s="9">
        <f t="shared" si="46"/>
        <v>0</v>
      </c>
      <c r="S199" s="9">
        <f t="shared" si="47"/>
        <v>0</v>
      </c>
      <c r="T199" s="9">
        <f t="shared" si="48"/>
        <v>0</v>
      </c>
    </row>
    <row r="200" spans="1:20" ht="15" customHeight="1">
      <c r="M200" s="9">
        <v>199</v>
      </c>
      <c r="N200" s="9" t="str">
        <f t="shared" si="43"/>
        <v>B</v>
      </c>
      <c r="O200" s="11">
        <f t="shared" si="44"/>
        <v>4.0599999999999996</v>
      </c>
      <c r="P200" s="12">
        <f t="shared" si="49"/>
        <v>1265.4399999999966</v>
      </c>
      <c r="Q200" s="12">
        <f t="shared" si="45"/>
        <v>1661.4399999999966</v>
      </c>
      <c r="R200" s="9">
        <f t="shared" si="46"/>
        <v>0</v>
      </c>
      <c r="S200" s="9">
        <f t="shared" si="47"/>
        <v>0</v>
      </c>
      <c r="T200" s="9">
        <f t="shared" si="48"/>
        <v>0</v>
      </c>
    </row>
    <row r="201" spans="1:20" ht="15" customHeight="1">
      <c r="M201" s="9">
        <v>200</v>
      </c>
      <c r="N201" s="9" t="str">
        <f t="shared" si="43"/>
        <v>B</v>
      </c>
      <c r="O201" s="11">
        <f t="shared" si="44"/>
        <v>4.0599999999999996</v>
      </c>
      <c r="P201" s="12">
        <f t="shared" si="49"/>
        <v>1269.4999999999966</v>
      </c>
      <c r="Q201" s="12">
        <f t="shared" si="45"/>
        <v>1667.4999999999966</v>
      </c>
      <c r="R201" s="9">
        <f t="shared" si="46"/>
        <v>0</v>
      </c>
      <c r="S201" s="9">
        <f t="shared" si="47"/>
        <v>0</v>
      </c>
      <c r="T201" s="9">
        <f t="shared" si="48"/>
        <v>0</v>
      </c>
    </row>
    <row r="203" spans="1:20" ht="19.95" customHeight="1">
      <c r="A203" s="25" t="s">
        <v>3148</v>
      </c>
    </row>
    <row r="204" spans="1:20" ht="18" customHeight="1">
      <c r="A204" s="25" t="s">
        <v>1179</v>
      </c>
      <c r="B204" s="25" t="s">
        <v>7</v>
      </c>
      <c r="C204" s="25" t="s">
        <v>1734</v>
      </c>
    </row>
    <row r="205" spans="1:20" ht="15">
      <c r="A205" s="25" t="s">
        <v>1180</v>
      </c>
      <c r="B205" s="25">
        <f>ROUND(($C$216*$B$217-1)*100,0)</f>
        <v>66</v>
      </c>
      <c r="C205" s="25" t="s">
        <v>3149</v>
      </c>
    </row>
    <row r="206" spans="1:20" ht="15">
      <c r="A206" s="25" t="s">
        <v>1181</v>
      </c>
      <c r="B206" s="25">
        <f>ROUND(($D$216*$B$217-1)*100,0)</f>
        <v>55</v>
      </c>
      <c r="C206" s="25" t="s">
        <v>3149</v>
      </c>
    </row>
    <row r="207" spans="1:20" ht="15">
      <c r="A207" s="25" t="s">
        <v>3122</v>
      </c>
      <c r="B207" s="640">
        <v>30</v>
      </c>
      <c r="C207" s="25" t="s">
        <v>3150</v>
      </c>
    </row>
    <row r="208" spans="1:20">
      <c r="A208" s="494" t="s">
        <v>1138</v>
      </c>
      <c r="B208" s="495"/>
    </row>
    <row r="209" spans="1:4">
      <c r="A209" s="489" t="s">
        <v>3079</v>
      </c>
      <c r="B209" s="492">
        <f>SUM(D21,D22,D24)</f>
        <v>12360</v>
      </c>
    </row>
    <row r="210" spans="1:4">
      <c r="A210" s="489" t="s">
        <v>3080</v>
      </c>
      <c r="B210" s="492">
        <f>SUM(D23,D25)</f>
        <v>0</v>
      </c>
    </row>
    <row r="211" spans="1:4">
      <c r="A211" s="491" t="s">
        <v>1144</v>
      </c>
      <c r="B211" s="493">
        <f>SUM(B209:B210)</f>
        <v>12360</v>
      </c>
    </row>
    <row r="212" spans="1:4">
      <c r="A212" s="488" t="s">
        <v>3067</v>
      </c>
    </row>
    <row r="214" spans="1:4">
      <c r="A214" t="s">
        <v>3151</v>
      </c>
    </row>
    <row r="215" spans="1:4">
      <c r="A215" t="s">
        <v>3144</v>
      </c>
      <c r="B215" s="588">
        <v>30</v>
      </c>
      <c r="C215" t="s">
        <v>3152</v>
      </c>
    </row>
    <row r="216" spans="1:4">
      <c r="A216" t="s">
        <v>3153</v>
      </c>
      <c r="B216" s="588">
        <v>1.5</v>
      </c>
      <c r="C216" s="588">
        <v>1.5</v>
      </c>
      <c r="D216" s="588">
        <v>1.4</v>
      </c>
    </row>
    <row r="217" spans="1:4">
      <c r="A217" t="s">
        <v>3155</v>
      </c>
      <c r="B217">
        <f>IFERROR((((D31)+(D32)+(D33))/(100/(100+B207)-B215/100))/(((D31)*$B$216+(D32)*$C$216+(D33)*$D$216)*(1+B207/100)),1)</f>
        <v>1.1094192206788007</v>
      </c>
      <c r="C217" t="s">
        <v>3156</v>
      </c>
    </row>
    <row r="219" spans="1:4">
      <c r="A219" t="s">
        <v>3126</v>
      </c>
    </row>
    <row r="220" spans="1:4">
      <c r="A220" t="s">
        <v>3127</v>
      </c>
      <c r="B220">
        <f>IFERROR(ROUND(D35-D35/(1+B207/100),0),0)</f>
        <v>9277</v>
      </c>
      <c r="C220" t="s">
        <v>3128</v>
      </c>
    </row>
    <row r="221" spans="1:4">
      <c r="A221" t="s">
        <v>3129</v>
      </c>
      <c r="B221" s="212">
        <f>D31+D32+D33+B220</f>
        <v>28124.25</v>
      </c>
      <c r="C221" t="s">
        <v>3130</v>
      </c>
    </row>
    <row r="222" spans="1:4">
      <c r="A222" t="s">
        <v>3131</v>
      </c>
      <c r="B222" s="639">
        <f>IFERROR((D35-B221)/D35,"")</f>
        <v>0.30039179104477615</v>
      </c>
      <c r="C222" t="s">
        <v>3157</v>
      </c>
    </row>
  </sheetData>
  <mergeCells count="1">
    <mergeCell ref="A1:F1"/>
  </mergeCells>
  <hyperlinks>
    <hyperlink ref="G1" location="'สารบัญ'!A1" display="🏠 สารบัญ" xr:uid="{00000000-0004-0000-3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AD47"/>
  </sheetPr>
  <dimension ref="A1:G45"/>
  <sheetViews>
    <sheetView workbookViewId="0">
      <selection sqref="A1:F1"/>
    </sheetView>
  </sheetViews>
  <sheetFormatPr defaultRowHeight="14.4"/>
  <cols>
    <col min="1" max="1" width="26" customWidth="1"/>
    <col min="2" max="2" width="12.6640625" customWidth="1"/>
    <col min="3" max="3" width="42.6640625" customWidth="1"/>
    <col min="4" max="4" width="12" customWidth="1"/>
    <col min="5" max="5" width="11" customWidth="1"/>
    <col min="6" max="6" width="40" customWidth="1"/>
  </cols>
  <sheetData>
    <row r="1" spans="1:7">
      <c r="A1" s="685" t="s">
        <v>2160</v>
      </c>
      <c r="B1" s="677"/>
      <c r="C1" s="677"/>
      <c r="D1" s="677"/>
      <c r="E1" s="677"/>
      <c r="F1" s="678"/>
      <c r="G1" s="375" t="s">
        <v>68</v>
      </c>
    </row>
    <row r="3" spans="1:7">
      <c r="A3" s="307" t="s">
        <v>2161</v>
      </c>
    </row>
    <row r="4" spans="1:7">
      <c r="A4" s="308" t="s">
        <v>2162</v>
      </c>
      <c r="B4" s="567">
        <v>3</v>
      </c>
      <c r="C4" s="309" t="s">
        <v>1863</v>
      </c>
    </row>
    <row r="5" spans="1:7">
      <c r="A5" s="308" t="s">
        <v>2163</v>
      </c>
      <c r="B5" s="567">
        <v>4</v>
      </c>
      <c r="C5" s="309" t="s">
        <v>1863</v>
      </c>
    </row>
    <row r="6" spans="1:7">
      <c r="A6" s="308" t="s">
        <v>1606</v>
      </c>
      <c r="B6" s="310">
        <f>ROUND(B4*B5,2)</f>
        <v>12</v>
      </c>
      <c r="C6" s="568" t="s">
        <v>2164</v>
      </c>
    </row>
    <row r="7" spans="1:7">
      <c r="A7" s="308" t="s">
        <v>2165</v>
      </c>
      <c r="B7" s="567">
        <v>30</v>
      </c>
      <c r="C7" s="309" t="s">
        <v>2166</v>
      </c>
    </row>
    <row r="9" spans="1:7">
      <c r="A9" s="307" t="s">
        <v>2167</v>
      </c>
    </row>
    <row r="10" spans="1:7">
      <c r="A10" s="311" t="s">
        <v>606</v>
      </c>
      <c r="B10" s="569" t="s">
        <v>1124</v>
      </c>
      <c r="C10" s="569" t="s">
        <v>471</v>
      </c>
      <c r="D10" s="311" t="s">
        <v>1125</v>
      </c>
      <c r="E10" s="311" t="s">
        <v>1873</v>
      </c>
      <c r="F10" s="311" t="s">
        <v>569</v>
      </c>
    </row>
    <row r="11" spans="1:7" ht="26.4">
      <c r="A11" s="312" t="s">
        <v>2168</v>
      </c>
      <c r="B11" s="313">
        <f>CEILING($B$6*1.1/2.88,1)</f>
        <v>5</v>
      </c>
      <c r="C11" s="570" t="s">
        <v>475</v>
      </c>
      <c r="D11" s="16">
        <f>ราคางานเสริม!$D$43</f>
        <v>750</v>
      </c>
      <c r="E11" s="310">
        <f t="shared" ref="E11:E16" si="0">ROUND(B11*D11,0)</f>
        <v>3750</v>
      </c>
      <c r="F11" s="314" t="s">
        <v>2169</v>
      </c>
    </row>
    <row r="12" spans="1:7">
      <c r="A12" s="312" t="s">
        <v>2170</v>
      </c>
      <c r="B12" s="313">
        <f>CEILING($B$6*100/($B$7*6),1)</f>
        <v>7</v>
      </c>
      <c r="C12" s="570" t="s">
        <v>477</v>
      </c>
      <c r="D12" s="16">
        <f>ราคาเหล็ก!$D$6</f>
        <v>600</v>
      </c>
      <c r="E12" s="310">
        <f t="shared" si="0"/>
        <v>4200</v>
      </c>
      <c r="F12" s="314" t="s">
        <v>2171</v>
      </c>
    </row>
    <row r="13" spans="1:7">
      <c r="A13" s="312" t="s">
        <v>2172</v>
      </c>
      <c r="B13" s="313">
        <f>CEILING(2*($B$4+$B$5)/6,1)</f>
        <v>3</v>
      </c>
      <c r="C13" s="570" t="s">
        <v>477</v>
      </c>
      <c r="D13" s="16">
        <f>ราคาเหล็ก!$D$6</f>
        <v>600</v>
      </c>
      <c r="E13" s="310">
        <f t="shared" si="0"/>
        <v>1800</v>
      </c>
      <c r="F13" s="314" t="s">
        <v>2173</v>
      </c>
    </row>
    <row r="14" spans="1:7">
      <c r="A14" s="312" t="s">
        <v>480</v>
      </c>
      <c r="B14" s="313">
        <f>CEILING($B$6*15,1)</f>
        <v>180</v>
      </c>
      <c r="C14" s="570" t="s">
        <v>481</v>
      </c>
      <c r="D14" s="16">
        <v>0.5</v>
      </c>
      <c r="E14" s="310">
        <f t="shared" si="0"/>
        <v>90</v>
      </c>
      <c r="F14" s="314" t="s">
        <v>2174</v>
      </c>
    </row>
    <row r="15" spans="1:7">
      <c r="A15" s="312" t="s">
        <v>711</v>
      </c>
      <c r="B15" s="313">
        <f>$B$6</f>
        <v>12</v>
      </c>
      <c r="C15" s="570" t="s">
        <v>593</v>
      </c>
      <c r="D15" s="16">
        <f>ค่าแรง!$B$65</f>
        <v>1050</v>
      </c>
      <c r="E15" s="310">
        <f t="shared" si="0"/>
        <v>12600</v>
      </c>
      <c r="F15" s="314" t="s">
        <v>2175</v>
      </c>
    </row>
    <row r="16" spans="1:7">
      <c r="A16" s="312" t="s">
        <v>647</v>
      </c>
      <c r="B16" s="313">
        <f>$B$6</f>
        <v>12</v>
      </c>
      <c r="C16" s="570" t="s">
        <v>593</v>
      </c>
      <c r="D16" s="16">
        <f>ค่าแรง!$C$65</f>
        <v>787.50000000000011</v>
      </c>
      <c r="E16" s="310">
        <f t="shared" si="0"/>
        <v>9450</v>
      </c>
      <c r="F16" s="314" t="s">
        <v>2176</v>
      </c>
    </row>
    <row r="17" spans="1:5">
      <c r="A17" s="315" t="s">
        <v>2177</v>
      </c>
      <c r="E17" s="316">
        <f>SUM(E11:E16)</f>
        <v>31890</v>
      </c>
    </row>
    <row r="19" spans="1:5" ht="26.4">
      <c r="A19" s="307" t="s">
        <v>2178</v>
      </c>
    </row>
    <row r="20" spans="1:5">
      <c r="A20" s="308" t="s">
        <v>2179</v>
      </c>
      <c r="B20" s="310">
        <f>IF($B$6=0,0,ROUND(E17/$B$6,0))</f>
        <v>2658</v>
      </c>
    </row>
    <row r="21" spans="1:5" ht="26.4">
      <c r="A21" s="308" t="s">
        <v>2180</v>
      </c>
      <c r="B21" s="316">
        <f>ROUNDUP((ROUNDUP((ROUNDUP((SUM(E11:E14)*($B$39*$B$40)+E15*(1+B27/100)+E16*(1+B28/100))/100,0)*100)*(1+$B$29/100)/100,0)*100)*1/100,0)*100</f>
        <v>64100</v>
      </c>
    </row>
    <row r="22" spans="1:5">
      <c r="A22" s="308" t="s">
        <v>2181</v>
      </c>
      <c r="B22" s="316">
        <f>IF($B$6=0,0,ROUND(B21/$B$6,0))</f>
        <v>5342</v>
      </c>
    </row>
    <row r="23" spans="1:5" ht="34.200000000000003">
      <c r="A23" s="317" t="s">
        <v>2182</v>
      </c>
    </row>
    <row r="25" spans="1:5" ht="22.8">
      <c r="A25" s="317" t="s">
        <v>3148</v>
      </c>
    </row>
    <row r="26" spans="1:5" ht="18" customHeight="1">
      <c r="A26" s="317" t="s">
        <v>1179</v>
      </c>
      <c r="B26" s="317" t="s">
        <v>7</v>
      </c>
      <c r="C26" s="317" t="s">
        <v>1734</v>
      </c>
    </row>
    <row r="27" spans="1:5">
      <c r="A27" s="317" t="s">
        <v>1180</v>
      </c>
      <c r="B27" s="572">
        <f>ROUND(($C$39*$B$40-1)*100,0)</f>
        <v>40</v>
      </c>
      <c r="C27" s="317" t="s">
        <v>3149</v>
      </c>
    </row>
    <row r="28" spans="1:5">
      <c r="A28" s="317" t="s">
        <v>1181</v>
      </c>
      <c r="B28" s="572">
        <f>ROUND(($D$39*$B$40-1)*100,0)</f>
        <v>40</v>
      </c>
      <c r="C28" s="317" t="s">
        <v>3149</v>
      </c>
    </row>
    <row r="29" spans="1:5">
      <c r="A29" s="317" t="s">
        <v>3122</v>
      </c>
      <c r="B29" s="571">
        <v>30</v>
      </c>
      <c r="C29" s="317" t="s">
        <v>3150</v>
      </c>
    </row>
    <row r="30" spans="1:5">
      <c r="A30" s="613" t="s">
        <v>1138</v>
      </c>
      <c r="B30" s="614"/>
    </row>
    <row r="31" spans="1:5">
      <c r="A31" s="489" t="s">
        <v>3100</v>
      </c>
      <c r="B31" s="492">
        <f>SUM(E11)</f>
        <v>3750</v>
      </c>
    </row>
    <row r="32" spans="1:5">
      <c r="A32" s="489" t="s">
        <v>3108</v>
      </c>
      <c r="B32" s="492">
        <f>SUM(E12,E13)</f>
        <v>6000</v>
      </c>
    </row>
    <row r="33" spans="1:6">
      <c r="A33" s="489" t="s">
        <v>3109</v>
      </c>
      <c r="B33" s="492">
        <f>SUM(E14)</f>
        <v>90</v>
      </c>
    </row>
    <row r="34" spans="1:6">
      <c r="A34" s="491" t="s">
        <v>1144</v>
      </c>
      <c r="B34" s="493">
        <f>SUM(B31:B33)</f>
        <v>9840</v>
      </c>
    </row>
    <row r="35" spans="1:6">
      <c r="A35" s="488" t="s">
        <v>3067</v>
      </c>
    </row>
    <row r="37" spans="1:6">
      <c r="A37" s="533" t="s">
        <v>3151</v>
      </c>
      <c r="B37" s="535"/>
      <c r="C37" s="533"/>
    </row>
    <row r="38" spans="1:6">
      <c r="A38" t="s">
        <v>3144</v>
      </c>
      <c r="B38" s="541">
        <v>27</v>
      </c>
      <c r="C38" t="s">
        <v>3152</v>
      </c>
    </row>
    <row r="39" spans="1:6">
      <c r="A39" t="s">
        <v>3153</v>
      </c>
      <c r="B39" s="542">
        <v>1.7230000000000001</v>
      </c>
      <c r="C39" s="542">
        <v>1.292</v>
      </c>
      <c r="D39" s="542">
        <v>1.292</v>
      </c>
      <c r="E39" s="542" t="s">
        <v>3154</v>
      </c>
      <c r="F39" s="542"/>
    </row>
    <row r="40" spans="1:6">
      <c r="A40" t="s">
        <v>3155</v>
      </c>
      <c r="B40" s="542">
        <f>IFERROR((((SUM(E11:E14))+(E15)+(E16))/(100/(100+B29)-B38/100))/(((SUM(E11:E14))*$B$39+(E15)*$C$39+(E16)*$D$39)*(1+B29/100)),1)</f>
        <v>1.0812935007783013</v>
      </c>
      <c r="C40" t="s">
        <v>3156</v>
      </c>
    </row>
    <row r="42" spans="1:6">
      <c r="A42" s="533" t="s">
        <v>3126</v>
      </c>
      <c r="B42" s="535"/>
      <c r="C42" s="533"/>
    </row>
    <row r="43" spans="1:6">
      <c r="A43" s="533" t="s">
        <v>3127</v>
      </c>
      <c r="B43" s="534">
        <f>IFERROR(ROUND(B21-B21/(1+B29/100),0),0)</f>
        <v>14792</v>
      </c>
      <c r="C43" s="533" t="s">
        <v>3128</v>
      </c>
    </row>
    <row r="44" spans="1:6">
      <c r="A44" s="533" t="s">
        <v>3129</v>
      </c>
      <c r="B44" s="534">
        <f>SUM(E11:E14)+E15+E16+B43</f>
        <v>46682</v>
      </c>
      <c r="C44" s="533" t="s">
        <v>3130</v>
      </c>
    </row>
    <row r="45" spans="1:6">
      <c r="A45" s="536" t="s">
        <v>3131</v>
      </c>
      <c r="B45" s="537">
        <f>IFERROR((B21-B44)/B21,"")</f>
        <v>0.27173166926677067</v>
      </c>
      <c r="C45" s="536" t="s">
        <v>3157</v>
      </c>
    </row>
  </sheetData>
  <sheetProtection sheet="1" objects="1" scenarios="1"/>
  <mergeCells count="1">
    <mergeCell ref="A1:F1"/>
  </mergeCells>
  <hyperlinks>
    <hyperlink ref="G1" location="'สารบัญ'!A1" display="🏠 สารบัญ" xr:uid="{00000000-0004-0000-3F00-000000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C000"/>
  </sheetPr>
  <dimension ref="A1:F2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4" customWidth="1"/>
    <col min="2" max="2" width="16" customWidth="1"/>
    <col min="3" max="3" width="18" customWidth="1"/>
    <col min="4" max="4" width="13" customWidth="1"/>
    <col min="5" max="5" width="18" customWidth="1"/>
    <col min="6" max="6" width="12.77734375" customWidth="1"/>
  </cols>
  <sheetData>
    <row r="1" spans="1:6">
      <c r="A1" s="687" t="s">
        <v>2183</v>
      </c>
      <c r="B1" s="650"/>
      <c r="C1" s="650"/>
      <c r="D1" s="650"/>
      <c r="E1" s="650"/>
      <c r="F1" s="441" t="s">
        <v>68</v>
      </c>
    </row>
    <row r="2" spans="1:6">
      <c r="A2" s="311"/>
      <c r="B2" s="311"/>
      <c r="C2" s="311"/>
      <c r="D2" s="311"/>
    </row>
    <row r="3" spans="1:6">
      <c r="A3" s="688" t="s">
        <v>2184</v>
      </c>
      <c r="B3" s="677"/>
      <c r="C3" s="677"/>
      <c r="D3" s="677"/>
      <c r="E3" s="678"/>
    </row>
    <row r="4" spans="1:6" ht="26.4">
      <c r="A4" s="320" t="s">
        <v>606</v>
      </c>
      <c r="B4" s="320" t="s">
        <v>2185</v>
      </c>
      <c r="C4" s="320" t="s">
        <v>1843</v>
      </c>
      <c r="D4" s="320" t="s">
        <v>2186</v>
      </c>
      <c r="E4" s="320" t="s">
        <v>569</v>
      </c>
    </row>
    <row r="5" spans="1:6">
      <c r="A5" s="620" t="s">
        <v>2187</v>
      </c>
      <c r="B5" s="620" t="s">
        <v>686</v>
      </c>
      <c r="C5" s="620"/>
      <c r="D5" s="322">
        <v>750</v>
      </c>
      <c r="E5" s="323"/>
    </row>
    <row r="6" spans="1:6">
      <c r="A6" s="620" t="s">
        <v>2188</v>
      </c>
      <c r="B6" s="620" t="s">
        <v>686</v>
      </c>
      <c r="C6" s="620"/>
      <c r="D6" s="322">
        <v>1450</v>
      </c>
      <c r="E6" s="323"/>
    </row>
    <row r="7" spans="1:6">
      <c r="A7" s="620" t="s">
        <v>2189</v>
      </c>
      <c r="B7" s="620" t="s">
        <v>686</v>
      </c>
      <c r="C7" s="620"/>
      <c r="D7" s="322">
        <v>1450</v>
      </c>
      <c r="E7" s="323"/>
    </row>
    <row r="8" spans="1:6">
      <c r="A8" s="620" t="s">
        <v>2190</v>
      </c>
      <c r="B8" s="620" t="s">
        <v>686</v>
      </c>
      <c r="C8" s="620"/>
      <c r="D8" s="322">
        <v>1450</v>
      </c>
      <c r="E8" s="323"/>
    </row>
    <row r="9" spans="1:6">
      <c r="A9" s="620" t="s">
        <v>2191</v>
      </c>
      <c r="B9" s="620" t="s">
        <v>686</v>
      </c>
      <c r="C9" s="620"/>
      <c r="D9" s="322">
        <v>200</v>
      </c>
      <c r="E9" s="323"/>
    </row>
    <row r="10" spans="1:6">
      <c r="A10" s="620" t="s">
        <v>2192</v>
      </c>
      <c r="B10" s="620" t="s">
        <v>686</v>
      </c>
      <c r="C10" s="620"/>
      <c r="D10" s="322">
        <v>288</v>
      </c>
      <c r="E10" s="323"/>
    </row>
    <row r="11" spans="1:6">
      <c r="A11" s="620" t="s">
        <v>2193</v>
      </c>
      <c r="B11" s="620" t="s">
        <v>686</v>
      </c>
      <c r="C11" s="620"/>
      <c r="D11" s="322">
        <v>288</v>
      </c>
      <c r="E11" s="323"/>
    </row>
    <row r="12" spans="1:6">
      <c r="A12" s="620" t="s">
        <v>2194</v>
      </c>
      <c r="B12" s="620" t="s">
        <v>686</v>
      </c>
      <c r="C12" s="620" t="s">
        <v>2195</v>
      </c>
      <c r="D12" s="322">
        <v>378</v>
      </c>
      <c r="E12" s="323"/>
    </row>
    <row r="13" spans="1:6">
      <c r="A13" s="620" t="s">
        <v>2196</v>
      </c>
      <c r="B13" s="620" t="s">
        <v>686</v>
      </c>
      <c r="C13" s="620"/>
      <c r="D13" s="322">
        <v>450</v>
      </c>
      <c r="E13" s="323"/>
    </row>
    <row r="14" spans="1:6">
      <c r="A14" s="620" t="s">
        <v>2197</v>
      </c>
      <c r="B14" s="620" t="s">
        <v>686</v>
      </c>
      <c r="C14" s="620"/>
      <c r="D14" s="322">
        <v>468</v>
      </c>
      <c r="E14" s="323"/>
    </row>
    <row r="15" spans="1:6">
      <c r="A15" s="620" t="s">
        <v>2198</v>
      </c>
      <c r="B15" s="620" t="s">
        <v>686</v>
      </c>
      <c r="C15" s="620" t="s">
        <v>2195</v>
      </c>
      <c r="D15" s="322">
        <v>585</v>
      </c>
      <c r="E15" s="323"/>
    </row>
    <row r="16" spans="1:6">
      <c r="A16" s="620" t="s">
        <v>2199</v>
      </c>
      <c r="B16" s="620" t="s">
        <v>686</v>
      </c>
      <c r="C16" s="620" t="s">
        <v>2200</v>
      </c>
      <c r="D16" s="322">
        <v>505</v>
      </c>
      <c r="E16" s="323"/>
    </row>
    <row r="17" spans="1:5">
      <c r="A17" s="620" t="s">
        <v>2201</v>
      </c>
      <c r="B17" s="620" t="s">
        <v>686</v>
      </c>
      <c r="C17" s="620" t="s">
        <v>2200</v>
      </c>
      <c r="D17" s="322">
        <v>505</v>
      </c>
      <c r="E17" s="323"/>
    </row>
    <row r="18" spans="1:5">
      <c r="A18" s="620" t="s">
        <v>2202</v>
      </c>
      <c r="B18" s="620" t="s">
        <v>686</v>
      </c>
      <c r="C18" s="620" t="s">
        <v>2200</v>
      </c>
      <c r="D18" s="322">
        <v>550</v>
      </c>
      <c r="E18" s="323"/>
    </row>
    <row r="19" spans="1:5">
      <c r="A19" s="620" t="s">
        <v>2203</v>
      </c>
      <c r="B19" s="620" t="s">
        <v>686</v>
      </c>
      <c r="C19" s="620" t="s">
        <v>2204</v>
      </c>
      <c r="D19" s="322">
        <v>1255</v>
      </c>
      <c r="E19" s="323"/>
    </row>
    <row r="20" spans="1:5">
      <c r="A20" s="620" t="s">
        <v>2205</v>
      </c>
      <c r="B20" s="620" t="s">
        <v>686</v>
      </c>
      <c r="C20" s="620" t="s">
        <v>2204</v>
      </c>
      <c r="D20" s="322">
        <v>1255</v>
      </c>
      <c r="E20" s="323"/>
    </row>
    <row r="21" spans="1:5">
      <c r="A21" s="620" t="s">
        <v>2206</v>
      </c>
      <c r="B21" s="620" t="s">
        <v>686</v>
      </c>
      <c r="C21" s="620" t="s">
        <v>2207</v>
      </c>
      <c r="D21" s="322">
        <v>1255</v>
      </c>
      <c r="E21" s="323"/>
    </row>
    <row r="22" spans="1:5">
      <c r="A22" s="620" t="s">
        <v>2208</v>
      </c>
      <c r="B22" s="620"/>
      <c r="C22" s="620" t="s">
        <v>2209</v>
      </c>
      <c r="D22" s="322">
        <v>1120</v>
      </c>
      <c r="E22" s="323"/>
    </row>
    <row r="23" spans="1:5">
      <c r="A23" s="620" t="s">
        <v>2208</v>
      </c>
      <c r="B23" s="620"/>
      <c r="C23" s="620" t="s">
        <v>2210</v>
      </c>
      <c r="D23" s="322">
        <v>1120</v>
      </c>
      <c r="E23" s="323"/>
    </row>
    <row r="24" spans="1:5">
      <c r="A24" s="620" t="s">
        <v>2208</v>
      </c>
      <c r="B24" s="620"/>
      <c r="C24" s="620" t="s">
        <v>2211</v>
      </c>
      <c r="D24" s="322">
        <v>1120</v>
      </c>
      <c r="E24" s="323"/>
    </row>
    <row r="25" spans="1:5">
      <c r="A25" s="620" t="s">
        <v>2212</v>
      </c>
      <c r="B25" s="620" t="s">
        <v>686</v>
      </c>
      <c r="C25" s="620" t="s">
        <v>2213</v>
      </c>
      <c r="D25" s="322">
        <v>775</v>
      </c>
      <c r="E25" s="323"/>
    </row>
    <row r="26" spans="1:5">
      <c r="A26" s="620" t="s">
        <v>2214</v>
      </c>
      <c r="B26" s="620" t="s">
        <v>686</v>
      </c>
      <c r="C26" s="620" t="s">
        <v>2213</v>
      </c>
      <c r="D26" s="322">
        <v>645</v>
      </c>
      <c r="E26" s="323"/>
    </row>
    <row r="27" spans="1:5">
      <c r="A27" s="620" t="s">
        <v>2212</v>
      </c>
      <c r="B27" s="620" t="s">
        <v>2039</v>
      </c>
      <c r="C27" s="620" t="s">
        <v>2213</v>
      </c>
      <c r="D27" s="322">
        <v>775</v>
      </c>
      <c r="E27" s="323"/>
    </row>
    <row r="28" spans="1:5">
      <c r="A28" s="620" t="s">
        <v>2214</v>
      </c>
      <c r="B28" s="620" t="s">
        <v>2039</v>
      </c>
      <c r="C28" s="620" t="s">
        <v>2213</v>
      </c>
      <c r="D28" s="322">
        <v>645</v>
      </c>
      <c r="E28" s="323"/>
    </row>
    <row r="29" spans="1:5">
      <c r="A29" s="620" t="s">
        <v>2215</v>
      </c>
      <c r="B29" s="620" t="s">
        <v>686</v>
      </c>
      <c r="C29" s="620" t="s">
        <v>2216</v>
      </c>
      <c r="D29" s="322">
        <v>1115</v>
      </c>
      <c r="E29" s="323"/>
    </row>
    <row r="30" spans="1:5">
      <c r="A30" s="620" t="s">
        <v>2217</v>
      </c>
      <c r="B30" s="620" t="s">
        <v>686</v>
      </c>
      <c r="C30" s="620" t="s">
        <v>2216</v>
      </c>
      <c r="D30" s="322">
        <v>1030</v>
      </c>
      <c r="E30" s="323"/>
    </row>
    <row r="31" spans="1:5">
      <c r="A31" s="620" t="s">
        <v>2215</v>
      </c>
      <c r="B31" s="620" t="s">
        <v>2039</v>
      </c>
      <c r="C31" s="620" t="s">
        <v>2216</v>
      </c>
      <c r="D31" s="322">
        <v>1115</v>
      </c>
      <c r="E31" s="323"/>
    </row>
    <row r="32" spans="1:5">
      <c r="A32" s="620" t="s">
        <v>2217</v>
      </c>
      <c r="B32" s="620" t="s">
        <v>2039</v>
      </c>
      <c r="C32" s="620" t="s">
        <v>2216</v>
      </c>
      <c r="D32" s="322">
        <v>1030</v>
      </c>
      <c r="E32" s="323"/>
    </row>
    <row r="33" spans="1:5">
      <c r="A33" s="620" t="s">
        <v>2218</v>
      </c>
      <c r="B33" s="620" t="s">
        <v>686</v>
      </c>
      <c r="C33" s="620"/>
      <c r="D33" s="322">
        <v>169</v>
      </c>
      <c r="E33" s="323"/>
    </row>
    <row r="34" spans="1:5">
      <c r="A34" s="620" t="s">
        <v>2219</v>
      </c>
      <c r="B34" s="620" t="s">
        <v>686</v>
      </c>
      <c r="C34" s="620"/>
      <c r="D34" s="322">
        <v>115</v>
      </c>
      <c r="E34" s="323"/>
    </row>
    <row r="35" spans="1:5">
      <c r="A35" s="620" t="s">
        <v>2220</v>
      </c>
      <c r="B35" s="620" t="s">
        <v>686</v>
      </c>
      <c r="C35" s="620"/>
      <c r="D35" s="322">
        <v>90</v>
      </c>
      <c r="E35" s="323"/>
    </row>
    <row r="36" spans="1:5">
      <c r="A36" s="620" t="s">
        <v>2220</v>
      </c>
      <c r="B36" s="620" t="s">
        <v>2039</v>
      </c>
      <c r="C36" s="620"/>
      <c r="D36" s="322">
        <v>90</v>
      </c>
      <c r="E36" s="323"/>
    </row>
    <row r="37" spans="1:5">
      <c r="A37" s="620" t="s">
        <v>2221</v>
      </c>
      <c r="B37" s="620" t="s">
        <v>2222</v>
      </c>
      <c r="C37" s="620"/>
      <c r="D37" s="322">
        <v>3</v>
      </c>
      <c r="E37" s="323"/>
    </row>
    <row r="38" spans="1:5">
      <c r="A38" s="620" t="s">
        <v>2221</v>
      </c>
      <c r="B38" s="620" t="s">
        <v>2039</v>
      </c>
      <c r="C38" s="620"/>
      <c r="D38" s="322">
        <v>3</v>
      </c>
      <c r="E38" s="323"/>
    </row>
    <row r="39" spans="1:5">
      <c r="A39" s="620" t="s">
        <v>2223</v>
      </c>
      <c r="B39" s="620" t="s">
        <v>2039</v>
      </c>
      <c r="C39" s="620"/>
      <c r="D39" s="322">
        <v>2</v>
      </c>
      <c r="E39" s="323"/>
    </row>
    <row r="40" spans="1:5">
      <c r="A40" s="323" t="s">
        <v>2224</v>
      </c>
      <c r="B40" s="323" t="s">
        <v>2222</v>
      </c>
      <c r="C40" s="323"/>
      <c r="D40" s="322">
        <v>140</v>
      </c>
      <c r="E40" s="323"/>
    </row>
    <row r="41" spans="1:5">
      <c r="A41" s="323" t="s">
        <v>2225</v>
      </c>
      <c r="B41" s="323" t="s">
        <v>2222</v>
      </c>
      <c r="C41" s="323"/>
      <c r="D41" s="322">
        <v>140</v>
      </c>
      <c r="E41" s="323"/>
    </row>
    <row r="42" spans="1:5">
      <c r="A42" s="323" t="s">
        <v>2224</v>
      </c>
      <c r="B42" s="323" t="s">
        <v>2039</v>
      </c>
      <c r="C42" s="323"/>
      <c r="D42" s="322">
        <v>140</v>
      </c>
      <c r="E42" s="323"/>
    </row>
    <row r="43" spans="1:5">
      <c r="A43" s="323" t="s">
        <v>2225</v>
      </c>
      <c r="B43" s="323" t="s">
        <v>2039</v>
      </c>
      <c r="C43" s="323"/>
      <c r="D43" s="322">
        <v>140</v>
      </c>
      <c r="E43" s="323"/>
    </row>
    <row r="44" spans="1:5">
      <c r="A44" s="323" t="s">
        <v>2226</v>
      </c>
      <c r="B44" s="323" t="s">
        <v>2222</v>
      </c>
      <c r="C44" s="323"/>
      <c r="D44" s="322">
        <v>0</v>
      </c>
      <c r="E44" s="323"/>
    </row>
    <row r="45" spans="1:5">
      <c r="A45" s="323" t="s">
        <v>2226</v>
      </c>
      <c r="B45" s="323" t="s">
        <v>2039</v>
      </c>
      <c r="C45" s="323"/>
      <c r="D45" s="322">
        <v>0</v>
      </c>
      <c r="E45" s="323"/>
    </row>
    <row r="46" spans="1:5">
      <c r="A46" s="323" t="s">
        <v>2227</v>
      </c>
      <c r="B46" s="323" t="s">
        <v>2222</v>
      </c>
      <c r="C46" s="323"/>
      <c r="D46" s="322">
        <v>0</v>
      </c>
      <c r="E46" s="323"/>
    </row>
    <row r="47" spans="1:5">
      <c r="A47" s="323" t="s">
        <v>2227</v>
      </c>
      <c r="B47" s="323" t="s">
        <v>2039</v>
      </c>
      <c r="C47" s="323"/>
      <c r="D47" s="322">
        <v>0</v>
      </c>
      <c r="E47" s="323"/>
    </row>
    <row r="48" spans="1:5">
      <c r="A48" s="323" t="s">
        <v>2228</v>
      </c>
      <c r="B48" s="323" t="s">
        <v>2039</v>
      </c>
      <c r="C48" s="323"/>
      <c r="D48" s="322">
        <v>7</v>
      </c>
      <c r="E48" s="323"/>
    </row>
    <row r="49" spans="1:5">
      <c r="A49" s="323" t="s">
        <v>2229</v>
      </c>
      <c r="B49" s="323" t="s">
        <v>686</v>
      </c>
      <c r="C49" s="323"/>
      <c r="D49" s="322">
        <v>110</v>
      </c>
      <c r="E49" s="323"/>
    </row>
    <row r="50" spans="1:5">
      <c r="A50" s="323" t="s">
        <v>2229</v>
      </c>
      <c r="B50" s="323" t="s">
        <v>2039</v>
      </c>
      <c r="C50" s="323"/>
      <c r="D50" s="322">
        <v>110</v>
      </c>
      <c r="E50" s="323"/>
    </row>
    <row r="51" spans="1:5">
      <c r="A51" s="323" t="s">
        <v>2230</v>
      </c>
      <c r="B51" s="323" t="s">
        <v>686</v>
      </c>
      <c r="C51" s="323" t="s">
        <v>2231</v>
      </c>
      <c r="D51" s="322">
        <v>418</v>
      </c>
      <c r="E51" s="323"/>
    </row>
    <row r="52" spans="1:5">
      <c r="A52" s="323" t="s">
        <v>2232</v>
      </c>
      <c r="B52" s="323" t="s">
        <v>686</v>
      </c>
      <c r="C52" s="323"/>
      <c r="D52" s="322">
        <v>285</v>
      </c>
      <c r="E52" s="323"/>
    </row>
    <row r="53" spans="1:5">
      <c r="A53" s="323" t="s">
        <v>2233</v>
      </c>
      <c r="B53" s="323" t="s">
        <v>686</v>
      </c>
      <c r="C53" s="323" t="s">
        <v>2234</v>
      </c>
      <c r="D53" s="322">
        <v>429</v>
      </c>
      <c r="E53" s="323"/>
    </row>
    <row r="54" spans="1:5">
      <c r="A54" s="323" t="s">
        <v>2233</v>
      </c>
      <c r="B54" s="323" t="s">
        <v>686</v>
      </c>
      <c r="C54" s="323" t="s">
        <v>2235</v>
      </c>
      <c r="D54" s="322">
        <v>480</v>
      </c>
      <c r="E54" s="323"/>
    </row>
    <row r="55" spans="1:5">
      <c r="A55" s="323" t="s">
        <v>2236</v>
      </c>
      <c r="B55" s="323" t="s">
        <v>2222</v>
      </c>
      <c r="C55" s="323"/>
      <c r="D55" s="322">
        <v>65</v>
      </c>
      <c r="E55" s="323"/>
    </row>
    <row r="56" spans="1:5">
      <c r="A56" s="323" t="s">
        <v>2236</v>
      </c>
      <c r="B56" s="323" t="s">
        <v>2039</v>
      </c>
      <c r="C56" s="323"/>
      <c r="D56" s="322">
        <v>65</v>
      </c>
      <c r="E56" s="323"/>
    </row>
    <row r="57" spans="1:5">
      <c r="A57" s="323" t="s">
        <v>2237</v>
      </c>
      <c r="B57" s="323" t="s">
        <v>2238</v>
      </c>
      <c r="C57" s="323"/>
      <c r="D57" s="322">
        <v>30</v>
      </c>
      <c r="E57" s="323"/>
    </row>
    <row r="58" spans="1:5">
      <c r="A58" s="323" t="s">
        <v>2239</v>
      </c>
      <c r="B58" s="323" t="s">
        <v>2039</v>
      </c>
      <c r="C58" s="323"/>
      <c r="D58" s="322">
        <v>30</v>
      </c>
      <c r="E58" s="323"/>
    </row>
    <row r="59" spans="1:5">
      <c r="A59" s="323" t="s">
        <v>2240</v>
      </c>
      <c r="B59" s="323" t="s">
        <v>2238</v>
      </c>
      <c r="C59" s="323"/>
      <c r="D59" s="322">
        <v>9</v>
      </c>
      <c r="E59" s="323"/>
    </row>
    <row r="60" spans="1:5">
      <c r="A60" s="323" t="s">
        <v>2241</v>
      </c>
      <c r="B60" s="323" t="s">
        <v>2039</v>
      </c>
      <c r="C60" s="323"/>
      <c r="D60" s="322">
        <v>18</v>
      </c>
      <c r="E60" s="323"/>
    </row>
    <row r="61" spans="1:5">
      <c r="A61" s="323" t="s">
        <v>2242</v>
      </c>
      <c r="B61" s="323" t="s">
        <v>2039</v>
      </c>
      <c r="C61" s="323"/>
      <c r="D61" s="322">
        <v>18</v>
      </c>
      <c r="E61" s="323"/>
    </row>
    <row r="62" spans="1:5">
      <c r="A62" s="323" t="s">
        <v>2243</v>
      </c>
      <c r="B62" s="323"/>
      <c r="C62" s="323"/>
      <c r="D62" s="322">
        <v>2</v>
      </c>
      <c r="E62" s="323"/>
    </row>
    <row r="63" spans="1:5">
      <c r="A63" s="323" t="s">
        <v>2244</v>
      </c>
      <c r="B63" s="323"/>
      <c r="C63" s="323" t="s">
        <v>2245</v>
      </c>
      <c r="D63" s="322">
        <v>18</v>
      </c>
      <c r="E63" s="323"/>
    </row>
    <row r="64" spans="1:5">
      <c r="A64" s="323" t="s">
        <v>1277</v>
      </c>
      <c r="B64" s="323"/>
      <c r="C64" s="323"/>
      <c r="D64" s="322">
        <v>15</v>
      </c>
      <c r="E64" s="323"/>
    </row>
    <row r="65" spans="1:5">
      <c r="A65" s="323" t="s">
        <v>2246</v>
      </c>
      <c r="B65" s="323" t="s">
        <v>2039</v>
      </c>
      <c r="C65" s="323"/>
      <c r="D65" s="322">
        <v>8</v>
      </c>
      <c r="E65" s="323"/>
    </row>
    <row r="66" spans="1:5">
      <c r="A66" s="323" t="s">
        <v>2246</v>
      </c>
      <c r="B66" s="323" t="s">
        <v>2039</v>
      </c>
      <c r="C66" s="323"/>
      <c r="D66" s="322">
        <v>4</v>
      </c>
      <c r="E66" s="323"/>
    </row>
    <row r="67" spans="1:5">
      <c r="A67" s="323" t="s">
        <v>2247</v>
      </c>
      <c r="B67" s="323"/>
      <c r="C67" s="323"/>
      <c r="D67" s="322">
        <v>17</v>
      </c>
      <c r="E67" s="323"/>
    </row>
    <row r="68" spans="1:5">
      <c r="A68" s="323" t="s">
        <v>2248</v>
      </c>
      <c r="B68" s="323"/>
      <c r="C68" s="323"/>
      <c r="D68" s="322">
        <v>23</v>
      </c>
      <c r="E68" s="323"/>
    </row>
    <row r="69" spans="1:5">
      <c r="A69" s="323" t="s">
        <v>2249</v>
      </c>
      <c r="B69" s="323" t="s">
        <v>2039</v>
      </c>
      <c r="C69" s="323"/>
      <c r="D69" s="322">
        <v>85</v>
      </c>
      <c r="E69" s="323"/>
    </row>
    <row r="70" spans="1:5">
      <c r="A70" s="323" t="s">
        <v>2249</v>
      </c>
      <c r="B70" s="323" t="s">
        <v>2222</v>
      </c>
      <c r="C70" s="323"/>
      <c r="D70" s="322">
        <v>85</v>
      </c>
      <c r="E70" s="323"/>
    </row>
    <row r="71" spans="1:5">
      <c r="A71" s="323" t="s">
        <v>2233</v>
      </c>
      <c r="B71" s="323" t="s">
        <v>686</v>
      </c>
      <c r="C71" s="323" t="s">
        <v>2250</v>
      </c>
      <c r="D71" s="322">
        <v>493</v>
      </c>
      <c r="E71" s="323"/>
    </row>
    <row r="72" spans="1:5">
      <c r="A72" s="323" t="s">
        <v>2251</v>
      </c>
      <c r="B72" s="323"/>
      <c r="C72" s="323"/>
      <c r="D72" s="322">
        <v>30</v>
      </c>
      <c r="E72" s="323"/>
    </row>
    <row r="73" spans="1:5">
      <c r="A73" s="323" t="s">
        <v>2252</v>
      </c>
      <c r="B73" s="323"/>
      <c r="C73" s="323" t="s">
        <v>2253</v>
      </c>
      <c r="D73" s="322">
        <v>2000</v>
      </c>
      <c r="E73" s="323"/>
    </row>
    <row r="74" spans="1:5">
      <c r="A74" s="323" t="s">
        <v>2252</v>
      </c>
      <c r="B74" s="323"/>
      <c r="C74" s="323" t="s">
        <v>2254</v>
      </c>
      <c r="D74" s="322">
        <v>1500</v>
      </c>
      <c r="E74" s="323"/>
    </row>
    <row r="75" spans="1:5">
      <c r="A75" s="323" t="s">
        <v>2255</v>
      </c>
      <c r="B75" s="323"/>
      <c r="C75" s="323" t="s">
        <v>2256</v>
      </c>
      <c r="D75" s="322">
        <v>125</v>
      </c>
      <c r="E75" s="323"/>
    </row>
    <row r="76" spans="1:5">
      <c r="A76" s="323" t="s">
        <v>2257</v>
      </c>
      <c r="B76" s="323" t="s">
        <v>2039</v>
      </c>
      <c r="C76" s="323" t="s">
        <v>2258</v>
      </c>
      <c r="D76" s="322">
        <v>185</v>
      </c>
      <c r="E76" s="323"/>
    </row>
    <row r="77" spans="1:5">
      <c r="A77" s="323" t="s">
        <v>2257</v>
      </c>
      <c r="B77" s="323" t="s">
        <v>686</v>
      </c>
      <c r="C77" s="323" t="s">
        <v>2258</v>
      </c>
      <c r="D77" s="322">
        <v>175</v>
      </c>
      <c r="E77" s="323"/>
    </row>
    <row r="78" spans="1:5">
      <c r="A78" s="323" t="s">
        <v>2257</v>
      </c>
      <c r="B78" s="323" t="s">
        <v>686</v>
      </c>
      <c r="C78" s="323" t="s">
        <v>2259</v>
      </c>
      <c r="D78" s="322">
        <v>175</v>
      </c>
      <c r="E78" s="323"/>
    </row>
    <row r="79" spans="1:5">
      <c r="A79" s="323" t="s">
        <v>2223</v>
      </c>
      <c r="B79" s="323" t="s">
        <v>2260</v>
      </c>
      <c r="C79" s="323"/>
      <c r="D79" s="322">
        <v>2</v>
      </c>
      <c r="E79" s="323"/>
    </row>
    <row r="80" spans="1:5">
      <c r="A80" s="323" t="s">
        <v>2261</v>
      </c>
      <c r="B80" s="323"/>
      <c r="C80" s="323"/>
      <c r="D80" s="322">
        <v>690</v>
      </c>
      <c r="E80" s="323"/>
    </row>
    <row r="81" spans="1:5">
      <c r="A81" s="323" t="s">
        <v>2262</v>
      </c>
      <c r="B81" s="323"/>
      <c r="C81" s="323"/>
      <c r="D81" s="322">
        <v>180</v>
      </c>
      <c r="E81" s="323"/>
    </row>
    <row r="82" spans="1:5">
      <c r="A82" s="323" t="s">
        <v>2263</v>
      </c>
      <c r="B82" s="323"/>
      <c r="C82" s="323"/>
      <c r="D82" s="322">
        <v>235</v>
      </c>
      <c r="E82" s="323"/>
    </row>
    <row r="84" spans="1:5">
      <c r="A84" s="686" t="s">
        <v>2264</v>
      </c>
      <c r="B84" s="650"/>
      <c r="C84" s="650"/>
      <c r="D84" s="650"/>
      <c r="E84" s="650"/>
    </row>
    <row r="85" spans="1:5" ht="26.4">
      <c r="A85" s="320" t="s">
        <v>606</v>
      </c>
      <c r="B85" s="320" t="s">
        <v>2185</v>
      </c>
      <c r="C85" s="320" t="s">
        <v>1843</v>
      </c>
      <c r="D85" s="320" t="s">
        <v>2186</v>
      </c>
      <c r="E85" s="320" t="s">
        <v>569</v>
      </c>
    </row>
    <row r="86" spans="1:5">
      <c r="A86" s="323" t="s">
        <v>2265</v>
      </c>
      <c r="B86" s="323" t="s">
        <v>2266</v>
      </c>
      <c r="C86" s="323" t="s">
        <v>686</v>
      </c>
      <c r="D86" s="322">
        <v>165</v>
      </c>
      <c r="E86" s="323"/>
    </row>
    <row r="87" spans="1:5">
      <c r="A87" s="323" t="s">
        <v>2267</v>
      </c>
      <c r="B87" s="323" t="s">
        <v>2268</v>
      </c>
      <c r="C87" s="323" t="s">
        <v>2039</v>
      </c>
      <c r="D87" s="322">
        <v>52</v>
      </c>
      <c r="E87" s="323"/>
    </row>
    <row r="88" spans="1:5">
      <c r="A88" s="323" t="s">
        <v>2267</v>
      </c>
      <c r="B88" s="323" t="s">
        <v>2268</v>
      </c>
      <c r="C88" s="323" t="s">
        <v>2222</v>
      </c>
      <c r="D88" s="322">
        <v>52</v>
      </c>
      <c r="E88" s="323"/>
    </row>
    <row r="89" spans="1:5">
      <c r="A89" s="323" t="s">
        <v>2267</v>
      </c>
      <c r="B89" s="323" t="s">
        <v>2269</v>
      </c>
      <c r="C89" s="323" t="s">
        <v>2039</v>
      </c>
      <c r="D89" s="322">
        <v>65</v>
      </c>
      <c r="E89" s="323"/>
    </row>
    <row r="90" spans="1:5">
      <c r="A90" s="323" t="s">
        <v>2267</v>
      </c>
      <c r="B90" s="323" t="s">
        <v>2269</v>
      </c>
      <c r="C90" s="323" t="s">
        <v>2222</v>
      </c>
      <c r="D90" s="322">
        <v>65</v>
      </c>
      <c r="E90" s="323"/>
    </row>
    <row r="91" spans="1:5">
      <c r="A91" s="323" t="s">
        <v>2270</v>
      </c>
      <c r="B91" s="323" t="s">
        <v>2271</v>
      </c>
      <c r="C91" s="323" t="s">
        <v>2039</v>
      </c>
      <c r="D91" s="322">
        <v>177</v>
      </c>
      <c r="E91" s="323"/>
    </row>
    <row r="92" spans="1:5">
      <c r="A92" s="323" t="s">
        <v>2270</v>
      </c>
      <c r="B92" s="323" t="s">
        <v>2271</v>
      </c>
      <c r="C92" s="323" t="s">
        <v>2222</v>
      </c>
      <c r="D92" s="322">
        <v>177</v>
      </c>
      <c r="E92" s="323"/>
    </row>
    <row r="93" spans="1:5">
      <c r="A93" s="323" t="s">
        <v>2270</v>
      </c>
      <c r="B93" s="323" t="s">
        <v>2272</v>
      </c>
      <c r="C93" s="323" t="s">
        <v>2039</v>
      </c>
      <c r="D93" s="322">
        <v>205</v>
      </c>
      <c r="E93" s="323"/>
    </row>
    <row r="94" spans="1:5">
      <c r="A94" s="323" t="s">
        <v>2270</v>
      </c>
      <c r="B94" s="323" t="s">
        <v>2272</v>
      </c>
      <c r="C94" s="323" t="s">
        <v>2222</v>
      </c>
      <c r="D94" s="322">
        <v>205</v>
      </c>
      <c r="E94" s="323"/>
    </row>
    <row r="95" spans="1:5">
      <c r="A95" s="323" t="s">
        <v>2270</v>
      </c>
      <c r="B95" s="323" t="s">
        <v>2273</v>
      </c>
      <c r="C95" s="323" t="s">
        <v>2039</v>
      </c>
      <c r="D95" s="322">
        <v>409</v>
      </c>
      <c r="E95" s="323"/>
    </row>
    <row r="96" spans="1:5">
      <c r="A96" s="323" t="s">
        <v>2270</v>
      </c>
      <c r="B96" s="323" t="s">
        <v>2273</v>
      </c>
      <c r="C96" s="323" t="s">
        <v>2222</v>
      </c>
      <c r="D96" s="322">
        <v>409</v>
      </c>
      <c r="E96" s="323"/>
    </row>
    <row r="97" spans="1:5">
      <c r="A97" s="323" t="s">
        <v>2274</v>
      </c>
      <c r="B97" s="323" t="s">
        <v>2275</v>
      </c>
      <c r="C97" s="323" t="s">
        <v>2039</v>
      </c>
      <c r="D97" s="322">
        <v>310</v>
      </c>
      <c r="E97" s="323"/>
    </row>
    <row r="98" spans="1:5">
      <c r="A98" s="323" t="s">
        <v>2274</v>
      </c>
      <c r="B98" s="323" t="s">
        <v>2275</v>
      </c>
      <c r="C98" s="323" t="s">
        <v>2222</v>
      </c>
      <c r="D98" s="322">
        <v>310</v>
      </c>
      <c r="E98" s="323"/>
    </row>
    <row r="99" spans="1:5">
      <c r="A99" s="323" t="s">
        <v>2274</v>
      </c>
      <c r="B99" s="323" t="s">
        <v>2276</v>
      </c>
      <c r="C99" s="323" t="s">
        <v>2039</v>
      </c>
      <c r="D99" s="322">
        <v>410</v>
      </c>
      <c r="E99" s="323"/>
    </row>
    <row r="100" spans="1:5">
      <c r="A100" s="323" t="s">
        <v>2274</v>
      </c>
      <c r="B100" s="323" t="s">
        <v>2276</v>
      </c>
      <c r="C100" s="323" t="s">
        <v>2222</v>
      </c>
      <c r="D100" s="322">
        <v>410</v>
      </c>
      <c r="E100" s="323"/>
    </row>
    <row r="101" spans="1:5">
      <c r="A101" s="323" t="s">
        <v>2274</v>
      </c>
      <c r="B101" s="323" t="s">
        <v>2277</v>
      </c>
      <c r="C101" s="323" t="s">
        <v>2039</v>
      </c>
      <c r="D101" s="322">
        <v>745</v>
      </c>
      <c r="E101" s="323"/>
    </row>
    <row r="102" spans="1:5">
      <c r="A102" s="323" t="s">
        <v>2274</v>
      </c>
      <c r="B102" s="323" t="s">
        <v>2277</v>
      </c>
      <c r="C102" s="323" t="s">
        <v>2222</v>
      </c>
      <c r="D102" s="322">
        <v>745</v>
      </c>
      <c r="E102" s="323"/>
    </row>
    <row r="103" spans="1:5">
      <c r="A103" s="323" t="s">
        <v>2278</v>
      </c>
      <c r="B103" s="323" t="s">
        <v>2268</v>
      </c>
      <c r="C103" s="323" t="s">
        <v>2039</v>
      </c>
      <c r="D103" s="322">
        <v>62</v>
      </c>
      <c r="E103" s="323"/>
    </row>
    <row r="104" spans="1:5">
      <c r="A104" s="323" t="s">
        <v>2278</v>
      </c>
      <c r="B104" s="323" t="s">
        <v>2268</v>
      </c>
      <c r="C104" s="323" t="s">
        <v>2222</v>
      </c>
      <c r="D104" s="322">
        <v>62</v>
      </c>
      <c r="E104" s="323"/>
    </row>
    <row r="105" spans="1:5">
      <c r="A105" s="323" t="s">
        <v>2278</v>
      </c>
      <c r="B105" s="323" t="s">
        <v>2269</v>
      </c>
      <c r="C105" s="323" t="s">
        <v>2039</v>
      </c>
      <c r="D105" s="322">
        <v>69</v>
      </c>
      <c r="E105" s="323"/>
    </row>
    <row r="106" spans="1:5">
      <c r="A106" s="323" t="s">
        <v>2278</v>
      </c>
      <c r="B106" s="323" t="s">
        <v>2269</v>
      </c>
      <c r="C106" s="323" t="s">
        <v>2222</v>
      </c>
      <c r="D106" s="322">
        <v>69</v>
      </c>
      <c r="E106" s="323"/>
    </row>
    <row r="107" spans="1:5">
      <c r="A107" s="323" t="s">
        <v>2278</v>
      </c>
      <c r="B107" s="323" t="s">
        <v>2279</v>
      </c>
      <c r="C107" s="323" t="s">
        <v>2039</v>
      </c>
      <c r="D107" s="322">
        <v>99</v>
      </c>
      <c r="E107" s="323"/>
    </row>
    <row r="108" spans="1:5">
      <c r="A108" s="323" t="s">
        <v>2278</v>
      </c>
      <c r="B108" s="323" t="s">
        <v>2279</v>
      </c>
      <c r="C108" s="323" t="s">
        <v>2222</v>
      </c>
      <c r="D108" s="322">
        <v>99</v>
      </c>
      <c r="E108" s="323"/>
    </row>
    <row r="109" spans="1:5">
      <c r="A109" s="323" t="s">
        <v>2280</v>
      </c>
      <c r="B109" s="323" t="s">
        <v>2281</v>
      </c>
      <c r="C109" s="323" t="s">
        <v>686</v>
      </c>
      <c r="D109" s="322">
        <v>437</v>
      </c>
      <c r="E109" s="323"/>
    </row>
    <row r="110" spans="1:5">
      <c r="A110" s="323" t="s">
        <v>2282</v>
      </c>
      <c r="B110" s="323" t="s">
        <v>2281</v>
      </c>
      <c r="C110" s="323" t="s">
        <v>686</v>
      </c>
      <c r="D110" s="322">
        <v>1080</v>
      </c>
      <c r="E110" s="323"/>
    </row>
    <row r="111" spans="1:5">
      <c r="A111" s="323" t="s">
        <v>2283</v>
      </c>
      <c r="B111" s="323" t="s">
        <v>2284</v>
      </c>
      <c r="C111" s="323" t="s">
        <v>686</v>
      </c>
      <c r="D111" s="322">
        <v>1573</v>
      </c>
      <c r="E111" s="323"/>
    </row>
    <row r="112" spans="1:5">
      <c r="A112" s="323" t="s">
        <v>2285</v>
      </c>
      <c r="B112" s="323" t="s">
        <v>2284</v>
      </c>
      <c r="C112" s="323" t="s">
        <v>686</v>
      </c>
      <c r="D112" s="322">
        <v>1445</v>
      </c>
      <c r="E112" s="323"/>
    </row>
    <row r="113" spans="1:5">
      <c r="A113" s="323" t="s">
        <v>2286</v>
      </c>
      <c r="B113" s="323" t="s">
        <v>2287</v>
      </c>
      <c r="C113" s="323" t="s">
        <v>2222</v>
      </c>
      <c r="D113" s="322">
        <v>360</v>
      </c>
      <c r="E113" s="323"/>
    </row>
    <row r="114" spans="1:5">
      <c r="A114" s="323" t="s">
        <v>2286</v>
      </c>
      <c r="B114" s="323" t="s">
        <v>2288</v>
      </c>
      <c r="C114" s="323" t="s">
        <v>2222</v>
      </c>
      <c r="D114" s="322">
        <v>360</v>
      </c>
      <c r="E114" s="323"/>
    </row>
    <row r="115" spans="1:5">
      <c r="A115" s="323" t="s">
        <v>2286</v>
      </c>
      <c r="B115" s="323" t="s">
        <v>2287</v>
      </c>
      <c r="C115" s="323" t="s">
        <v>2039</v>
      </c>
      <c r="D115" s="322">
        <v>360</v>
      </c>
      <c r="E115" s="323"/>
    </row>
    <row r="116" spans="1:5">
      <c r="A116" s="323" t="s">
        <v>2286</v>
      </c>
      <c r="B116" s="323" t="s">
        <v>2288</v>
      </c>
      <c r="C116" s="323" t="s">
        <v>2039</v>
      </c>
      <c r="D116" s="322">
        <v>360</v>
      </c>
      <c r="E116" s="323"/>
    </row>
    <row r="117" spans="1:5">
      <c r="A117" s="323" t="s">
        <v>2289</v>
      </c>
      <c r="B117" s="323" t="s">
        <v>2268</v>
      </c>
      <c r="C117" s="323" t="s">
        <v>2039</v>
      </c>
      <c r="D117" s="322">
        <v>330</v>
      </c>
      <c r="E117" s="323"/>
    </row>
    <row r="118" spans="1:5">
      <c r="A118" s="323" t="s">
        <v>2289</v>
      </c>
      <c r="B118" s="323" t="s">
        <v>2268</v>
      </c>
      <c r="C118" s="323" t="s">
        <v>2222</v>
      </c>
      <c r="D118" s="322">
        <v>330</v>
      </c>
      <c r="E118" s="323"/>
    </row>
    <row r="119" spans="1:5">
      <c r="A119" s="323" t="s">
        <v>2289</v>
      </c>
      <c r="B119" s="323" t="s">
        <v>2279</v>
      </c>
      <c r="C119" s="323" t="s">
        <v>2039</v>
      </c>
      <c r="D119" s="322">
        <v>330</v>
      </c>
      <c r="E119" s="323"/>
    </row>
    <row r="120" spans="1:5">
      <c r="A120" s="323" t="s">
        <v>2289</v>
      </c>
      <c r="B120" s="323" t="s">
        <v>2279</v>
      </c>
      <c r="C120" s="323" t="s">
        <v>2222</v>
      </c>
      <c r="D120" s="322">
        <v>330</v>
      </c>
      <c r="E120" s="323"/>
    </row>
    <row r="121" spans="1:5">
      <c r="A121" s="323" t="s">
        <v>2290</v>
      </c>
      <c r="B121" s="323" t="s">
        <v>2291</v>
      </c>
      <c r="C121" s="323" t="s">
        <v>2039</v>
      </c>
      <c r="D121" s="322">
        <v>111</v>
      </c>
      <c r="E121" s="323"/>
    </row>
    <row r="122" spans="1:5">
      <c r="A122" s="323" t="s">
        <v>2290</v>
      </c>
      <c r="B122" s="323" t="s">
        <v>2292</v>
      </c>
      <c r="C122" s="323" t="s">
        <v>2039</v>
      </c>
      <c r="D122" s="322">
        <v>111</v>
      </c>
      <c r="E122" s="323"/>
    </row>
    <row r="123" spans="1:5">
      <c r="A123" s="323" t="s">
        <v>2290</v>
      </c>
      <c r="B123" s="323" t="s">
        <v>2291</v>
      </c>
      <c r="C123" s="323" t="s">
        <v>2222</v>
      </c>
      <c r="D123" s="322">
        <v>111</v>
      </c>
      <c r="E123" s="323"/>
    </row>
    <row r="124" spans="1:5">
      <c r="A124" s="323" t="s">
        <v>2290</v>
      </c>
      <c r="B124" s="323" t="s">
        <v>2292</v>
      </c>
      <c r="C124" s="323" t="s">
        <v>2222</v>
      </c>
      <c r="D124" s="322">
        <v>111</v>
      </c>
      <c r="E124" s="323"/>
    </row>
    <row r="126" spans="1:5">
      <c r="A126" s="686" t="s">
        <v>2293</v>
      </c>
      <c r="B126" s="650"/>
      <c r="C126" s="650"/>
      <c r="D126" s="650"/>
      <c r="E126" s="650"/>
    </row>
    <row r="127" spans="1:5" ht="26.4">
      <c r="A127" s="320" t="s">
        <v>606</v>
      </c>
      <c r="B127" s="320" t="s">
        <v>2185</v>
      </c>
      <c r="C127" s="320" t="s">
        <v>1843</v>
      </c>
      <c r="D127" s="320" t="s">
        <v>2186</v>
      </c>
      <c r="E127" s="320" t="s">
        <v>569</v>
      </c>
    </row>
    <row r="128" spans="1:5">
      <c r="A128" s="323" t="s">
        <v>2294</v>
      </c>
      <c r="B128" s="323" t="s">
        <v>2295</v>
      </c>
      <c r="C128" s="323"/>
      <c r="D128" s="322">
        <v>8</v>
      </c>
      <c r="E128" s="323"/>
    </row>
    <row r="129" spans="1:5">
      <c r="A129" s="323" t="s">
        <v>2296</v>
      </c>
      <c r="B129" s="323"/>
      <c r="C129" s="323"/>
      <c r="D129" s="322">
        <v>10</v>
      </c>
      <c r="E129" s="323"/>
    </row>
    <row r="130" spans="1:5">
      <c r="A130" s="323" t="s">
        <v>2297</v>
      </c>
      <c r="B130" s="323"/>
      <c r="C130" s="323"/>
      <c r="D130" s="322">
        <v>8</v>
      </c>
      <c r="E130" s="323"/>
    </row>
    <row r="131" spans="1:5">
      <c r="A131" s="323" t="s">
        <v>2298</v>
      </c>
      <c r="B131" s="323"/>
      <c r="C131" s="323"/>
      <c r="D131" s="322">
        <v>6</v>
      </c>
      <c r="E131" s="323"/>
    </row>
    <row r="132" spans="1:5">
      <c r="A132" s="323" t="s">
        <v>2299</v>
      </c>
      <c r="B132" s="323"/>
      <c r="C132" s="323"/>
      <c r="D132" s="322">
        <v>5</v>
      </c>
      <c r="E132" s="323"/>
    </row>
    <row r="133" spans="1:5">
      <c r="A133" s="323" t="s">
        <v>2300</v>
      </c>
      <c r="B133" s="323"/>
      <c r="C133" s="323"/>
      <c r="D133" s="322">
        <v>2</v>
      </c>
      <c r="E133" s="323"/>
    </row>
    <row r="134" spans="1:5">
      <c r="A134" s="323" t="s">
        <v>2301</v>
      </c>
      <c r="B134" s="323"/>
      <c r="C134" s="323"/>
      <c r="D134" s="322">
        <v>2</v>
      </c>
      <c r="E134" s="323"/>
    </row>
    <row r="135" spans="1:5">
      <c r="A135" s="323" t="s">
        <v>2302</v>
      </c>
      <c r="B135" s="323"/>
      <c r="C135" s="323"/>
      <c r="D135" s="322">
        <v>2</v>
      </c>
      <c r="E135" s="323"/>
    </row>
    <row r="136" spans="1:5">
      <c r="A136" s="323" t="s">
        <v>2303</v>
      </c>
      <c r="B136" s="323"/>
      <c r="C136" s="323"/>
      <c r="D136" s="322">
        <v>10</v>
      </c>
      <c r="E136" s="323"/>
    </row>
    <row r="137" spans="1:5">
      <c r="A137" s="323" t="s">
        <v>2304</v>
      </c>
      <c r="B137" s="323"/>
      <c r="C137" s="323"/>
      <c r="D137" s="322">
        <v>1100</v>
      </c>
      <c r="E137" s="323"/>
    </row>
    <row r="139" spans="1:5">
      <c r="A139" s="686" t="s">
        <v>2305</v>
      </c>
      <c r="B139" s="650"/>
      <c r="C139" s="650"/>
      <c r="D139" s="650"/>
      <c r="E139" s="650"/>
    </row>
    <row r="140" spans="1:5" ht="26.4">
      <c r="A140" s="320" t="s">
        <v>606</v>
      </c>
      <c r="B140" s="320" t="s">
        <v>2185</v>
      </c>
      <c r="C140" s="320" t="s">
        <v>1843</v>
      </c>
      <c r="D140" s="320" t="s">
        <v>2186</v>
      </c>
      <c r="E140" s="320" t="s">
        <v>569</v>
      </c>
    </row>
    <row r="141" spans="1:5">
      <c r="A141" s="323" t="s">
        <v>2306</v>
      </c>
      <c r="B141" s="323" t="s">
        <v>2307</v>
      </c>
      <c r="C141" s="323"/>
      <c r="D141" s="322">
        <v>5</v>
      </c>
      <c r="E141" s="323"/>
    </row>
    <row r="143" spans="1:5">
      <c r="A143" s="686" t="s">
        <v>2308</v>
      </c>
      <c r="B143" s="650"/>
      <c r="C143" s="650"/>
      <c r="D143" s="650"/>
      <c r="E143" s="650"/>
    </row>
    <row r="144" spans="1:5" ht="26.4">
      <c r="A144" s="320" t="s">
        <v>606</v>
      </c>
      <c r="B144" s="320" t="s">
        <v>2185</v>
      </c>
      <c r="C144" s="320" t="s">
        <v>1843</v>
      </c>
      <c r="D144" s="320" t="s">
        <v>2186</v>
      </c>
      <c r="E144" s="320" t="s">
        <v>569</v>
      </c>
    </row>
    <row r="145" spans="1:5">
      <c r="A145" s="323" t="s">
        <v>2309</v>
      </c>
      <c r="B145" s="323" t="s">
        <v>2310</v>
      </c>
      <c r="C145" s="323"/>
      <c r="D145" s="322">
        <v>523</v>
      </c>
      <c r="E145" s="323" t="s">
        <v>2311</v>
      </c>
    </row>
    <row r="146" spans="1:5">
      <c r="A146" s="323" t="s">
        <v>2312</v>
      </c>
      <c r="B146" s="323" t="s">
        <v>2313</v>
      </c>
      <c r="C146" s="323"/>
      <c r="D146" s="322">
        <v>614</v>
      </c>
      <c r="E146" s="323" t="s">
        <v>2314</v>
      </c>
    </row>
    <row r="147" spans="1:5">
      <c r="A147" s="323" t="s">
        <v>2315</v>
      </c>
      <c r="B147" s="323" t="s">
        <v>2310</v>
      </c>
      <c r="C147" s="323"/>
      <c r="D147" s="322">
        <v>176</v>
      </c>
      <c r="E147" s="323" t="s">
        <v>2316</v>
      </c>
    </row>
    <row r="148" spans="1:5">
      <c r="A148" s="323" t="s">
        <v>2317</v>
      </c>
      <c r="B148" s="323" t="s">
        <v>2318</v>
      </c>
      <c r="C148" s="323"/>
      <c r="D148" s="322">
        <v>205</v>
      </c>
      <c r="E148" s="323" t="s">
        <v>2319</v>
      </c>
    </row>
    <row r="149" spans="1:5">
      <c r="A149" s="323" t="s">
        <v>2320</v>
      </c>
      <c r="B149" s="323" t="s">
        <v>2310</v>
      </c>
      <c r="C149" s="323" t="s">
        <v>2321</v>
      </c>
      <c r="D149" s="322">
        <v>275</v>
      </c>
      <c r="E149" s="323" t="s">
        <v>2322</v>
      </c>
    </row>
    <row r="150" spans="1:5">
      <c r="A150" s="323" t="s">
        <v>2323</v>
      </c>
      <c r="B150" s="323" t="s">
        <v>2318</v>
      </c>
      <c r="C150" s="323" t="s">
        <v>2321</v>
      </c>
      <c r="D150" s="322">
        <v>370</v>
      </c>
      <c r="E150" s="323" t="s">
        <v>2324</v>
      </c>
    </row>
    <row r="151" spans="1:5">
      <c r="A151" s="323" t="s">
        <v>2325</v>
      </c>
      <c r="B151" s="323" t="s">
        <v>2310</v>
      </c>
      <c r="C151" s="323"/>
      <c r="D151" s="322">
        <v>745</v>
      </c>
      <c r="E151" s="323" t="s">
        <v>2326</v>
      </c>
    </row>
    <row r="152" spans="1:5">
      <c r="A152" s="323" t="s">
        <v>2327</v>
      </c>
      <c r="B152" s="323" t="s">
        <v>2318</v>
      </c>
      <c r="C152" s="323"/>
      <c r="D152" s="322">
        <v>880</v>
      </c>
      <c r="E152" s="323" t="s">
        <v>2328</v>
      </c>
    </row>
    <row r="153" spans="1:5">
      <c r="A153" s="323" t="s">
        <v>2329</v>
      </c>
      <c r="B153" s="323" t="s">
        <v>2310</v>
      </c>
      <c r="C153" s="323"/>
      <c r="D153" s="322">
        <v>410</v>
      </c>
      <c r="E153" s="323" t="s">
        <v>2322</v>
      </c>
    </row>
    <row r="154" spans="1:5">
      <c r="A154" s="323" t="s">
        <v>2330</v>
      </c>
      <c r="B154" s="323" t="s">
        <v>2318</v>
      </c>
      <c r="C154" s="323"/>
      <c r="D154" s="322">
        <v>490</v>
      </c>
      <c r="E154" s="323" t="s">
        <v>2324</v>
      </c>
    </row>
    <row r="155" spans="1:5" ht="26.4">
      <c r="A155" s="319" t="s">
        <v>2331</v>
      </c>
    </row>
    <row r="156" spans="1:5">
      <c r="A156" s="620" t="s">
        <v>2332</v>
      </c>
      <c r="B156" s="620" t="s">
        <v>686</v>
      </c>
      <c r="C156" s="620" t="s">
        <v>2333</v>
      </c>
      <c r="D156" s="322">
        <v>430</v>
      </c>
      <c r="E156" s="323"/>
    </row>
    <row r="157" spans="1:5">
      <c r="A157" s="620" t="s">
        <v>2334</v>
      </c>
      <c r="B157" s="620" t="s">
        <v>686</v>
      </c>
      <c r="C157" s="620" t="s">
        <v>2335</v>
      </c>
      <c r="D157" s="322">
        <v>175</v>
      </c>
      <c r="E157" s="323"/>
    </row>
    <row r="158" spans="1:5">
      <c r="A158" s="620" t="s">
        <v>2336</v>
      </c>
      <c r="B158" s="620" t="s">
        <v>367</v>
      </c>
      <c r="C158" s="620" t="s">
        <v>2337</v>
      </c>
      <c r="D158" s="322">
        <v>150</v>
      </c>
      <c r="E158" s="323"/>
    </row>
    <row r="159" spans="1:5">
      <c r="A159" s="620" t="s">
        <v>2338</v>
      </c>
      <c r="B159" s="620" t="s">
        <v>686</v>
      </c>
      <c r="C159" s="620" t="s">
        <v>2333</v>
      </c>
      <c r="D159" s="322">
        <v>3500</v>
      </c>
      <c r="E159" s="323"/>
    </row>
    <row r="160" spans="1:5">
      <c r="A160" s="620" t="s">
        <v>2339</v>
      </c>
      <c r="B160" s="620" t="s">
        <v>1046</v>
      </c>
      <c r="C160" s="620" t="s">
        <v>2337</v>
      </c>
      <c r="D160" s="322">
        <v>200</v>
      </c>
      <c r="E160" s="323"/>
    </row>
    <row r="161" spans="1:5">
      <c r="A161" s="620" t="s">
        <v>2339</v>
      </c>
      <c r="B161" s="620" t="s">
        <v>1149</v>
      </c>
      <c r="C161" s="620" t="s">
        <v>2337</v>
      </c>
      <c r="D161" s="322">
        <v>230</v>
      </c>
      <c r="E161" s="323"/>
    </row>
    <row r="163" spans="1:5">
      <c r="A163" t="s">
        <v>2749</v>
      </c>
    </row>
    <row r="164" spans="1:5">
      <c r="A164" t="s">
        <v>2750</v>
      </c>
      <c r="B164" t="s">
        <v>367</v>
      </c>
      <c r="C164" t="s">
        <v>2751</v>
      </c>
      <c r="D164">
        <v>100</v>
      </c>
    </row>
    <row r="165" spans="1:5">
      <c r="A165" t="s">
        <v>2752</v>
      </c>
      <c r="B165" t="s">
        <v>367</v>
      </c>
      <c r="C165" t="s">
        <v>2335</v>
      </c>
      <c r="D165">
        <v>42</v>
      </c>
    </row>
    <row r="166" spans="1:5">
      <c r="A166" t="s">
        <v>2753</v>
      </c>
      <c r="B166" t="s">
        <v>367</v>
      </c>
      <c r="C166" t="s">
        <v>2335</v>
      </c>
      <c r="D166">
        <v>100</v>
      </c>
    </row>
    <row r="167" spans="1:5">
      <c r="A167" t="s">
        <v>2754</v>
      </c>
      <c r="B167" t="s">
        <v>367</v>
      </c>
      <c r="C167" t="s">
        <v>2751</v>
      </c>
      <c r="D167">
        <v>650</v>
      </c>
    </row>
    <row r="168" spans="1:5">
      <c r="A168" t="s">
        <v>2755</v>
      </c>
      <c r="B168" t="s">
        <v>367</v>
      </c>
      <c r="C168" t="s">
        <v>2751</v>
      </c>
      <c r="D168">
        <v>700</v>
      </c>
    </row>
    <row r="169" spans="1:5">
      <c r="A169" t="s">
        <v>2756</v>
      </c>
      <c r="B169" t="s">
        <v>367</v>
      </c>
      <c r="C169" t="s">
        <v>2751</v>
      </c>
      <c r="D169">
        <v>200</v>
      </c>
    </row>
    <row r="170" spans="1:5">
      <c r="A170" t="s">
        <v>2757</v>
      </c>
      <c r="B170" t="s">
        <v>367</v>
      </c>
      <c r="C170" t="s">
        <v>2751</v>
      </c>
      <c r="D170">
        <v>860</v>
      </c>
    </row>
    <row r="171" spans="1:5">
      <c r="A171" t="s">
        <v>2758</v>
      </c>
    </row>
    <row r="172" spans="1:5">
      <c r="A172" t="s">
        <v>2759</v>
      </c>
      <c r="B172" t="s">
        <v>367</v>
      </c>
      <c r="C172" t="s">
        <v>2335</v>
      </c>
      <c r="D172">
        <v>135</v>
      </c>
    </row>
    <row r="173" spans="1:5">
      <c r="A173" t="s">
        <v>2760</v>
      </c>
      <c r="B173" t="s">
        <v>367</v>
      </c>
      <c r="C173" t="s">
        <v>2335</v>
      </c>
      <c r="D173">
        <v>100</v>
      </c>
    </row>
    <row r="174" spans="1:5">
      <c r="A174" t="s">
        <v>2761</v>
      </c>
      <c r="B174" t="s">
        <v>367</v>
      </c>
      <c r="C174" t="s">
        <v>654</v>
      </c>
      <c r="D174">
        <v>1.5</v>
      </c>
    </row>
    <row r="175" spans="1:5">
      <c r="A175" t="s">
        <v>2762</v>
      </c>
      <c r="B175" t="s">
        <v>367</v>
      </c>
      <c r="C175" t="s">
        <v>2335</v>
      </c>
      <c r="D175">
        <v>1</v>
      </c>
    </row>
    <row r="176" spans="1:5">
      <c r="A176" t="s">
        <v>2763</v>
      </c>
    </row>
    <row r="177" spans="1:5">
      <c r="A177" t="s">
        <v>2764</v>
      </c>
      <c r="B177" t="s">
        <v>367</v>
      </c>
      <c r="C177" t="s">
        <v>2751</v>
      </c>
      <c r="D177">
        <v>2520</v>
      </c>
    </row>
    <row r="178" spans="1:5">
      <c r="A178" t="s">
        <v>2765</v>
      </c>
      <c r="B178" t="s">
        <v>367</v>
      </c>
      <c r="C178" t="s">
        <v>2751</v>
      </c>
      <c r="D178">
        <v>1350</v>
      </c>
    </row>
    <row r="179" spans="1:5">
      <c r="A179" t="s">
        <v>2766</v>
      </c>
      <c r="B179" t="s">
        <v>367</v>
      </c>
      <c r="C179" t="s">
        <v>2335</v>
      </c>
      <c r="D179">
        <v>60</v>
      </c>
    </row>
    <row r="180" spans="1:5">
      <c r="A180" t="s">
        <v>2767</v>
      </c>
      <c r="B180" t="s">
        <v>367</v>
      </c>
      <c r="C180" t="s">
        <v>2335</v>
      </c>
      <c r="D180">
        <v>70</v>
      </c>
    </row>
    <row r="181" spans="1:5">
      <c r="A181" t="s">
        <v>2768</v>
      </c>
      <c r="B181" t="s">
        <v>367</v>
      </c>
      <c r="C181" t="s">
        <v>2335</v>
      </c>
      <c r="D181">
        <v>160</v>
      </c>
    </row>
    <row r="182" spans="1:5">
      <c r="A182" t="s">
        <v>2769</v>
      </c>
      <c r="B182" t="s">
        <v>367</v>
      </c>
      <c r="C182" t="s">
        <v>2335</v>
      </c>
      <c r="D182">
        <v>10</v>
      </c>
    </row>
    <row r="183" spans="1:5">
      <c r="A183" t="s">
        <v>2770</v>
      </c>
      <c r="B183" t="s">
        <v>367</v>
      </c>
      <c r="C183" t="s">
        <v>2335</v>
      </c>
      <c r="D183">
        <v>130</v>
      </c>
    </row>
    <row r="184" spans="1:5">
      <c r="A184" t="s">
        <v>2771</v>
      </c>
      <c r="B184" t="s">
        <v>367</v>
      </c>
      <c r="C184" t="s">
        <v>2335</v>
      </c>
      <c r="D184">
        <v>20</v>
      </c>
    </row>
    <row r="185" spans="1:5">
      <c r="A185" t="s">
        <v>2772</v>
      </c>
      <c r="B185" t="s">
        <v>367</v>
      </c>
      <c r="C185" t="s">
        <v>2335</v>
      </c>
      <c r="D185">
        <v>30</v>
      </c>
    </row>
    <row r="186" spans="1:5">
      <c r="A186" t="s">
        <v>2773</v>
      </c>
    </row>
    <row r="187" spans="1:5">
      <c r="A187" t="s">
        <v>2774</v>
      </c>
      <c r="B187" t="s">
        <v>367</v>
      </c>
      <c r="C187" t="s">
        <v>2335</v>
      </c>
      <c r="D187">
        <v>110</v>
      </c>
    </row>
    <row r="188" spans="1:5">
      <c r="A188" t="s">
        <v>2775</v>
      </c>
      <c r="B188" t="s">
        <v>367</v>
      </c>
      <c r="C188" t="s">
        <v>2751</v>
      </c>
      <c r="D188">
        <v>900</v>
      </c>
    </row>
    <row r="189" spans="1:5">
      <c r="A189" t="s">
        <v>2776</v>
      </c>
      <c r="B189" t="s">
        <v>367</v>
      </c>
      <c r="C189" t="s">
        <v>2751</v>
      </c>
      <c r="D189">
        <v>450</v>
      </c>
    </row>
    <row r="191" spans="1:5">
      <c r="A191" t="s">
        <v>2908</v>
      </c>
    </row>
    <row r="192" spans="1:5">
      <c r="A192" t="s">
        <v>606</v>
      </c>
      <c r="B192" t="s">
        <v>2185</v>
      </c>
      <c r="C192" t="s">
        <v>1843</v>
      </c>
      <c r="D192" t="s">
        <v>2186</v>
      </c>
      <c r="E192" t="s">
        <v>569</v>
      </c>
    </row>
    <row r="193" spans="1:5">
      <c r="A193" t="s">
        <v>2909</v>
      </c>
      <c r="B193" t="s">
        <v>367</v>
      </c>
      <c r="C193" t="s">
        <v>2751</v>
      </c>
      <c r="D193" s="423">
        <v>189</v>
      </c>
      <c r="E193" t="s">
        <v>2910</v>
      </c>
    </row>
    <row r="194" spans="1:5">
      <c r="A194" t="s">
        <v>2911</v>
      </c>
      <c r="B194" t="s">
        <v>367</v>
      </c>
      <c r="C194" t="s">
        <v>2333</v>
      </c>
      <c r="D194" s="423">
        <v>2010</v>
      </c>
      <c r="E194" t="s">
        <v>462</v>
      </c>
    </row>
    <row r="195" spans="1:5">
      <c r="A195" t="s">
        <v>2912</v>
      </c>
      <c r="B195" t="s">
        <v>367</v>
      </c>
      <c r="C195" t="s">
        <v>2913</v>
      </c>
      <c r="D195" s="423">
        <v>1170</v>
      </c>
      <c r="E195" t="s">
        <v>2914</v>
      </c>
    </row>
    <row r="196" spans="1:5">
      <c r="A196" t="s">
        <v>2915</v>
      </c>
      <c r="B196" t="s">
        <v>367</v>
      </c>
      <c r="C196" t="s">
        <v>2335</v>
      </c>
      <c r="D196" s="423">
        <v>117</v>
      </c>
      <c r="E196" t="s">
        <v>2916</v>
      </c>
    </row>
    <row r="197" spans="1:5">
      <c r="A197" t="s">
        <v>1263</v>
      </c>
      <c r="B197" t="s">
        <v>367</v>
      </c>
      <c r="C197" t="s">
        <v>2751</v>
      </c>
      <c r="D197" s="423">
        <v>1045</v>
      </c>
      <c r="E197" t="s">
        <v>2917</v>
      </c>
    </row>
    <row r="198" spans="1:5">
      <c r="A198" t="s">
        <v>1264</v>
      </c>
      <c r="B198" t="s">
        <v>367</v>
      </c>
      <c r="C198" t="s">
        <v>2751</v>
      </c>
      <c r="D198" s="423">
        <v>450</v>
      </c>
      <c r="E198" t="s">
        <v>2918</v>
      </c>
    </row>
    <row r="199" spans="1:5">
      <c r="A199" t="s">
        <v>2919</v>
      </c>
      <c r="B199" t="s">
        <v>367</v>
      </c>
      <c r="C199" t="s">
        <v>2920</v>
      </c>
      <c r="D199" s="423">
        <v>450</v>
      </c>
      <c r="E199" t="s">
        <v>646</v>
      </c>
    </row>
    <row r="200" spans="1:5">
      <c r="A200" t="s">
        <v>2921</v>
      </c>
      <c r="B200" t="s">
        <v>367</v>
      </c>
      <c r="C200" t="s">
        <v>2335</v>
      </c>
      <c r="D200" s="423">
        <v>140</v>
      </c>
      <c r="E200" t="s">
        <v>2922</v>
      </c>
    </row>
    <row r="201" spans="1:5">
      <c r="A201" t="s">
        <v>2923</v>
      </c>
      <c r="B201" t="s">
        <v>367</v>
      </c>
      <c r="C201" t="s">
        <v>2924</v>
      </c>
      <c r="D201" s="423">
        <v>200</v>
      </c>
      <c r="E201" t="s">
        <v>2922</v>
      </c>
    </row>
    <row r="202" spans="1:5">
      <c r="A202" t="s">
        <v>2925</v>
      </c>
      <c r="B202" t="s">
        <v>367</v>
      </c>
      <c r="C202" t="s">
        <v>2335</v>
      </c>
      <c r="D202" s="423">
        <v>150</v>
      </c>
      <c r="E202" t="s">
        <v>2922</v>
      </c>
    </row>
    <row r="203" spans="1:5">
      <c r="A203" t="s">
        <v>2926</v>
      </c>
      <c r="B203" t="s">
        <v>367</v>
      </c>
      <c r="C203" t="s">
        <v>2927</v>
      </c>
      <c r="D203" s="423">
        <v>198</v>
      </c>
      <c r="E203" t="s">
        <v>452</v>
      </c>
    </row>
    <row r="204" spans="1:5">
      <c r="A204" t="s">
        <v>1552</v>
      </c>
      <c r="B204" t="s">
        <v>367</v>
      </c>
      <c r="C204" t="s">
        <v>2335</v>
      </c>
      <c r="D204" s="423">
        <v>299</v>
      </c>
      <c r="E204" t="s">
        <v>2928</v>
      </c>
    </row>
    <row r="205" spans="1:5">
      <c r="A205" t="s">
        <v>1554</v>
      </c>
      <c r="B205" t="s">
        <v>367</v>
      </c>
      <c r="C205" t="s">
        <v>2335</v>
      </c>
      <c r="D205" s="423">
        <v>109</v>
      </c>
      <c r="E205" t="s">
        <v>2928</v>
      </c>
    </row>
    <row r="206" spans="1:5">
      <c r="A206" t="s">
        <v>1555</v>
      </c>
      <c r="B206" t="s">
        <v>367</v>
      </c>
      <c r="C206" t="s">
        <v>2335</v>
      </c>
      <c r="D206" s="423">
        <v>199</v>
      </c>
      <c r="E206" t="s">
        <v>2928</v>
      </c>
    </row>
    <row r="207" spans="1:5">
      <c r="A207" t="s">
        <v>2929</v>
      </c>
      <c r="B207" t="s">
        <v>367</v>
      </c>
      <c r="C207" t="s">
        <v>2335</v>
      </c>
      <c r="D207" s="423">
        <v>299</v>
      </c>
      <c r="E207" t="s">
        <v>2930</v>
      </c>
    </row>
    <row r="208" spans="1:5">
      <c r="A208" t="s">
        <v>2931</v>
      </c>
      <c r="B208" t="s">
        <v>367</v>
      </c>
      <c r="C208" t="s">
        <v>2335</v>
      </c>
      <c r="D208" s="423">
        <v>290</v>
      </c>
      <c r="E208" t="s">
        <v>2932</v>
      </c>
    </row>
    <row r="209" spans="1:5">
      <c r="A209" t="s">
        <v>2933</v>
      </c>
      <c r="B209" t="s">
        <v>367</v>
      </c>
      <c r="C209" t="s">
        <v>2934</v>
      </c>
      <c r="D209" s="423">
        <v>1090</v>
      </c>
      <c r="E209" t="s">
        <v>663</v>
      </c>
    </row>
    <row r="210" spans="1:5">
      <c r="A210" t="s">
        <v>2935</v>
      </c>
      <c r="B210" t="s">
        <v>367</v>
      </c>
      <c r="C210" t="s">
        <v>651</v>
      </c>
      <c r="D210" s="423">
        <v>572</v>
      </c>
      <c r="E210" t="s">
        <v>664</v>
      </c>
    </row>
    <row r="211" spans="1:5">
      <c r="A211" t="s">
        <v>2936</v>
      </c>
      <c r="B211" t="s">
        <v>367</v>
      </c>
      <c r="C211" t="s">
        <v>2937</v>
      </c>
      <c r="D211" s="423">
        <v>150</v>
      </c>
      <c r="E211" t="s">
        <v>664</v>
      </c>
    </row>
    <row r="212" spans="1:5">
      <c r="A212" t="s">
        <v>2938</v>
      </c>
      <c r="B212" t="s">
        <v>367</v>
      </c>
      <c r="C212" t="s">
        <v>2939</v>
      </c>
      <c r="D212" s="423">
        <v>200</v>
      </c>
      <c r="E212" t="s">
        <v>537</v>
      </c>
    </row>
    <row r="213" spans="1:5">
      <c r="A213" t="s">
        <v>2940</v>
      </c>
      <c r="B213" t="s">
        <v>367</v>
      </c>
      <c r="C213" t="s">
        <v>2941</v>
      </c>
      <c r="D213" s="423">
        <v>160</v>
      </c>
      <c r="E213" t="s">
        <v>537</v>
      </c>
    </row>
  </sheetData>
  <mergeCells count="6">
    <mergeCell ref="A143:E143"/>
    <mergeCell ref="A139:E139"/>
    <mergeCell ref="A1:E1"/>
    <mergeCell ref="A84:E84"/>
    <mergeCell ref="A126:E126"/>
    <mergeCell ref="A3:E3"/>
  </mergeCells>
  <hyperlinks>
    <hyperlink ref="F1" location="'สารบัญ'!A1" display="🏠 สารบัญ" xr:uid="{2EA04C54-C8FF-42B2-9D8A-C352FBD0384E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B9BD5"/>
  </sheetPr>
  <dimension ref="A1:H63"/>
  <sheetViews>
    <sheetView workbookViewId="0">
      <selection sqref="A1:E1"/>
    </sheetView>
  </sheetViews>
  <sheetFormatPr defaultRowHeight="14.4"/>
  <cols>
    <col min="1" max="1" width="24" customWidth="1"/>
    <col min="2" max="2" width="12.6640625" customWidth="1"/>
    <col min="3" max="3" width="42.6640625" customWidth="1"/>
    <col min="4" max="5" width="12" customWidth="1"/>
    <col min="6" max="6" width="2" customWidth="1"/>
    <col min="7" max="7" width="24" customWidth="1"/>
    <col min="8" max="8" width="11" customWidth="1"/>
  </cols>
  <sheetData>
    <row r="1" spans="1:8">
      <c r="A1" s="687" t="s">
        <v>2340</v>
      </c>
      <c r="B1" s="650"/>
      <c r="C1" s="650"/>
      <c r="D1" s="650"/>
      <c r="E1" s="650"/>
      <c r="G1" s="375" t="s">
        <v>68</v>
      </c>
    </row>
    <row r="2" spans="1:8">
      <c r="A2" s="689" t="s">
        <v>2341</v>
      </c>
      <c r="B2" s="690"/>
      <c r="G2" s="689" t="s">
        <v>2342</v>
      </c>
      <c r="H2" s="690"/>
    </row>
    <row r="3" spans="1:8">
      <c r="A3" s="126" t="s">
        <v>2343</v>
      </c>
      <c r="B3" s="620"/>
      <c r="G3" s="126" t="s">
        <v>2344</v>
      </c>
      <c r="H3" s="620">
        <v>975</v>
      </c>
    </row>
    <row r="4" spans="1:8">
      <c r="A4" s="126" t="s">
        <v>2345</v>
      </c>
      <c r="B4" s="620"/>
      <c r="G4" s="126" t="s">
        <v>2346</v>
      </c>
      <c r="H4" s="620">
        <v>875</v>
      </c>
    </row>
    <row r="5" spans="1:8">
      <c r="A5" s="126" t="s">
        <v>2347</v>
      </c>
      <c r="B5" s="573">
        <v>2</v>
      </c>
      <c r="G5" s="126" t="s">
        <v>2348</v>
      </c>
      <c r="H5" s="620">
        <v>1500</v>
      </c>
    </row>
    <row r="6" spans="1:8">
      <c r="A6" s="126" t="s">
        <v>2349</v>
      </c>
      <c r="B6" s="636">
        <f>IFERROR(ROUND((B3/B5)*B4/10000,2),"")</f>
        <v>0</v>
      </c>
      <c r="C6" t="s">
        <v>3192</v>
      </c>
      <c r="G6" s="126" t="s">
        <v>2350</v>
      </c>
      <c r="H6" s="620">
        <v>1015</v>
      </c>
    </row>
    <row r="7" spans="1:8">
      <c r="A7" s="126" t="s">
        <v>2002</v>
      </c>
      <c r="B7" s="620"/>
      <c r="C7" s="390" t="str">
        <f>IF(B7="","⚠ ยังไม่เลือกสี — ระบบจะคิดราคาสีชุบให้","")</f>
        <v>⚠ ยังไม่เลือกสี — ระบบจะคิดราคาสีชุบให้</v>
      </c>
      <c r="G7" s="126" t="s">
        <v>2351</v>
      </c>
      <c r="H7" s="620">
        <v>80</v>
      </c>
    </row>
    <row r="8" spans="1:8">
      <c r="A8" s="126" t="s">
        <v>2352</v>
      </c>
      <c r="B8" s="620"/>
      <c r="C8" s="390" t="str">
        <f>IF(B8="","⚠ ยังไม่เลือกแบบ — บานพับ/ชุดล้อ/รางยู/ค่ากรีดราง จะไม่ถูกคิด","")</f>
        <v>⚠ ยังไม่เลือกแบบ — บานพับ/ชุดล้อ/รางยู/ค่ากรีดราง จะไม่ถูกคิด</v>
      </c>
      <c r="G8" s="126" t="s">
        <v>2353</v>
      </c>
      <c r="H8" s="620">
        <v>12</v>
      </c>
    </row>
    <row r="9" spans="1:8">
      <c r="A9" s="126" t="s">
        <v>2354</v>
      </c>
      <c r="B9" s="325">
        <f>IFERROR(ROUND(2*(B3/B5)/100,2),"")</f>
        <v>0</v>
      </c>
      <c r="G9" s="126" t="s">
        <v>2355</v>
      </c>
      <c r="H9" s="620">
        <v>100</v>
      </c>
    </row>
    <row r="10" spans="1:8">
      <c r="A10" s="126" t="s">
        <v>2356</v>
      </c>
      <c r="B10" s="387">
        <f>$B$44</f>
        <v>141</v>
      </c>
      <c r="C10" t="s">
        <v>2702</v>
      </c>
      <c r="G10" s="126" t="s">
        <v>2357</v>
      </c>
      <c r="H10" s="620">
        <v>180</v>
      </c>
    </row>
    <row r="11" spans="1:8">
      <c r="A11" s="126" t="s">
        <v>2358</v>
      </c>
      <c r="B11" s="325" t="str">
        <f>IF(B6&gt;2.8,"⚠ เกิน 2.8 ตร.ม.","OK ✓")</f>
        <v>OK ✓</v>
      </c>
      <c r="G11" s="126" t="s">
        <v>2359</v>
      </c>
      <c r="H11" s="620">
        <v>800</v>
      </c>
    </row>
    <row r="12" spans="1:8">
      <c r="A12" s="126" t="s">
        <v>2360</v>
      </c>
      <c r="B12" s="573" t="s">
        <v>784</v>
      </c>
      <c r="G12" s="126" t="s">
        <v>2361</v>
      </c>
      <c r="H12" s="326">
        <f>IFERROR(INDEX(ราคากระจก!$B$3:$B$206,MATCH(B12,ราคากระจก!$A$3:$A$206,0)),"")</f>
        <v>205</v>
      </c>
    </row>
    <row r="13" spans="1:8">
      <c r="A13" s="689" t="s">
        <v>2362</v>
      </c>
      <c r="B13" s="691"/>
      <c r="C13" s="691"/>
      <c r="D13" s="691"/>
      <c r="E13" s="690"/>
      <c r="G13" s="126" t="s">
        <v>2363</v>
      </c>
      <c r="H13" s="620">
        <v>0.5</v>
      </c>
    </row>
    <row r="14" spans="1:8">
      <c r="A14" s="327" t="s">
        <v>606</v>
      </c>
      <c r="B14" s="574" t="s">
        <v>471</v>
      </c>
      <c r="C14" s="574" t="s">
        <v>1124</v>
      </c>
      <c r="D14" s="327" t="s">
        <v>1125</v>
      </c>
      <c r="E14" s="327" t="s">
        <v>2364</v>
      </c>
      <c r="G14" s="126" t="s">
        <v>631</v>
      </c>
      <c r="H14" s="620">
        <v>87.5</v>
      </c>
    </row>
    <row r="15" spans="1:8">
      <c r="A15" s="323" t="s">
        <v>2365</v>
      </c>
      <c r="B15" s="575" t="s">
        <v>2366</v>
      </c>
      <c r="C15" s="321">
        <f>IFERROR(ROUND((2*(B3/B5)+B4)/600*B5,3),0)</f>
        <v>0</v>
      </c>
      <c r="D15" s="321">
        <f>IF(B7="อบขาว/ดำ",H3,H4)</f>
        <v>875</v>
      </c>
      <c r="E15" s="326">
        <f t="shared" ref="E15:E23" si="0">IF(OR(C15="",D15="",D15=0),"",ROUND(C15*D15,2))</f>
        <v>0</v>
      </c>
      <c r="G15" s="126" t="s">
        <v>2367</v>
      </c>
      <c r="H15" s="620">
        <v>7</v>
      </c>
    </row>
    <row r="16" spans="1:8">
      <c r="A16" s="323" t="s">
        <v>2368</v>
      </c>
      <c r="B16" s="575" t="s">
        <v>2366</v>
      </c>
      <c r="C16" s="321">
        <f>ROUND(B4/600*B5,3)</f>
        <v>0</v>
      </c>
      <c r="D16" s="321">
        <f>IF(B7="อบขาว/ดำ",H5,H6)</f>
        <v>1015</v>
      </c>
      <c r="E16" s="326">
        <f t="shared" si="0"/>
        <v>0</v>
      </c>
      <c r="G16" s="126" t="s">
        <v>2369</v>
      </c>
      <c r="H16" s="620">
        <v>5</v>
      </c>
    </row>
    <row r="17" spans="1:5">
      <c r="A17" s="323" t="s">
        <v>2370</v>
      </c>
      <c r="B17" s="328" t="s">
        <v>484</v>
      </c>
      <c r="C17" s="321">
        <f>IF(B8="บานเปิด",1,0)*B5</f>
        <v>0</v>
      </c>
      <c r="D17" s="321">
        <f>H7</f>
        <v>80</v>
      </c>
      <c r="E17" s="326">
        <f t="shared" si="0"/>
        <v>0</v>
      </c>
    </row>
    <row r="18" spans="1:5">
      <c r="A18" s="323" t="s">
        <v>2371</v>
      </c>
      <c r="B18" s="328" t="s">
        <v>2372</v>
      </c>
      <c r="C18" s="321">
        <f>4*B5</f>
        <v>8</v>
      </c>
      <c r="D18" s="321">
        <f>H8</f>
        <v>12</v>
      </c>
      <c r="E18" s="326">
        <f t="shared" si="0"/>
        <v>96</v>
      </c>
    </row>
    <row r="19" spans="1:5">
      <c r="A19" s="323" t="s">
        <v>2373</v>
      </c>
      <c r="B19" s="328" t="s">
        <v>481</v>
      </c>
      <c r="C19" s="321">
        <f>8*B5</f>
        <v>16</v>
      </c>
      <c r="D19" s="321">
        <f>H13</f>
        <v>0.5</v>
      </c>
      <c r="E19" s="326">
        <f t="shared" si="0"/>
        <v>8</v>
      </c>
    </row>
    <row r="20" spans="1:5">
      <c r="A20" s="323" t="s">
        <v>2374</v>
      </c>
      <c r="B20" s="328" t="s">
        <v>2375</v>
      </c>
      <c r="C20" s="321">
        <f>IF(B8="บานเลื่อน",1,0)*B5</f>
        <v>0</v>
      </c>
      <c r="D20" s="321">
        <f>H9</f>
        <v>100</v>
      </c>
      <c r="E20" s="326">
        <f t="shared" si="0"/>
        <v>0</v>
      </c>
    </row>
    <row r="21" spans="1:5">
      <c r="A21" s="323" t="s">
        <v>300</v>
      </c>
      <c r="B21" s="328" t="s">
        <v>2366</v>
      </c>
      <c r="C21" s="321">
        <f>IF(B8="บานเลื่อน",ROUND(B9/6,3),0)*B5</f>
        <v>0</v>
      </c>
      <c r="D21" s="321">
        <f>H10</f>
        <v>180</v>
      </c>
      <c r="E21" s="326">
        <f t="shared" si="0"/>
        <v>0</v>
      </c>
    </row>
    <row r="22" spans="1:5">
      <c r="A22" s="323" t="s">
        <v>2376</v>
      </c>
      <c r="B22" s="328" t="s">
        <v>1862</v>
      </c>
      <c r="C22" s="321">
        <f>IF(B8="บานเลื่อน",B9,0)*B5</f>
        <v>0</v>
      </c>
      <c r="D22" s="321">
        <f>H11</f>
        <v>800</v>
      </c>
      <c r="E22" s="326">
        <f t="shared" si="0"/>
        <v>0</v>
      </c>
    </row>
    <row r="23" spans="1:5">
      <c r="A23" s="323" t="s">
        <v>2377</v>
      </c>
      <c r="B23" s="328" t="s">
        <v>593</v>
      </c>
      <c r="C23" s="321">
        <f>IFERROR(ROUND(B6*B5,3),0)</f>
        <v>0</v>
      </c>
      <c r="D23" s="321">
        <f>H12</f>
        <v>205</v>
      </c>
      <c r="E23" s="326">
        <f t="shared" si="0"/>
        <v>0</v>
      </c>
    </row>
    <row r="24" spans="1:5">
      <c r="A24" s="329" t="s">
        <v>2378</v>
      </c>
      <c r="B24" s="16"/>
      <c r="C24" s="621"/>
      <c r="D24" s="621"/>
      <c r="E24" s="326">
        <f>SUM(E15:E23)</f>
        <v>104</v>
      </c>
    </row>
    <row r="25" spans="1:5">
      <c r="A25" s="329" t="s">
        <v>2379</v>
      </c>
      <c r="B25" s="16"/>
      <c r="C25" s="621"/>
      <c r="D25" s="621"/>
      <c r="E25" s="330">
        <f>IFERROR(E38+E39,0)</f>
        <v>1531</v>
      </c>
    </row>
    <row r="26" spans="1:5">
      <c r="A26" s="329" t="s">
        <v>2380</v>
      </c>
      <c r="B26" s="16"/>
      <c r="C26" s="621"/>
      <c r="D26" s="621"/>
      <c r="E26" s="330">
        <f>IFERROR(E24+E25,0)</f>
        <v>1635</v>
      </c>
    </row>
    <row r="27" spans="1:5">
      <c r="A27" s="329" t="s">
        <v>2364</v>
      </c>
      <c r="B27" s="16"/>
      <c r="C27" s="621"/>
      <c r="D27" s="621"/>
      <c r="E27" s="326">
        <f>IFERROR(ROUND(E26/B5,0),"")</f>
        <v>818</v>
      </c>
    </row>
    <row r="28" spans="1:5">
      <c r="A28" s="126" t="s">
        <v>1045</v>
      </c>
      <c r="E28" s="326" t="str">
        <f>IFERROR(ROUND(E27/B6,0),"")</f>
        <v/>
      </c>
    </row>
    <row r="29" spans="1:5">
      <c r="A29" s="126" t="s">
        <v>3193</v>
      </c>
      <c r="E29" s="330">
        <f>E41</f>
        <v>3300</v>
      </c>
    </row>
    <row r="30" spans="1:5">
      <c r="A30" s="126" t="s">
        <v>2181</v>
      </c>
      <c r="E30" s="330" t="str">
        <f>IFERROR(ROUND(E29/B6,0),"")</f>
        <v/>
      </c>
    </row>
    <row r="31" spans="1:5">
      <c r="A31" s="126" t="s">
        <v>2381</v>
      </c>
      <c r="E31" s="622"/>
    </row>
    <row r="33" spans="1:5">
      <c r="A33" s="21"/>
      <c r="E33" s="316"/>
    </row>
    <row r="34" spans="1:5">
      <c r="A34" s="21"/>
      <c r="E34" s="584"/>
    </row>
    <row r="35" spans="1:5">
      <c r="A35" s="21"/>
      <c r="E35" s="331"/>
    </row>
    <row r="37" spans="1:5" ht="18" customHeight="1">
      <c r="A37" s="329" t="s">
        <v>2382</v>
      </c>
    </row>
    <row r="38" spans="1:5" ht="18" customHeight="1">
      <c r="A38" s="329" t="s">
        <v>2383</v>
      </c>
      <c r="E38" s="330">
        <f>IFERROR(ROUND(VLOOKUP("บานตู้ Futuretech",ค่าแรง!$A$12:$N$117,2,0)+B6*B5*VLOOKUP("บานตู้ Futuretech",ค่าแรง!$A$12:$N$117,3,0),0),0)</f>
        <v>306</v>
      </c>
    </row>
    <row r="39" spans="1:5" ht="18" customHeight="1">
      <c r="A39" s="329" t="s">
        <v>2384</v>
      </c>
      <c r="E39" s="330">
        <f>IFERROR(ROUND(VLOOKUP("บานตู้ Futuretech",ค่าแรง!$A$12:$N$117,4,0)+B6*B5*VLOOKUP("บานตู้ Futuretech",ค่าแรง!$A$12:$N$117,5,0),0),0)</f>
        <v>1225</v>
      </c>
    </row>
    <row r="40" spans="1:5" ht="18" customHeight="1">
      <c r="A40" s="329" t="s">
        <v>2385</v>
      </c>
      <c r="E40" s="330">
        <f>ROUNDUP((IFERROR(ROUNDUP((ROUNDUP(E24*(1+B10/100)/B5/100,0)*100+ROUNDUP(E38*(1+B45/100)/B5/100,0)*100)*(1+$B$47/100)/100,0)*100,""))*1/100,0)*100</f>
        <v>800</v>
      </c>
    </row>
    <row r="41" spans="1:5" ht="18" customHeight="1">
      <c r="A41" s="329" t="s">
        <v>2386</v>
      </c>
      <c r="E41" s="330">
        <f>ROUNDUP((IFERROR(ROUNDUP((ROUNDUP(E24*(1+B10/100)/B5/100,0)*100+ROUNDUP(E38*(1+B45/100)/B5/100,0)*100+ROUNDUP(E39*(1+B46/100)/B5/100,0)*100)*(1+$B$47/100)/100,0)*100,""))*1/100,0)*100</f>
        <v>3300</v>
      </c>
    </row>
    <row r="43" spans="1:5">
      <c r="A43" s="329" t="s">
        <v>3148</v>
      </c>
    </row>
    <row r="44" spans="1:5">
      <c r="A44" s="329" t="s">
        <v>1179</v>
      </c>
      <c r="B44" s="576">
        <f>ROUND(($B$57*$B$58-1)*100,0)</f>
        <v>141</v>
      </c>
      <c r="C44" s="329" t="s">
        <v>3149</v>
      </c>
    </row>
    <row r="45" spans="1:5">
      <c r="A45" s="329" t="s">
        <v>1180</v>
      </c>
      <c r="B45" s="576">
        <f>ROUND(($C$57*$B$58-1)*100,0)</f>
        <v>141</v>
      </c>
      <c r="C45" s="329" t="s">
        <v>3149</v>
      </c>
    </row>
    <row r="46" spans="1:5">
      <c r="A46" s="329" t="s">
        <v>1181</v>
      </c>
      <c r="B46" s="576">
        <f>ROUND(($D$57*$B$58-1)*100,0)</f>
        <v>201</v>
      </c>
      <c r="C46" s="329" t="s">
        <v>3149</v>
      </c>
    </row>
    <row r="47" spans="1:5">
      <c r="A47" s="329" t="s">
        <v>3122</v>
      </c>
      <c r="B47" s="573">
        <v>30</v>
      </c>
      <c r="C47" s="329" t="s">
        <v>3150</v>
      </c>
    </row>
    <row r="48" spans="1:5">
      <c r="A48" s="613" t="s">
        <v>1138</v>
      </c>
      <c r="B48" s="614"/>
    </row>
    <row r="49" spans="1:6">
      <c r="A49" s="489" t="s">
        <v>3076</v>
      </c>
      <c r="B49" s="492">
        <f>SUM(E15,E16,E21)</f>
        <v>0</v>
      </c>
    </row>
    <row r="50" spans="1:6">
      <c r="A50" s="489" t="s">
        <v>1141</v>
      </c>
      <c r="B50" s="492">
        <f>SUM(E23)</f>
        <v>0</v>
      </c>
    </row>
    <row r="51" spans="1:6">
      <c r="A51" s="489" t="s">
        <v>3077</v>
      </c>
      <c r="B51" s="492">
        <f>SUM(E17,E18,E19,E20,E22)</f>
        <v>104</v>
      </c>
    </row>
    <row r="52" spans="1:6">
      <c r="A52" s="491" t="s">
        <v>1144</v>
      </c>
      <c r="B52" s="493">
        <f>SUM(B49:B51)</f>
        <v>104</v>
      </c>
    </row>
    <row r="53" spans="1:6">
      <c r="A53" s="488" t="s">
        <v>3067</v>
      </c>
    </row>
    <row r="55" spans="1:6">
      <c r="A55" s="533" t="s">
        <v>3151</v>
      </c>
      <c r="B55" s="535"/>
      <c r="C55" s="533"/>
    </row>
    <row r="56" spans="1:6">
      <c r="A56" t="s">
        <v>3144</v>
      </c>
      <c r="B56" s="541">
        <v>50</v>
      </c>
      <c r="C56" t="s">
        <v>3152</v>
      </c>
    </row>
    <row r="57" spans="1:6">
      <c r="A57" t="s">
        <v>3153</v>
      </c>
      <c r="B57" s="542">
        <v>1.5389999999999999</v>
      </c>
      <c r="C57" s="542">
        <v>1.5389999999999999</v>
      </c>
      <c r="D57" s="542">
        <v>1.9239999999999999</v>
      </c>
      <c r="E57" s="542" t="s">
        <v>3154</v>
      </c>
      <c r="F57" s="542"/>
    </row>
    <row r="58" spans="1:6">
      <c r="A58" t="s">
        <v>3155</v>
      </c>
      <c r="B58" s="542">
        <f>IFERROR((((E24)+(E38)+(E39))/(100/(100+B47)-B56/100))/(((E24)*$B$57+(E38)*$C$57+(E39)*$D$57)*(1+B47/100)),1)</f>
        <v>1.5634539997886703</v>
      </c>
      <c r="C58" t="s">
        <v>3156</v>
      </c>
    </row>
    <row r="60" spans="1:6">
      <c r="A60" s="533" t="s">
        <v>3126</v>
      </c>
      <c r="B60" s="535"/>
      <c r="C60" s="533"/>
    </row>
    <row r="61" spans="1:6">
      <c r="A61" s="533" t="s">
        <v>3127</v>
      </c>
      <c r="B61" s="534">
        <f>IFERROR(ROUND(E41-E41/(1+B47/100),0),0)</f>
        <v>762</v>
      </c>
      <c r="C61" s="533" t="s">
        <v>3128</v>
      </c>
    </row>
    <row r="62" spans="1:6">
      <c r="A62" s="533" t="s">
        <v>3129</v>
      </c>
      <c r="B62" s="534">
        <f>(E24+E38+E39)/B5+B61</f>
        <v>1579.5</v>
      </c>
      <c r="C62" s="533" t="s">
        <v>3130</v>
      </c>
    </row>
    <row r="63" spans="1:6">
      <c r="A63" s="536" t="s">
        <v>3131</v>
      </c>
      <c r="B63" s="537">
        <f>IFERROR((E41-B62)/E41,"")</f>
        <v>0.52136363636363636</v>
      </c>
      <c r="C63" s="536" t="s">
        <v>3157</v>
      </c>
    </row>
  </sheetData>
  <sheetProtection sheet="1" objects="1" scenarios="1"/>
  <mergeCells count="4">
    <mergeCell ref="G2:H2"/>
    <mergeCell ref="A1:E1"/>
    <mergeCell ref="A2:B2"/>
    <mergeCell ref="A13:E13"/>
  </mergeCells>
  <dataValidations count="3">
    <dataValidation type="list" allowBlank="1" sqref="B7" xr:uid="{00000000-0002-0000-4100-000000000000}">
      <formula1>"อบขาว/ดำ,สีชุบ"</formula1>
    </dataValidation>
    <dataValidation type="list" allowBlank="1" sqref="B8" xr:uid="{00000000-0002-0000-4100-000001000000}">
      <formula1>"บานเปิด,บานเลื่อน"</formula1>
    </dataValidation>
    <dataValidation type="list" allowBlank="1" sqref="B12" xr:uid="{00000000-0002-0000-4100-000002000000}">
      <formula1>"ใส 5มม.,เขียว 5มม.,ชาดำ 5มม.,ชาดา 5มม.,กระจกชา/ฝ้า/ลายผ้า 5-6มม.,กระจกเงา 5มม.,ยูโรเกรย์ 5มม.,ยูโรบรอนซ์ 5มม.,กระจกลอนแก้ว 5มม.,เทมเปอร์ยูโรเกรย์ 5มม.,เทมเปอร์ยูโรบรอนซ์ 5มม."</formula1>
    </dataValidation>
  </dataValidations>
  <hyperlinks>
    <hyperlink ref="G1" location="'สารบัญ'!A1" display="🏠 สารบัญ" xr:uid="{00000000-0004-0000-4100-000000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5B9BD5"/>
  </sheetPr>
  <dimension ref="A1:H63"/>
  <sheetViews>
    <sheetView workbookViewId="0">
      <selection sqref="A1:E1"/>
    </sheetView>
  </sheetViews>
  <sheetFormatPr defaultRowHeight="14.4"/>
  <cols>
    <col min="1" max="1" width="26" customWidth="1"/>
    <col min="2" max="2" width="12.6640625" customWidth="1"/>
    <col min="3" max="3" width="42.6640625" customWidth="1"/>
    <col min="4" max="5" width="12" customWidth="1"/>
    <col min="6" max="6" width="2" customWidth="1"/>
    <col min="7" max="7" width="28" customWidth="1"/>
    <col min="8" max="8" width="11" customWidth="1"/>
  </cols>
  <sheetData>
    <row r="1" spans="1:8">
      <c r="A1" s="687" t="s">
        <v>2387</v>
      </c>
      <c r="B1" s="650"/>
      <c r="C1" s="650"/>
      <c r="D1" s="650"/>
      <c r="E1" s="650"/>
      <c r="G1" s="375" t="s">
        <v>68</v>
      </c>
    </row>
    <row r="2" spans="1:8">
      <c r="A2" s="689" t="s">
        <v>2388</v>
      </c>
      <c r="B2" s="690"/>
      <c r="G2" s="689" t="s">
        <v>2389</v>
      </c>
      <c r="H2" s="690"/>
    </row>
    <row r="3" spans="1:8">
      <c r="A3" s="126" t="s">
        <v>2390</v>
      </c>
      <c r="B3" s="620"/>
      <c r="G3" s="126" t="s">
        <v>2391</v>
      </c>
      <c r="H3" s="332">
        <f>ชีทอุปกรณ์!$D$9</f>
        <v>200</v>
      </c>
    </row>
    <row r="4" spans="1:8">
      <c r="A4" s="126" t="s">
        <v>2392</v>
      </c>
      <c r="B4" s="620"/>
      <c r="G4" s="126" t="s">
        <v>2393</v>
      </c>
      <c r="H4" s="332">
        <f>ชีทอุปกรณ์!$D$156</f>
        <v>430</v>
      </c>
    </row>
    <row r="5" spans="1:8">
      <c r="A5" s="126" t="s">
        <v>2394</v>
      </c>
      <c r="B5" s="620"/>
      <c r="G5" s="126" t="s">
        <v>2395</v>
      </c>
      <c r="H5" s="332">
        <f>ชีทอุปกรณ์!$D$157</f>
        <v>175</v>
      </c>
    </row>
    <row r="6" spans="1:8">
      <c r="A6" s="126" t="s">
        <v>2396</v>
      </c>
      <c r="B6" s="620"/>
      <c r="G6" s="126" t="s">
        <v>2397</v>
      </c>
      <c r="H6" s="332">
        <f>ชีทอุปกรณ์!$D$8</f>
        <v>1450</v>
      </c>
    </row>
    <row r="7" spans="1:8">
      <c r="A7" s="126" t="s">
        <v>2398</v>
      </c>
      <c r="B7" s="620"/>
      <c r="G7" s="126" t="s">
        <v>2399</v>
      </c>
      <c r="H7" s="332">
        <f>ชีทอุปกรณ์!$D$158</f>
        <v>150</v>
      </c>
    </row>
    <row r="8" spans="1:8">
      <c r="A8" s="126" t="s">
        <v>2400</v>
      </c>
      <c r="B8" s="325">
        <f>ROUND((B4*B5+B6*B7)/10000,2)</f>
        <v>0</v>
      </c>
      <c r="G8" s="126" t="s">
        <v>2401</v>
      </c>
      <c r="H8" s="332">
        <f>ชีทอุปกรณ์!$D$159</f>
        <v>3500</v>
      </c>
    </row>
    <row r="9" spans="1:8">
      <c r="A9" s="126" t="s">
        <v>2375</v>
      </c>
      <c r="B9" s="573" t="s">
        <v>686</v>
      </c>
      <c r="C9" s="390" t="str">
        <f>IF(B9="","⚠ ยังไม่เลือกชุด — ทุนวัสดุจะเป็น 0 ทั้งก้อน","")</f>
        <v/>
      </c>
      <c r="G9" s="126" t="s">
        <v>2402</v>
      </c>
      <c r="H9" s="332">
        <f>ชีทอุปกรณ์!$D$111</f>
        <v>1573</v>
      </c>
    </row>
    <row r="10" spans="1:8">
      <c r="A10" s="126" t="s">
        <v>2352</v>
      </c>
      <c r="B10" s="573" t="s">
        <v>2403</v>
      </c>
      <c r="G10" s="126" t="s">
        <v>2404</v>
      </c>
      <c r="H10" s="332">
        <f>ชีทอุปกรณ์!$D$160</f>
        <v>200</v>
      </c>
    </row>
    <row r="11" spans="1:8">
      <c r="A11" s="126" t="s">
        <v>2405</v>
      </c>
      <c r="B11" s="573" t="s">
        <v>1254</v>
      </c>
      <c r="C11" s="390" t="str">
        <f>IF(B11="","⚠ ยังไม่เลือกราวกลมด้านบน — ราคาจะขาด","")</f>
        <v/>
      </c>
      <c r="G11" s="126" t="s">
        <v>2406</v>
      </c>
      <c r="H11" s="332">
        <f>ชีทอุปกรณ์!$D$161</f>
        <v>230</v>
      </c>
    </row>
    <row r="12" spans="1:8">
      <c r="A12" s="126" t="s">
        <v>2407</v>
      </c>
      <c r="B12" s="573" t="s">
        <v>744</v>
      </c>
      <c r="G12" s="126" t="s">
        <v>2408</v>
      </c>
      <c r="H12" s="326">
        <f>IFERROR(INDEX(ราคากระจก!$B$3:$B$206,MATCH(B12,ราคากระจก!$A$3:$A$206,0)),"")</f>
        <v>695</v>
      </c>
    </row>
    <row r="13" spans="1:8">
      <c r="A13" s="333" t="s">
        <v>2409</v>
      </c>
      <c r="B13" s="575" t="s">
        <v>1046</v>
      </c>
      <c r="C13" s="311"/>
      <c r="D13" s="311"/>
      <c r="E13" s="311"/>
      <c r="G13" s="126" t="s">
        <v>631</v>
      </c>
      <c r="H13" s="623">
        <v>87.5</v>
      </c>
    </row>
    <row r="14" spans="1:8">
      <c r="A14" s="324" t="s">
        <v>2356</v>
      </c>
      <c r="B14" s="387">
        <f>$B$44</f>
        <v>85</v>
      </c>
      <c r="C14" t="s">
        <v>2702</v>
      </c>
      <c r="G14" s="126" t="s">
        <v>2410</v>
      </c>
      <c r="H14" s="623">
        <v>0</v>
      </c>
    </row>
    <row r="15" spans="1:8">
      <c r="A15" s="324"/>
      <c r="G15" s="126" t="s">
        <v>2411</v>
      </c>
      <c r="H15" s="326">
        <f>IF(B10="บานตาย",5,6)</f>
        <v>5</v>
      </c>
    </row>
    <row r="16" spans="1:8">
      <c r="A16" s="689" t="s">
        <v>2412</v>
      </c>
      <c r="B16" s="691"/>
      <c r="C16" s="691"/>
      <c r="D16" s="691"/>
      <c r="E16" s="690"/>
    </row>
    <row r="17" spans="1:7">
      <c r="A17" s="327" t="s">
        <v>606</v>
      </c>
      <c r="B17" s="327" t="s">
        <v>471</v>
      </c>
      <c r="C17" s="327" t="s">
        <v>1124</v>
      </c>
      <c r="D17" s="327" t="s">
        <v>1125</v>
      </c>
      <c r="E17" s="327" t="s">
        <v>1873</v>
      </c>
      <c r="G17" s="257" t="s">
        <v>2413</v>
      </c>
    </row>
    <row r="18" spans="1:7">
      <c r="A18" s="323" t="s">
        <v>2414</v>
      </c>
      <c r="B18" s="328" t="s">
        <v>593</v>
      </c>
      <c r="C18" s="321">
        <f>B8</f>
        <v>0</v>
      </c>
      <c r="D18" s="321">
        <f>H12</f>
        <v>695</v>
      </c>
      <c r="E18" s="326">
        <f t="shared" ref="E18:E26" si="0">IF(OR(C18="",D18="",D18=0),"",ROUND(C18*D18,2))</f>
        <v>0</v>
      </c>
    </row>
    <row r="19" spans="1:7">
      <c r="A19" s="323" t="s">
        <v>2415</v>
      </c>
      <c r="B19" s="328" t="s">
        <v>481</v>
      </c>
      <c r="C19" s="321">
        <f>IF(B9="สแตนเลส",4,0)</f>
        <v>4</v>
      </c>
      <c r="D19" s="321">
        <f t="shared" ref="D19:D25" si="1">H3</f>
        <v>200</v>
      </c>
      <c r="E19" s="326">
        <f t="shared" si="0"/>
        <v>800</v>
      </c>
    </row>
    <row r="20" spans="1:7">
      <c r="A20" s="323" t="s">
        <v>2416</v>
      </c>
      <c r="B20" s="328" t="s">
        <v>2366</v>
      </c>
      <c r="C20" s="321">
        <f>IF(AND(B9="สแตนเลส",B11="มี",B10&lt;&gt;"บานตาย+บานเลื่อน"),ROUND(B3/600,3),0)</f>
        <v>0</v>
      </c>
      <c r="D20" s="321">
        <f t="shared" si="1"/>
        <v>430</v>
      </c>
      <c r="E20" s="326">
        <f t="shared" si="0"/>
        <v>0</v>
      </c>
    </row>
    <row r="21" spans="1:7">
      <c r="A21" s="323" t="s">
        <v>2417</v>
      </c>
      <c r="B21" s="328" t="s">
        <v>481</v>
      </c>
      <c r="C21" s="321">
        <f>IF(AND(B9="สแตนเลส",B11="มี",B10&lt;&gt;"บานตาย+บานเลื่อน"),2,0)</f>
        <v>2</v>
      </c>
      <c r="D21" s="321">
        <f t="shared" si="1"/>
        <v>175</v>
      </c>
      <c r="E21" s="326">
        <f t="shared" si="0"/>
        <v>350</v>
      </c>
    </row>
    <row r="22" spans="1:7">
      <c r="A22" s="323" t="s">
        <v>2418</v>
      </c>
      <c r="B22" s="328" t="s">
        <v>481</v>
      </c>
      <c r="C22" s="321">
        <f>IF(AND(B9="สแตนเลส",B10="บานตาย+บานเปิด"),2,0)</f>
        <v>0</v>
      </c>
      <c r="D22" s="321">
        <f t="shared" si="1"/>
        <v>1450</v>
      </c>
      <c r="E22" s="326">
        <f t="shared" si="0"/>
        <v>0</v>
      </c>
    </row>
    <row r="23" spans="1:7">
      <c r="A23" s="323" t="s">
        <v>2419</v>
      </c>
      <c r="B23" s="328" t="s">
        <v>477</v>
      </c>
      <c r="C23" s="321">
        <f>IF(AND(B9="สแตนเลส",B10="บานตาย+บานเปิด"),1,0)</f>
        <v>0</v>
      </c>
      <c r="D23" s="321">
        <f t="shared" si="1"/>
        <v>150</v>
      </c>
      <c r="E23" s="326">
        <f t="shared" si="0"/>
        <v>0</v>
      </c>
    </row>
    <row r="24" spans="1:7">
      <c r="A24" s="323" t="s">
        <v>2420</v>
      </c>
      <c r="B24" s="328" t="s">
        <v>2366</v>
      </c>
      <c r="C24" s="321">
        <f>IF(AND(B9="สแตนเลส",B10="บานตาย+บานเลื่อน"),ROUND(B3/600,3),0)</f>
        <v>0</v>
      </c>
      <c r="D24" s="321">
        <f t="shared" si="1"/>
        <v>3500</v>
      </c>
      <c r="E24" s="326">
        <f t="shared" si="0"/>
        <v>0</v>
      </c>
    </row>
    <row r="25" spans="1:7">
      <c r="A25" s="323" t="s">
        <v>2421</v>
      </c>
      <c r="B25" s="328" t="s">
        <v>481</v>
      </c>
      <c r="C25" s="321">
        <f>IF(OR(B10="บานตาย+บานเปิด",B10="บานตาย+บานเลื่อน"),1,0)</f>
        <v>0</v>
      </c>
      <c r="D25" s="321">
        <f t="shared" si="1"/>
        <v>1573</v>
      </c>
      <c r="E25" s="326">
        <f t="shared" si="0"/>
        <v>0</v>
      </c>
    </row>
    <row r="26" spans="1:7">
      <c r="A26" s="323" t="s">
        <v>2422</v>
      </c>
      <c r="B26" s="328" t="s">
        <v>2366</v>
      </c>
      <c r="C26" s="321">
        <f>IF(B9="อลูมิเนียม",ROUND((2*(B4+B5)+2*(B6+B7))/600,3),0)</f>
        <v>0</v>
      </c>
      <c r="D26" s="321">
        <f>IF(B13="อบขาว/ดำ",H10,H11)</f>
        <v>200</v>
      </c>
      <c r="E26" s="326">
        <f t="shared" si="0"/>
        <v>0</v>
      </c>
    </row>
    <row r="27" spans="1:7">
      <c r="A27" s="329" t="s">
        <v>2138</v>
      </c>
      <c r="B27" s="16"/>
      <c r="C27" s="621"/>
      <c r="D27" s="621"/>
      <c r="E27" s="326">
        <f>SUM(E18:E26)</f>
        <v>1150</v>
      </c>
    </row>
    <row r="28" spans="1:7">
      <c r="A28" s="126" t="s">
        <v>2423</v>
      </c>
      <c r="E28" s="330">
        <f>E38+E39</f>
        <v>1225</v>
      </c>
    </row>
    <row r="29" spans="1:7">
      <c r="A29" s="126" t="s">
        <v>2424</v>
      </c>
      <c r="E29" s="330">
        <f>E27+E28</f>
        <v>2375</v>
      </c>
    </row>
    <row r="30" spans="1:7">
      <c r="A30" s="126" t="s">
        <v>1045</v>
      </c>
      <c r="E30" s="326" t="str">
        <f>IFERROR(ROUND(E29/B8,0),"")</f>
        <v/>
      </c>
    </row>
    <row r="31" spans="1:7">
      <c r="A31" s="126" t="s">
        <v>2425</v>
      </c>
      <c r="E31" s="330">
        <f>E41</f>
        <v>15000</v>
      </c>
    </row>
    <row r="32" spans="1:7">
      <c r="A32" s="126" t="s">
        <v>2181</v>
      </c>
      <c r="E32" s="330" t="str">
        <f>IFERROR(ROUND(E31/B8,0),"")</f>
        <v/>
      </c>
    </row>
    <row r="33" spans="1:6">
      <c r="A33" s="126" t="s">
        <v>2381</v>
      </c>
      <c r="E33" s="623"/>
    </row>
    <row r="35" spans="1:6">
      <c r="A35" s="21"/>
      <c r="E35" s="310"/>
    </row>
    <row r="37" spans="1:6" ht="18" customHeight="1">
      <c r="A37" s="126" t="s">
        <v>2382</v>
      </c>
    </row>
    <row r="38" spans="1:6" ht="18" customHeight="1">
      <c r="A38" s="126" t="s">
        <v>711</v>
      </c>
      <c r="E38" s="330">
        <f>ROUND(VLOOKUP("ชุด Shower",ค่าแรง!$A$12:$N$117,2,0)+VLOOKUP("ชุด Shower",ค่าแรง!$A$12:$N$117,3,0)*B8,0)</f>
        <v>0</v>
      </c>
    </row>
    <row r="39" spans="1:6" ht="18" customHeight="1">
      <c r="A39" s="126" t="s">
        <v>647</v>
      </c>
      <c r="E39" s="330">
        <f>ROUND(VLOOKUP("ชุด Shower",ค่าแรง!$A$12:$N$117,4,0)+IF(B10="บานตาย",0,1)*VLOOKUP("ชุด Shower",ค่าแรง!$A$12:$N$117,9,0)+VLOOKUP("ชุด Shower",ค่าแรง!$A$12:$N$117,5,0)*B8,0)</f>
        <v>1225</v>
      </c>
    </row>
    <row r="40" spans="1:6" ht="18" customHeight="1">
      <c r="A40" s="126" t="s">
        <v>1160</v>
      </c>
      <c r="E40" s="330">
        <f>ROUNDUP((IFERROR(ROUNDUP((ROUNDUP(E27*(1+B14/100)/100,0)*100+ROUNDUP(E38*(1+B45/100)/100,0)*100)*(1+$B$47/100)/100,0)*100,""))*1/100,0)*100</f>
        <v>2900</v>
      </c>
    </row>
    <row r="41" spans="1:6" ht="18" customHeight="1">
      <c r="A41" s="126" t="s">
        <v>1161</v>
      </c>
      <c r="E41" s="330">
        <f>MAX($B$54,ROUNDUP((IFERROR(ROUNDUP((ROUNDUP(E27*(1+B14/100)/100,0)*100+ROUNDUP(E38*(1+B45/100)/100,0)*100+ROUNDUP(E39*(1+B46/100)/100,0)*100)*(1+$B$47/100)/100,0)*100,""))*1/100,0)*100)</f>
        <v>15000</v>
      </c>
      <c r="F41" s="390" t="str">
        <f>IF(E41&lt;=$B$54,"⚠ ราคาถูกดันด้วยขั้นต่ำ "&amp;TEXT($B$54,"#,##0")&amp;" — ★ %กำไร จะสูงกว่าเป้า","")</f>
        <v>⚠ ราคาถูกดันด้วยขั้นต่ำ 15,000 — ★ %กำไร จะสูงกว่าเป้า</v>
      </c>
    </row>
    <row r="43" spans="1:6">
      <c r="A43" s="126" t="s">
        <v>3148</v>
      </c>
    </row>
    <row r="44" spans="1:6">
      <c r="A44" s="126" t="s">
        <v>1179</v>
      </c>
      <c r="B44" s="576">
        <f>ROUND(($B$57*$B$58-1)*100,0)</f>
        <v>85</v>
      </c>
      <c r="C44" s="126" t="s">
        <v>3149</v>
      </c>
    </row>
    <row r="45" spans="1:6">
      <c r="A45" s="126" t="s">
        <v>1180</v>
      </c>
      <c r="B45" s="576">
        <f>ROUND(($C$57*$B$58-1)*100,0)</f>
        <v>85</v>
      </c>
      <c r="C45" s="126" t="s">
        <v>3149</v>
      </c>
    </row>
    <row r="46" spans="1:6">
      <c r="A46" s="126" t="s">
        <v>1181</v>
      </c>
      <c r="B46" s="576">
        <f>ROUND(($D$57*$B$58-1)*100,0)</f>
        <v>131</v>
      </c>
      <c r="C46" s="126" t="s">
        <v>3149</v>
      </c>
    </row>
    <row r="47" spans="1:6">
      <c r="A47" s="126" t="s">
        <v>3122</v>
      </c>
      <c r="B47" s="573">
        <v>30</v>
      </c>
      <c r="C47" s="126" t="s">
        <v>3150</v>
      </c>
    </row>
    <row r="48" spans="1:6">
      <c r="A48" s="613" t="s">
        <v>1138</v>
      </c>
      <c r="B48" s="614"/>
    </row>
    <row r="49" spans="1:6">
      <c r="A49" s="489" t="s">
        <v>3072</v>
      </c>
      <c r="B49" s="492">
        <f>SUM(E26)</f>
        <v>0</v>
      </c>
    </row>
    <row r="50" spans="1:6">
      <c r="A50" s="489" t="s">
        <v>1141</v>
      </c>
      <c r="B50" s="492">
        <f>SUM(E18)</f>
        <v>0</v>
      </c>
    </row>
    <row r="51" spans="1:6">
      <c r="A51" s="489" t="s">
        <v>3073</v>
      </c>
      <c r="B51" s="492">
        <f>SUM(E19,E20,E21,E22,E23,E24,E25)</f>
        <v>1150</v>
      </c>
    </row>
    <row r="52" spans="1:6">
      <c r="A52" s="491" t="s">
        <v>1144</v>
      </c>
      <c r="B52" s="493">
        <f>SUM(B49:B51)</f>
        <v>1150</v>
      </c>
    </row>
    <row r="53" spans="1:6">
      <c r="A53" s="488" t="s">
        <v>3067</v>
      </c>
    </row>
    <row r="54" spans="1:6">
      <c r="A54" t="s">
        <v>3167</v>
      </c>
      <c r="B54">
        <v>15000</v>
      </c>
      <c r="C54" t="s">
        <v>3168</v>
      </c>
    </row>
    <row r="55" spans="1:6">
      <c r="A55" s="533" t="s">
        <v>3151</v>
      </c>
      <c r="B55" s="535"/>
      <c r="C55" s="533"/>
    </row>
    <row r="56" spans="1:6">
      <c r="A56" t="s">
        <v>3144</v>
      </c>
      <c r="B56" s="541">
        <v>40</v>
      </c>
      <c r="C56" t="s">
        <v>3152</v>
      </c>
    </row>
    <row r="57" spans="1:6">
      <c r="A57" t="s">
        <v>3153</v>
      </c>
      <c r="B57" s="542">
        <v>1.5389999999999999</v>
      </c>
      <c r="C57" s="542">
        <v>1.5389999999999999</v>
      </c>
      <c r="D57" s="542">
        <v>1.9239999999999999</v>
      </c>
      <c r="E57" s="542" t="s">
        <v>3154</v>
      </c>
      <c r="F57" s="542"/>
    </row>
    <row r="58" spans="1:6">
      <c r="A58" t="s">
        <v>3155</v>
      </c>
      <c r="B58" s="542">
        <f>IFERROR((((E27)+(E38)+(E39))/(100/(100+B47)-B56/100))/(((E27)*$B$57+(E38)*$C$57+(E39)*$D$57)*(1+B47/100)),1)</f>
        <v>1.1989862886452209</v>
      </c>
      <c r="C58" t="s">
        <v>3156</v>
      </c>
    </row>
    <row r="60" spans="1:6">
      <c r="A60" s="533" t="s">
        <v>3126</v>
      </c>
      <c r="B60" s="535"/>
      <c r="C60" s="533"/>
    </row>
    <row r="61" spans="1:6">
      <c r="A61" s="533" t="s">
        <v>3127</v>
      </c>
      <c r="B61" s="534">
        <f>IFERROR(ROUND(E41-E41/(1+B47/100),0),0)</f>
        <v>3462</v>
      </c>
      <c r="C61" s="533" t="s">
        <v>3128</v>
      </c>
    </row>
    <row r="62" spans="1:6">
      <c r="A62" s="533" t="s">
        <v>3129</v>
      </c>
      <c r="B62" s="534">
        <f>E27+E38+E39+B61</f>
        <v>5837</v>
      </c>
      <c r="C62" s="533" t="s">
        <v>3130</v>
      </c>
    </row>
    <row r="63" spans="1:6">
      <c r="A63" s="536" t="s">
        <v>3131</v>
      </c>
      <c r="B63" s="537">
        <f>IFERROR((E41-B62)/E41,"")</f>
        <v>0.61086666666666667</v>
      </c>
      <c r="C63" s="536" t="s">
        <v>3157</v>
      </c>
    </row>
  </sheetData>
  <sheetProtection sheet="1" objects="1" scenarios="1"/>
  <mergeCells count="4">
    <mergeCell ref="A16:E16"/>
    <mergeCell ref="G2:H2"/>
    <mergeCell ref="A1:E1"/>
    <mergeCell ref="A2:B2"/>
  </mergeCells>
  <dataValidations count="5">
    <dataValidation type="list" allowBlank="1" sqref="B9" xr:uid="{00000000-0002-0000-4200-000000000000}">
      <formula1>"สแตนเลส,อลูมิเนียม"</formula1>
    </dataValidation>
    <dataValidation type="list" allowBlank="1" sqref="B10" xr:uid="{00000000-0002-0000-4200-000001000000}">
      <formula1>"บานตาย,บานตาย+บานเปิด,บานตาย+บานเลื่อน"</formula1>
    </dataValidation>
    <dataValidation type="list" allowBlank="1" sqref="B11" xr:uid="{00000000-0002-0000-4200-000002000000}">
      <formula1>"มี,ไม่มี"</formula1>
    </dataValidation>
    <dataValidation type="list" allowBlank="1" sqref="B13" xr:uid="{00000000-0002-0000-4200-000004000000}">
      <formula1>"อบขาว/ดำ,เทาซาฮาร่า"</formula1>
    </dataValidation>
    <dataValidation type="list" allowBlank="1" showInputMessage="1" showErrorMessage="1" sqref="B12" xr:uid="{BB978D64-07F6-4249-BC86-51C75D95375F}">
      <formula1>"เทมเปอร์ใส 10มม."</formula1>
    </dataValidation>
  </dataValidations>
  <hyperlinks>
    <hyperlink ref="G1" location="'สารบัญ'!A1" display="🏠 สารบัญ" xr:uid="{00000000-0004-0000-4200-000000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5B9BD5"/>
  </sheetPr>
  <dimension ref="A1:I65"/>
  <sheetViews>
    <sheetView workbookViewId="0">
      <selection sqref="A1:E1"/>
    </sheetView>
  </sheetViews>
  <sheetFormatPr defaultRowHeight="14.4"/>
  <cols>
    <col min="1" max="1" width="28" customWidth="1"/>
    <col min="2" max="2" width="12.6640625" customWidth="1"/>
    <col min="3" max="3" width="42.6640625" customWidth="1"/>
    <col min="4" max="5" width="12" customWidth="1"/>
    <col min="6" max="6" width="2" customWidth="1"/>
    <col min="7" max="7" width="26" customWidth="1"/>
    <col min="8" max="8" width="11" customWidth="1"/>
  </cols>
  <sheetData>
    <row r="1" spans="1:9">
      <c r="A1" s="687" t="s">
        <v>2426</v>
      </c>
      <c r="B1" s="650"/>
      <c r="C1" s="650"/>
      <c r="D1" s="650"/>
      <c r="E1" s="650"/>
      <c r="G1" s="375" t="s">
        <v>68</v>
      </c>
    </row>
    <row r="2" spans="1:9">
      <c r="A2" s="689" t="s">
        <v>2388</v>
      </c>
      <c r="B2" s="690"/>
      <c r="G2" s="689" t="s">
        <v>2389</v>
      </c>
      <c r="H2" s="690"/>
    </row>
    <row r="3" spans="1:9">
      <c r="A3" s="126" t="s">
        <v>2427</v>
      </c>
      <c r="B3" s="620"/>
      <c r="G3" s="126" t="s">
        <v>2428</v>
      </c>
      <c r="H3" s="623">
        <v>225</v>
      </c>
    </row>
    <row r="4" spans="1:9">
      <c r="A4" s="126" t="s">
        <v>2345</v>
      </c>
      <c r="B4" s="620"/>
      <c r="G4" s="126" t="s">
        <v>2429</v>
      </c>
      <c r="H4" s="623">
        <v>600</v>
      </c>
    </row>
    <row r="5" spans="1:9">
      <c r="A5" s="126" t="s">
        <v>2430</v>
      </c>
      <c r="B5" s="620"/>
      <c r="G5" s="126" t="s">
        <v>2431</v>
      </c>
      <c r="H5" s="623">
        <v>3207</v>
      </c>
    </row>
    <row r="6" spans="1:9">
      <c r="A6" s="126" t="s">
        <v>533</v>
      </c>
      <c r="B6" s="573" t="s">
        <v>2432</v>
      </c>
      <c r="G6" s="126" t="s">
        <v>2433</v>
      </c>
      <c r="H6" s="623">
        <v>175</v>
      </c>
    </row>
    <row r="7" spans="1:9">
      <c r="A7" s="126" t="s">
        <v>2434</v>
      </c>
      <c r="B7" s="620" t="s">
        <v>744</v>
      </c>
      <c r="F7" t="s">
        <v>2435</v>
      </c>
      <c r="G7" s="126" t="s">
        <v>2436</v>
      </c>
      <c r="H7" s="332">
        <f>IF(F7="ดำ/เทาซาฮาร่า",652,598)</f>
        <v>598</v>
      </c>
      <c r="I7" t="s">
        <v>2437</v>
      </c>
    </row>
    <row r="8" spans="1:9">
      <c r="A8" s="126" t="s">
        <v>2400</v>
      </c>
      <c r="B8" s="325">
        <f>ROUND(B3*B4/10000,2)</f>
        <v>0</v>
      </c>
      <c r="G8" s="126" t="s">
        <v>2438</v>
      </c>
      <c r="H8" s="623">
        <v>225</v>
      </c>
    </row>
    <row r="9" spans="1:9">
      <c r="A9" s="126" t="s">
        <v>2356</v>
      </c>
      <c r="B9" s="387">
        <f>$B$46</f>
        <v>104</v>
      </c>
      <c r="C9" t="s">
        <v>2702</v>
      </c>
      <c r="G9" s="126" t="s">
        <v>2439</v>
      </c>
      <c r="H9" s="623">
        <v>200</v>
      </c>
    </row>
    <row r="10" spans="1:9">
      <c r="A10" s="637"/>
      <c r="B10" s="637"/>
      <c r="C10" s="637"/>
      <c r="D10" s="637"/>
      <c r="E10" s="637"/>
      <c r="F10" s="117"/>
      <c r="G10" s="126" t="s">
        <v>2440</v>
      </c>
      <c r="H10" s="623">
        <v>90</v>
      </c>
    </row>
    <row r="11" spans="1:9">
      <c r="A11" s="408"/>
      <c r="B11" s="408"/>
      <c r="C11" s="638"/>
      <c r="D11" s="638"/>
      <c r="E11" s="408"/>
      <c r="F11" s="117"/>
      <c r="G11" s="126" t="s">
        <v>2408</v>
      </c>
      <c r="H11" s="326">
        <f>IFERROR(INDEX(ราคากระจก!$B$3:$B$206,MATCH(B7,ราคากระจก!$A$3:$A$206,0)),"")</f>
        <v>695</v>
      </c>
    </row>
    <row r="12" spans="1:9">
      <c r="A12" s="408"/>
      <c r="B12" s="408"/>
      <c r="C12" s="638"/>
      <c r="D12" s="638"/>
      <c r="E12" s="408"/>
      <c r="F12" s="117"/>
      <c r="G12" s="126" t="s">
        <v>631</v>
      </c>
      <c r="H12" s="623">
        <v>87.5</v>
      </c>
    </row>
    <row r="13" spans="1:9">
      <c r="A13" s="408"/>
      <c r="B13" s="408"/>
      <c r="C13" s="638"/>
      <c r="D13" s="638"/>
      <c r="E13" s="408"/>
      <c r="F13" s="117"/>
      <c r="G13" s="126" t="s">
        <v>2441</v>
      </c>
      <c r="H13" s="623">
        <v>4</v>
      </c>
    </row>
    <row r="14" spans="1:9">
      <c r="A14" s="408"/>
      <c r="B14" s="408"/>
      <c r="C14" s="638"/>
      <c r="D14" s="638"/>
      <c r="E14" s="408"/>
      <c r="F14" s="117"/>
      <c r="G14" s="126" t="s">
        <v>2442</v>
      </c>
      <c r="H14" s="623">
        <v>7</v>
      </c>
    </row>
    <row r="15" spans="1:9">
      <c r="A15" s="408"/>
      <c r="B15" s="408"/>
      <c r="C15" s="638"/>
      <c r="D15" s="638"/>
      <c r="E15" s="408"/>
      <c r="F15" s="117"/>
      <c r="G15" s="126" t="s">
        <v>2443</v>
      </c>
      <c r="H15" s="623">
        <v>2</v>
      </c>
    </row>
    <row r="16" spans="1:9">
      <c r="A16" s="689" t="s">
        <v>2444</v>
      </c>
      <c r="B16" s="691"/>
      <c r="C16" s="691"/>
      <c r="D16" s="691"/>
      <c r="E16" s="690"/>
    </row>
    <row r="17" spans="1:7">
      <c r="A17" s="327" t="s">
        <v>606</v>
      </c>
      <c r="B17" s="327" t="s">
        <v>471</v>
      </c>
      <c r="C17" s="327" t="s">
        <v>1124</v>
      </c>
      <c r="D17" s="327" t="s">
        <v>1125</v>
      </c>
      <c r="E17" s="327" t="s">
        <v>1873</v>
      </c>
      <c r="F17" s="126" t="s">
        <v>2445</v>
      </c>
      <c r="G17" s="326">
        <f>IF(B6="ตั้งเสารับ",B5+1,0)</f>
        <v>0</v>
      </c>
    </row>
    <row r="18" spans="1:7">
      <c r="A18" s="323" t="s">
        <v>2446</v>
      </c>
      <c r="B18" s="328" t="s">
        <v>2366</v>
      </c>
      <c r="C18" s="321">
        <f>ROUND(B3/600,3)</f>
        <v>0</v>
      </c>
      <c r="D18" s="321">
        <f>H3</f>
        <v>225</v>
      </c>
      <c r="E18" s="326">
        <f t="shared" ref="E18:E27" si="0">IF(OR(C18="",D18="",D18=0),"",ROUND(C18*D18,2))</f>
        <v>0</v>
      </c>
      <c r="F18" s="126" t="s">
        <v>2447</v>
      </c>
      <c r="G18" s="326" t="str">
        <f>IFERROR(ROUND(B3/B5,1),"")</f>
        <v/>
      </c>
    </row>
    <row r="19" spans="1:7">
      <c r="A19" s="323" t="s">
        <v>2448</v>
      </c>
      <c r="B19" s="328" t="s">
        <v>2366</v>
      </c>
      <c r="C19" s="321">
        <f>ROUND(2*B3/600,3)</f>
        <v>0</v>
      </c>
      <c r="D19" s="321">
        <f>H4</f>
        <v>600</v>
      </c>
      <c r="E19" s="326">
        <f t="shared" si="0"/>
        <v>0</v>
      </c>
      <c r="F19" s="334" t="s">
        <v>2449</v>
      </c>
    </row>
    <row r="20" spans="1:7">
      <c r="A20" s="323" t="s">
        <v>2450</v>
      </c>
      <c r="B20" s="328" t="s">
        <v>2366</v>
      </c>
      <c r="C20" s="321">
        <f>ROUND(B3/600,3)</f>
        <v>0</v>
      </c>
      <c r="D20" s="321">
        <f>H5</f>
        <v>3207</v>
      </c>
      <c r="E20" s="326">
        <f t="shared" si="0"/>
        <v>0</v>
      </c>
    </row>
    <row r="21" spans="1:7">
      <c r="A21" s="323" t="s">
        <v>2451</v>
      </c>
      <c r="B21" s="328" t="s">
        <v>514</v>
      </c>
      <c r="C21" s="321">
        <f>ROUNDUP(2*B3/300,0)</f>
        <v>0</v>
      </c>
      <c r="D21" s="321">
        <f>H10</f>
        <v>90</v>
      </c>
      <c r="E21" s="326">
        <f t="shared" si="0"/>
        <v>0</v>
      </c>
    </row>
    <row r="22" spans="1:7">
      <c r="A22" s="323" t="s">
        <v>2452</v>
      </c>
      <c r="B22" s="328" t="s">
        <v>481</v>
      </c>
      <c r="C22" s="321">
        <f>IF(B6="หมุดจับสแตนเลส",ROUNDUP(2*B3/100,0),0)</f>
        <v>0</v>
      </c>
      <c r="D22" s="321">
        <f>H6</f>
        <v>175</v>
      </c>
      <c r="E22" s="326">
        <f t="shared" si="0"/>
        <v>0</v>
      </c>
    </row>
    <row r="23" spans="1:7">
      <c r="A23" s="323" t="s">
        <v>2453</v>
      </c>
      <c r="B23" s="328" t="s">
        <v>2366</v>
      </c>
      <c r="C23" s="321">
        <f>IF(B6="ตั้งเสารับ",ROUND((B5+1)*B4/600,3),0)</f>
        <v>0</v>
      </c>
      <c r="D23" s="321">
        <f>H7</f>
        <v>598</v>
      </c>
      <c r="E23" s="326">
        <f t="shared" si="0"/>
        <v>0</v>
      </c>
    </row>
    <row r="24" spans="1:7">
      <c r="A24" s="323" t="s">
        <v>2454</v>
      </c>
      <c r="B24" s="328" t="s">
        <v>2366</v>
      </c>
      <c r="C24" s="321">
        <f>IF(B6="ตั้งเสารับ",ROUND((B5+1)*B4/600,3),0)</f>
        <v>0</v>
      </c>
      <c r="D24" s="321">
        <f>H8</f>
        <v>225</v>
      </c>
      <c r="E24" s="326">
        <f t="shared" si="0"/>
        <v>0</v>
      </c>
    </row>
    <row r="25" spans="1:7">
      <c r="A25" s="323" t="s">
        <v>2455</v>
      </c>
      <c r="B25" s="328" t="s">
        <v>2366</v>
      </c>
      <c r="C25" s="323">
        <f>IF(B6="ตั้งเสารับ",ROUND(2*B5*B4/600,3),0)</f>
        <v>0</v>
      </c>
      <c r="D25" s="323">
        <f>H9</f>
        <v>200</v>
      </c>
      <c r="E25" s="326">
        <f t="shared" si="0"/>
        <v>0</v>
      </c>
    </row>
    <row r="26" spans="1:7">
      <c r="A26" s="323" t="s">
        <v>2456</v>
      </c>
      <c r="B26" s="328" t="s">
        <v>2366</v>
      </c>
      <c r="C26" s="323">
        <f>IF(B6="ตั้งเสารับ",ROUND(B3/600,3),0)</f>
        <v>0</v>
      </c>
      <c r="D26" s="323">
        <f>H7</f>
        <v>598</v>
      </c>
      <c r="E26" s="326">
        <f t="shared" si="0"/>
        <v>0</v>
      </c>
    </row>
    <row r="27" spans="1:7">
      <c r="A27" s="323" t="s">
        <v>2407</v>
      </c>
      <c r="B27" s="328" t="s">
        <v>593</v>
      </c>
      <c r="C27" s="323">
        <f>B8</f>
        <v>0</v>
      </c>
      <c r="D27" s="323">
        <f>H11</f>
        <v>695</v>
      </c>
      <c r="E27" s="326">
        <f t="shared" si="0"/>
        <v>0</v>
      </c>
    </row>
    <row r="28" spans="1:7">
      <c r="A28" s="126" t="s">
        <v>2138</v>
      </c>
      <c r="E28" s="326">
        <f>SUM(E18:E27)</f>
        <v>0</v>
      </c>
    </row>
    <row r="29" spans="1:7">
      <c r="A29" s="126" t="s">
        <v>2457</v>
      </c>
      <c r="E29" s="330">
        <f>E39+E40</f>
        <v>2669</v>
      </c>
    </row>
    <row r="30" spans="1:7">
      <c r="A30" s="126" t="s">
        <v>1137</v>
      </c>
      <c r="E30" s="330">
        <f>E28+E29</f>
        <v>2669</v>
      </c>
    </row>
    <row r="31" spans="1:7">
      <c r="A31" s="126" t="s">
        <v>2458</v>
      </c>
      <c r="E31" s="326" t="str">
        <f>IFERROR(ROUND(E30/(B3/100),0),"")</f>
        <v/>
      </c>
    </row>
    <row r="32" spans="1:7">
      <c r="A32" s="126" t="s">
        <v>1045</v>
      </c>
      <c r="E32" s="326" t="str">
        <f>IFERROR(ROUND(E30/B8,0),"")</f>
        <v/>
      </c>
    </row>
    <row r="33" spans="1:5">
      <c r="A33" s="126" t="s">
        <v>2459</v>
      </c>
      <c r="E33" s="330">
        <f>E43</f>
        <v>10100</v>
      </c>
    </row>
    <row r="34" spans="1:5">
      <c r="A34" s="126" t="s">
        <v>2181</v>
      </c>
      <c r="E34" s="330" t="str">
        <f>IFERROR(ROUND(E33/B8,0),"")</f>
        <v/>
      </c>
    </row>
    <row r="35" spans="1:5">
      <c r="A35" s="126" t="s">
        <v>2381</v>
      </c>
      <c r="E35" s="623"/>
    </row>
    <row r="38" spans="1:5" ht="18" customHeight="1">
      <c r="A38" s="126" t="s">
        <v>2460</v>
      </c>
    </row>
    <row r="39" spans="1:5" ht="18" customHeight="1">
      <c r="A39" s="126" t="s">
        <v>1158</v>
      </c>
      <c r="E39" s="330">
        <f>ROUND(VLOOKUP("ราวกันตก",ค่าแรง!$A$12:$N$117,2,0)+VLOOKUP("ราวกันตก",ค่าแรง!$A$12:$N$117,3,0)*B8,0)</f>
        <v>525</v>
      </c>
    </row>
    <row r="40" spans="1:5" ht="18" customHeight="1">
      <c r="A40" s="126" t="s">
        <v>1159</v>
      </c>
      <c r="E40" s="330">
        <f>ROUND(VLOOKUP("ราวกันตก",ค่าแรง!$A$12:$N$117,4,0)+VLOOKUP("ราวกันตก",ค่าแรง!$A$12:$N$117,5,0)*B8,0)</f>
        <v>2144</v>
      </c>
    </row>
    <row r="42" spans="1:5" ht="18" customHeight="1">
      <c r="A42" s="126" t="s">
        <v>1160</v>
      </c>
      <c r="E42" s="330">
        <f>ROUNDUP((ROUNDUP((ROUNDUP(E28*(1+B9/100)/100,0)*100+ROUNDUP(E39*(1+B47/100)/100,0)*100)*(1+$B$49/100)/100,0)*100)*1/100,0)*100</f>
        <v>1500</v>
      </c>
    </row>
    <row r="43" spans="1:5" ht="18" customHeight="1">
      <c r="A43" s="126" t="s">
        <v>1161</v>
      </c>
      <c r="E43" s="330">
        <f>E42+ROUNDUP((ROUNDUP((ROUNDUP(E40*(1+B48/100)/100,0)*100)*(1+$B$49/100)/100,0)*100)*1/100,0)*100</f>
        <v>10100</v>
      </c>
    </row>
    <row r="45" spans="1:5">
      <c r="A45" s="126" t="s">
        <v>3148</v>
      </c>
    </row>
    <row r="46" spans="1:5">
      <c r="A46" s="126" t="s">
        <v>1179</v>
      </c>
      <c r="B46" s="576">
        <f>ROUND(($B$59*$B$60-1)*100,0)</f>
        <v>104</v>
      </c>
      <c r="C46" s="126" t="s">
        <v>3149</v>
      </c>
    </row>
    <row r="47" spans="1:5">
      <c r="A47" s="126" t="s">
        <v>1180</v>
      </c>
      <c r="B47" s="576">
        <f>ROUND(($C$59*$B$60-1)*100,0)</f>
        <v>104</v>
      </c>
      <c r="C47" s="126" t="s">
        <v>3149</v>
      </c>
    </row>
    <row r="48" spans="1:5">
      <c r="A48" s="126" t="s">
        <v>1181</v>
      </c>
      <c r="B48" s="576">
        <f>ROUND(($D$59*$B$60-1)*100,0)</f>
        <v>206</v>
      </c>
      <c r="C48" s="126" t="s">
        <v>3149</v>
      </c>
    </row>
    <row r="49" spans="1:6">
      <c r="A49" s="126" t="s">
        <v>3122</v>
      </c>
      <c r="B49" s="573">
        <v>30</v>
      </c>
      <c r="C49" s="126" t="s">
        <v>3150</v>
      </c>
    </row>
    <row r="50" spans="1:6">
      <c r="A50" s="613" t="s">
        <v>1138</v>
      </c>
      <c r="B50" s="614"/>
    </row>
    <row r="51" spans="1:6">
      <c r="A51" s="489" t="s">
        <v>3074</v>
      </c>
      <c r="B51" s="492">
        <f>SUM(E20,E23,E25,E26)</f>
        <v>0</v>
      </c>
    </row>
    <row r="52" spans="1:6">
      <c r="A52" s="489" t="s">
        <v>1141</v>
      </c>
      <c r="B52" s="492">
        <f>SUM(E27)</f>
        <v>0</v>
      </c>
    </row>
    <row r="53" spans="1:6">
      <c r="A53" s="489" t="s">
        <v>3075</v>
      </c>
      <c r="B53" s="492">
        <f>SUM(E18,E19,E21,E22,E24)</f>
        <v>0</v>
      </c>
    </row>
    <row r="54" spans="1:6">
      <c r="A54" s="491" t="s">
        <v>1144</v>
      </c>
      <c r="B54" s="493">
        <f>SUM(B51:B53)</f>
        <v>0</v>
      </c>
    </row>
    <row r="55" spans="1:6">
      <c r="A55" s="488" t="s">
        <v>3067</v>
      </c>
    </row>
    <row r="57" spans="1:6">
      <c r="A57" s="533" t="s">
        <v>3151</v>
      </c>
      <c r="B57" s="535"/>
      <c r="C57" s="533"/>
    </row>
    <row r="58" spans="1:6">
      <c r="A58" t="s">
        <v>3144</v>
      </c>
      <c r="B58" s="541">
        <v>50</v>
      </c>
      <c r="C58" t="s">
        <v>3152</v>
      </c>
    </row>
    <row r="59" spans="1:6">
      <c r="A59" t="s">
        <v>3153</v>
      </c>
      <c r="B59" s="542">
        <v>1.5389999999999999</v>
      </c>
      <c r="C59" s="542">
        <v>1.5389999999999999</v>
      </c>
      <c r="D59" s="542">
        <v>2.3079999999999998</v>
      </c>
      <c r="E59" s="542" t="s">
        <v>3154</v>
      </c>
      <c r="F59" s="542"/>
    </row>
    <row r="60" spans="1:6">
      <c r="A60" t="s">
        <v>3155</v>
      </c>
      <c r="B60" s="542">
        <f>IFERROR((((E28)+(E39)+(E40))/(100/(100+B49)-B58/100))/(((E28)*$B$59+(E39)*$C$59+(E40)*$D$59)*(1+B49/100)),1)</f>
        <v>1.3247534905008498</v>
      </c>
      <c r="C60" t="s">
        <v>3156</v>
      </c>
    </row>
    <row r="62" spans="1:6">
      <c r="A62" s="533" t="s">
        <v>3126</v>
      </c>
      <c r="B62" s="535"/>
      <c r="C62" s="533"/>
    </row>
    <row r="63" spans="1:6">
      <c r="A63" s="533" t="s">
        <v>3127</v>
      </c>
      <c r="B63" s="534">
        <f>IFERROR(ROUND(E43-E43/(1+B49/100),0),0)</f>
        <v>2331</v>
      </c>
      <c r="C63" s="533" t="s">
        <v>3128</v>
      </c>
    </row>
    <row r="64" spans="1:6">
      <c r="A64" s="533" t="s">
        <v>3129</v>
      </c>
      <c r="B64" s="534">
        <f>E28+E39+E40+B63</f>
        <v>5000</v>
      </c>
      <c r="C64" s="533" t="s">
        <v>3130</v>
      </c>
    </row>
    <row r="65" spans="1:3">
      <c r="A65" s="536" t="s">
        <v>3131</v>
      </c>
      <c r="B65" s="537">
        <f>IFERROR((E43-B64)/E43,"")</f>
        <v>0.50495049504950495</v>
      </c>
      <c r="C65" s="536" t="s">
        <v>3157</v>
      </c>
    </row>
  </sheetData>
  <sheetProtection sheet="1" objects="1" scenarios="1"/>
  <mergeCells count="4">
    <mergeCell ref="A16:E16"/>
    <mergeCell ref="G2:H2"/>
    <mergeCell ref="A1:E1"/>
    <mergeCell ref="A2:B2"/>
  </mergeCells>
  <dataValidations count="2">
    <dataValidation type="list" allowBlank="1" sqref="B6" xr:uid="{00000000-0002-0000-4300-000001000000}">
      <formula1>"ยูเหล็กครอบอลู,หมุดจับสแตนเลส,ตั้งเสารับ"</formula1>
    </dataValidation>
    <dataValidation type="list" sqref="F7" xr:uid="{00000000-0002-0000-4300-000002000000}">
      <formula1>"เงิน/ปกติ,ดำ/เทาซาฮาร่า"</formula1>
    </dataValidation>
  </dataValidations>
  <hyperlinks>
    <hyperlink ref="G1" location="'สารบัญ'!A1" display="🏠 สารบัญ" xr:uid="{00000000-0004-0000-4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4300-000000000000}">
          <x14:formula1>
            <xm:f>ราคากระจก!$A$3:$A$112</xm:f>
          </x14:formula1>
          <xm:sqref>B7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5B9BD5"/>
  </sheetPr>
  <dimension ref="A1:K80"/>
  <sheetViews>
    <sheetView workbookViewId="0">
      <selection sqref="A1:D1"/>
    </sheetView>
  </sheetViews>
  <sheetFormatPr defaultRowHeight="14.4"/>
  <cols>
    <col min="1" max="1" width="24" customWidth="1"/>
    <col min="2" max="2" width="12.6640625" customWidth="1"/>
    <col min="3" max="3" width="42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15">
      <c r="A1" s="660" t="s">
        <v>2461</v>
      </c>
      <c r="B1" s="650"/>
      <c r="C1" s="650"/>
      <c r="D1" s="650"/>
      <c r="E1" s="243"/>
      <c r="G1" s="376" t="s">
        <v>68</v>
      </c>
      <c r="H1" s="294"/>
    </row>
    <row r="3" spans="1:8">
      <c r="A3" s="27" t="s">
        <v>1105</v>
      </c>
      <c r="B3" s="538">
        <v>150</v>
      </c>
    </row>
    <row r="4" spans="1:8">
      <c r="A4" s="27" t="s">
        <v>1107</v>
      </c>
      <c r="B4" s="538">
        <v>200</v>
      </c>
    </row>
    <row r="5" spans="1:8">
      <c r="A5" s="27" t="s">
        <v>1109</v>
      </c>
      <c r="B5" s="538">
        <v>1</v>
      </c>
    </row>
    <row r="6" spans="1:8">
      <c r="A6" s="27" t="s">
        <v>1253</v>
      </c>
      <c r="B6" s="539" t="s">
        <v>1254</v>
      </c>
      <c r="C6" s="390" t="str">
        <f>IF(B6="","⚠ ยังไม่เลือกธรณี — ราคาจะขาด","")</f>
        <v/>
      </c>
    </row>
    <row r="7" spans="1:8">
      <c r="A7" s="30" t="s">
        <v>1114</v>
      </c>
      <c r="B7" s="31">
        <f>(B3/100)*(B4/100)</f>
        <v>3</v>
      </c>
    </row>
    <row r="8" spans="1:8">
      <c r="A8" s="27" t="s">
        <v>1116</v>
      </c>
      <c r="B8" s="383">
        <f>$B$67</f>
        <v>61</v>
      </c>
      <c r="C8" s="588" t="s">
        <v>2702</v>
      </c>
    </row>
    <row r="9" spans="1:8">
      <c r="A9" s="27" t="s">
        <v>1119</v>
      </c>
      <c r="B9" s="538">
        <v>90</v>
      </c>
    </row>
    <row r="10" spans="1:8">
      <c r="A10" s="26" t="s">
        <v>3198</v>
      </c>
      <c r="B10" s="584" t="s">
        <v>3199</v>
      </c>
      <c r="C10" s="32" t="s">
        <v>3200</v>
      </c>
      <c r="D10" s="26"/>
      <c r="E10" s="26"/>
      <c r="F10" s="584" t="s">
        <v>1123</v>
      </c>
      <c r="G10" s="26"/>
    </row>
    <row r="11" spans="1:8">
      <c r="A11" s="33" t="s">
        <v>470</v>
      </c>
      <c r="B11" s="539" t="s">
        <v>1124</v>
      </c>
      <c r="C11" s="539" t="s">
        <v>1125</v>
      </c>
      <c r="D11" s="33" t="s">
        <v>1126</v>
      </c>
    </row>
    <row r="12" spans="1:8">
      <c r="A12" s="28" t="s">
        <v>1255</v>
      </c>
      <c r="B12" s="34">
        <f>ROUNDUP((B3+2*B4)/640,0)</f>
        <v>1</v>
      </c>
      <c r="C12" s="3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น้ำหนักโปรไฟล์!$C$286))))))</f>
        <v>1205</v>
      </c>
      <c r="D12" s="29">
        <f t="shared" ref="D12:D18" si="0">B12*C12*mult_euro</f>
        <v>1205</v>
      </c>
    </row>
    <row r="13" spans="1:8">
      <c r="A13" s="28" t="s">
        <v>1256</v>
      </c>
      <c r="B13" s="34">
        <f>IF(B6="มี",ROUNDUP(B3/640,0),0)</f>
        <v>1</v>
      </c>
      <c r="C13" s="3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น้ำหนักโปรไฟล์!$C$287))))))</f>
        <v>1520</v>
      </c>
      <c r="D13" s="29">
        <f t="shared" si="0"/>
        <v>1520</v>
      </c>
    </row>
    <row r="14" spans="1:8">
      <c r="A14" s="28" t="s">
        <v>1257</v>
      </c>
      <c r="B14" s="34">
        <f>IF(B6="มี",ROUNDUP(B3/640,0),0)</f>
        <v>1</v>
      </c>
      <c r="C14" s="3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น้ำหนักโปรไฟล์!$C$288))))))</f>
        <v>610</v>
      </c>
      <c r="D14" s="29">
        <f t="shared" si="0"/>
        <v>610</v>
      </c>
    </row>
    <row r="15" spans="1:8">
      <c r="A15" s="28" t="s">
        <v>1258</v>
      </c>
      <c r="B15" s="34">
        <f>IF(B6="ไม่มี",ROUNDUP(B3/640,0),0)</f>
        <v>0</v>
      </c>
      <c r="C15" s="35">
        <f>IF(F10="สีอบขาว/ดำ",IFERROR(VLOOKUP("F7863",ราคาสี!$A:$D,4,0),435),IF(OR(F10="เทาซาฮาร่า",F10="สีดำซาฮาร่า"),IFERROR(VLOOKUP("F7863",ราคาสี!$A:$D,4,0),435)+rate_grey*น้ำหนักโปรไฟล์!$C$289,IF(F10="แอทแทคเกรย์",IFERROR(VLOOKUP("F7863",ราคาสี!$A:$D,4,0),435)+rate_grey*น้ำหนักโปรไฟล์!$C$289,IF(F10="ลายไม้สักทอง",645,IF(F10="ลายไม้มะฮอกกานี",645,IF(F10="ลายไม้ไวท์โอ๊ค",645,IFERROR(VLOOKUP("F7863",ราคาสี!$A:$D,4,0),435)+IF(F10="สีอบพิเศษ",rate_special,rate_woodbake)*น้ำหนักโปรไฟล์!$C$289))))))</f>
        <v>435</v>
      </c>
      <c r="D15" s="29">
        <f t="shared" si="0"/>
        <v>0</v>
      </c>
    </row>
    <row r="16" spans="1:8">
      <c r="A16" s="28" t="s">
        <v>1259</v>
      </c>
      <c r="B16" s="34">
        <f>ROUNDUP((2*B5*B4+2*B3)/640,0)</f>
        <v>2</v>
      </c>
      <c r="C16" s="35">
        <f>IF(F10="สีอบขาว/ดำ",IFERROR(VLOOKUP("F7864",ราคาสี!$A:$D,4,0),1995),IF(OR(F10="เทาซาฮาร่า",F10="สีดำซาฮาร่า"),IFERROR(VLOOKUP("F7864",ราคาสี!$A:$D,4,0),1995)+rate_grey*น้ำหนักโปรไฟล์!$C$290,IF(F10="แอทแทคเกรย์",IFERROR(VLOOKUP("F7864",ราคาสี!$A:$D,4,0),1995)+rate_grey*น้ำหนักโปรไฟล์!$C$290,IF(F10="ลายไม้สักทอง",3170,IF(F10="ลายไม้มะฮอกกานี",3170,IF(F10="ลายไม้ไวท์โอ๊ค",3170,IFERROR(VLOOKUP("F7864",ราคาสี!$A:$D,4,0),1995)+IF(F10="สีอบพิเศษ",rate_special,rate_woodbake)*น้ำหนักโปรไฟล์!$C$290))))))</f>
        <v>2165</v>
      </c>
      <c r="D16" s="29">
        <f t="shared" si="0"/>
        <v>4330</v>
      </c>
    </row>
    <row r="17" spans="1:5">
      <c r="A17" s="28" t="s">
        <v>1260</v>
      </c>
      <c r="B17" s="34">
        <f>ROUNDUP((2*B5*B4+2*B3)/640,0)</f>
        <v>2</v>
      </c>
      <c r="C17" s="35">
        <f>IF(F10="สีอบขาว/ดำ",IFERROR(VLOOKUP("F7935",ราคาสี!$A:$D,4,0),360),IF(OR(F10="เทาซาฮาร่า",F10="สีดำซาฮาร่า"),IFERROR(VLOOKUP("F7935",ราคาสี!$A:$D,4,0),360)+rate_grey*น้ำหนักโปรไฟล์!$C$291,IF(F10="แอทแทคเกรย์",IFERROR(VLOOKUP("F7935",ราคาสี!$A:$D,4,0),360)+rate_grey*น้ำหนักโปรไฟล์!$C$291,IF(F10="ลายไม้สักทอง",570,IF(F10="ลายไม้มะฮอกกานี",570,IF(F10="ลายไม้ไวท์โอ๊ค",570,IFERROR(VLOOKUP("F7935",ราคาสี!$A:$D,4,0),360)+IF(F10="สีอบพิเศษ",rate_special,rate_woodbake)*น้ำหนักโปรไฟล์!$C$291))))))</f>
        <v>380</v>
      </c>
      <c r="D17" s="29">
        <f t="shared" si="0"/>
        <v>760</v>
      </c>
    </row>
    <row r="18" spans="1:5">
      <c r="A18" s="28" t="s">
        <v>1261</v>
      </c>
      <c r="B18" s="34">
        <f>IF(B5&gt;1,1,0)</f>
        <v>0</v>
      </c>
      <c r="C18" s="35">
        <f>IF(F10="สีอบขาว/ดำ",IFERROR(VLOOKUP("F7945C",ราคาสี!$A:$D,4,0),775),IF(OR(F10="เทาซาฮาร่า",F10="สีดำซาฮาร่า"),IFERROR(VLOOKUP("F7945C",ราคาสี!$A:$D,4,0),775)+rate_grey*น้ำหนักโปรไฟล์!$C$292,IF(F10="แอทแทคเกรย์",IFERROR(VLOOKUP("F7945C",ราคาสี!$A:$D,4,0),775)+rate_grey*น้ำหนักโปรไฟล์!$C$292,IF(F10="ลายไม้สักทอง",1080,IF(F10="ลายไม้มะฮอกกานี",1080,IF(F10="ลายไม้ไวท์โอ๊ค",1080,IFERROR(VLOOKUP("F7945C",ราคาสี!$A:$D,4,0),775)+IF(F10="สีอบพิเศษ",rate_special,rate_woodbake)*น้ำหนักโปรไฟล์!$C$292))))))</f>
        <v>820</v>
      </c>
      <c r="D18" s="29">
        <f t="shared" si="0"/>
        <v>0</v>
      </c>
    </row>
    <row r="19" spans="1:5">
      <c r="A19" s="28" t="s">
        <v>1262</v>
      </c>
      <c r="B19" s="34">
        <f>IF(OR(B4&gt;300,B3/B5&gt;120),5,4)*B5</f>
        <v>5</v>
      </c>
      <c r="C19" s="35">
        <f>ชีทอุปกรณ์!$D$196</f>
        <v>117</v>
      </c>
      <c r="D19" s="29">
        <f>B19*C19</f>
        <v>585</v>
      </c>
    </row>
    <row r="20" spans="1:5">
      <c r="A20" s="28" t="s">
        <v>1263</v>
      </c>
      <c r="B20" s="34">
        <f>1</f>
        <v>1</v>
      </c>
      <c r="C20" s="35">
        <f>ชีทอุปกรณ์!$D$197</f>
        <v>1045</v>
      </c>
      <c r="D20" s="29">
        <f>B20*C20</f>
        <v>1045</v>
      </c>
    </row>
    <row r="21" spans="1:5">
      <c r="A21" s="28" t="s">
        <v>1264</v>
      </c>
      <c r="B21" s="34">
        <f>MAX(B5-1,0)</f>
        <v>0</v>
      </c>
      <c r="C21" s="35">
        <f>ชีทอุปกรณ์!$D$198</f>
        <v>450</v>
      </c>
      <c r="D21" s="29">
        <f>B21*C21</f>
        <v>0</v>
      </c>
    </row>
    <row r="22" spans="1:5">
      <c r="A22" s="28" t="s">
        <v>1265</v>
      </c>
      <c r="B22" s="34">
        <f>IF(B6="มี",8,6)</f>
        <v>8</v>
      </c>
      <c r="C22" s="35">
        <v>1</v>
      </c>
      <c r="D22" s="29">
        <f>B22*C22</f>
        <v>8</v>
      </c>
    </row>
    <row r="23" spans="1:5">
      <c r="A23" s="28" t="s">
        <v>1266</v>
      </c>
      <c r="B23" s="34">
        <f>ROUND(2*(B3+B4)/100*B5,0)</f>
        <v>7</v>
      </c>
      <c r="C23" s="35">
        <v>11</v>
      </c>
      <c r="D23" s="29">
        <f>B23*C23</f>
        <v>77</v>
      </c>
    </row>
    <row r="24" spans="1:5">
      <c r="A24" s="28" t="s">
        <v>2727</v>
      </c>
      <c r="B24" s="34">
        <f>ROUNDUP(ROUNDUP((B3/B5)/10,0)*B5*IF($B$10="โซลิด1",1,2)/MAX(1,INT(600/MAX(1,B4))),0)</f>
        <v>10</v>
      </c>
      <c r="C24" s="35">
        <f>IF(F10="สีอบขาว/ดำ",ราคาสี!$D$156,IF(F10="แอทแทคเกรย์",ราคาสี!$G$156,IF(F10="ลายไม้สักทอง",ราคาสี!$H$156,IF(F10="ลายไม้มะฮอกกานี",ราคาสี!$I$156,IF(F10="ลายไม้ไวท์โอ๊ค",ราคาสี!$J$156,ราคาสี!$E$156)))))</f>
        <v>432</v>
      </c>
      <c r="D24" s="29">
        <f>B24*C24*mult_mtong</f>
        <v>4320</v>
      </c>
    </row>
    <row r="25" spans="1:5">
      <c r="A25" s="28" t="s">
        <v>1134</v>
      </c>
      <c r="B25" s="34">
        <f>ROUNDUP(2*(B3+B4)/100*2/12.5,0)</f>
        <v>2</v>
      </c>
      <c r="C25" s="35">
        <f>B9</f>
        <v>90</v>
      </c>
      <c r="D25" s="29">
        <f>B25*C25</f>
        <v>180</v>
      </c>
    </row>
    <row r="26" spans="1:5">
      <c r="A26" s="36" t="s">
        <v>1135</v>
      </c>
      <c r="B26" s="36">
        <f>IF(OR(F10="สีอบพิเศษ",F10="สีลายไม้อบพิเศษ"),1,0)</f>
        <v>0</v>
      </c>
      <c r="C26" s="32">
        <f>อัปเดตราคาอลู!$B$17</f>
        <v>2000</v>
      </c>
      <c r="D26" s="32">
        <f>B26*C26</f>
        <v>0</v>
      </c>
      <c r="E26" s="36" t="s">
        <v>1136</v>
      </c>
    </row>
    <row r="27" spans="1:5">
      <c r="A27" s="607" t="s">
        <v>1137</v>
      </c>
      <c r="D27" s="37">
        <f>SUM(D12:D26)+D33+D46+D47+D48+D49</f>
        <v>18140</v>
      </c>
    </row>
    <row r="28" spans="1:5">
      <c r="A28" s="607" t="s">
        <v>1045</v>
      </c>
      <c r="D28" s="37">
        <f>IFERROR(D27/B7,0)</f>
        <v>6046.666666666667</v>
      </c>
    </row>
    <row r="29" spans="1:5">
      <c r="A29" s="38" t="s">
        <v>1140</v>
      </c>
      <c r="D29" s="39">
        <f>ROUNDUP(D27*(1+B8/100)/100,0)*100</f>
        <v>29300</v>
      </c>
    </row>
    <row r="30" spans="1:5">
      <c r="A30" s="38" t="s">
        <v>1143</v>
      </c>
      <c r="D30" s="39">
        <f>D29</f>
        <v>29300</v>
      </c>
    </row>
    <row r="32" spans="1:5">
      <c r="A32" s="2"/>
    </row>
    <row r="33" spans="1:8">
      <c r="A33" s="28" t="s">
        <v>2462</v>
      </c>
      <c r="B33" s="34">
        <f>ROUNDUP((INT(MAX(0,(B3/B5-20))/3.6)+1)*B5*2/MAX(1,INT(600/MAX(1,B4))),0)</f>
        <v>25</v>
      </c>
      <c r="C33" s="35">
        <f>IF(F10="สีอบขาว/ดำ",ราคาสี!$D$188,IF(F10="แอทแทคเกรย์",ราคาสี!$G$188,IF(F10="ลายไม้สักทอง",ราคาสี!$H$188,IF(F10="ลายไม้มะฮอกกานี",ราคาสี!$I$188,IF(F10="ลายไม้ไวท์โอ๊ค",ราคาสี!$J$188,ราคาสี!$E$188)))))</f>
        <v>140</v>
      </c>
      <c r="D33" s="29">
        <f>B33*C33</f>
        <v>3500</v>
      </c>
      <c r="F33" s="126" t="s">
        <v>2463</v>
      </c>
      <c r="G33" s="326">
        <f>MAX(0,INT((B3/B5-20+2)/3.8))</f>
        <v>34</v>
      </c>
    </row>
    <row r="34" spans="1:8">
      <c r="A34" s="3"/>
      <c r="B34" s="4"/>
      <c r="C34" s="4"/>
      <c r="D34" s="5"/>
      <c r="F34" s="126" t="s">
        <v>2464</v>
      </c>
      <c r="G34" s="326">
        <f>IFERROR(ROUND((B3/B5-20-G33*1.8)/(G33-1),2),"")</f>
        <v>2.08</v>
      </c>
    </row>
    <row r="35" spans="1:8">
      <c r="A35" s="21" t="s">
        <v>1157</v>
      </c>
      <c r="F35" s="334" t="s">
        <v>2465</v>
      </c>
    </row>
    <row r="36" spans="1:8">
      <c r="A36" s="40" t="s">
        <v>1158</v>
      </c>
      <c r="D36" s="22">
        <f>MAX(0,VLOOKUP("บานโซลิด",ค่าแรง!$A$12:$N$117,2,0)+VLOOKUP("บานโซลิด",ค่าแรง!$A$12:$N$117,3,0)*B7)</f>
        <v>1517.25</v>
      </c>
      <c r="F36" s="126" t="s">
        <v>2466</v>
      </c>
      <c r="G36" s="326">
        <f>MAX(1,INT(600/MAX(1,B4)))</f>
        <v>3</v>
      </c>
    </row>
    <row r="37" spans="1:8">
      <c r="A37" s="40" t="s">
        <v>1159</v>
      </c>
      <c r="D37" s="22">
        <f>MAX(0,VLOOKUP("บานโซลิด",ค่าแรง!$A$12:$N$117,4,0)+VLOOKUP("บานโซลิด",ค่าแรง!$A$12:$N$117,5,0)*B7)</f>
        <v>1345.75</v>
      </c>
    </row>
    <row r="39" spans="1:8">
      <c r="A39" s="21" t="s">
        <v>1160</v>
      </c>
      <c r="D39" s="24">
        <f>ROUNDUP((ROUNDUP((ROUNDUP(D27*(1+B8/100)/100,0)*100+ROUNDUP((D36+D50)*(1+B68/100)/100,0)*100)*(1+$B$70/100)/100,0)*100)*1/100,0)*100</f>
        <v>41400</v>
      </c>
    </row>
    <row r="40" spans="1:8">
      <c r="A40" s="21" t="s">
        <v>1161</v>
      </c>
      <c r="D40" s="24">
        <f>D39+ROUNDUP((ROUNDUP((ROUNDUP((D37+D51)*(1+B69/100)/100,0)*100)*(1+$B$70/100)/100,0)*100)*1/100,0)*100</f>
        <v>45100</v>
      </c>
    </row>
    <row r="43" spans="1:8">
      <c r="A43" s="172" t="s">
        <v>1145</v>
      </c>
    </row>
    <row r="44" spans="1:8">
      <c r="A44" s="21" t="s">
        <v>1147</v>
      </c>
      <c r="B44" s="610" t="s">
        <v>674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161" t="str">
        <f>IFERROR(VLOOKUP(B44,ราคามุ้ง!$A$2:$K$15,3,0),"")</f>
        <v/>
      </c>
    </row>
    <row r="45" spans="1:8">
      <c r="A45" s="26" t="s">
        <v>1148</v>
      </c>
      <c r="B45" s="610" t="s">
        <v>682</v>
      </c>
      <c r="C45" s="610" t="s">
        <v>1149</v>
      </c>
      <c r="H45" s="161">
        <f>IF(B44="ไม่มีมุ้ง",0,IF(OR(IFERROR(VLOOKUP(B44,ราคามุ้ง!$A$2:$K$15,4,0),"ALL")="ALL",ISNUMBER(SEARCH("เปิด",IFERROR(VLOOKUP(B44,ราคามุ้ง!$A$2:$K$15,4,0),"")))),1,0))</f>
        <v>0</v>
      </c>
    </row>
    <row r="46" spans="1:8">
      <c r="A46" s="26" t="s">
        <v>1150</v>
      </c>
      <c r="B46" s="223">
        <f>IF(AND(H45=1,H46=1),ROUND(H50*2*H49/6,2),0)</f>
        <v>0</v>
      </c>
      <c r="C46" s="220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94">
        <f>ROUND(B46*C46,0)</f>
        <v>0</v>
      </c>
      <c r="H46" s="161">
        <f>IF(OR(B44="มุ้งเฟรมเล็ก",B44="มุ้งเฟรมใหญ่",B44="มุ้งนิรภัย"),1,0)</f>
        <v>0</v>
      </c>
    </row>
    <row r="47" spans="1:8">
      <c r="A47" s="26" t="s">
        <v>1151</v>
      </c>
      <c r="B47" s="223">
        <f>IF(AND(H45=1,H46=1),ROUND(H50*2*H48/6,2),0)</f>
        <v>0</v>
      </c>
      <c r="C47" s="220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94">
        <f>ROUND(B47*C47,0)</f>
        <v>0</v>
      </c>
      <c r="H47" s="161">
        <f>IFERROR(VLOOKUP(B45,ราคามุ้ง!$I$2:$J$5,2,0),0)</f>
        <v>23</v>
      </c>
    </row>
    <row r="48" spans="1:8">
      <c r="A48" s="26" t="s">
        <v>1152</v>
      </c>
      <c r="B48" s="223">
        <f>IF(AND(H45=1,H46=1),ROUND(H50*2*(H48+H49),2),0)</f>
        <v>0</v>
      </c>
      <c r="C48" s="220">
        <f>ราคามุ้ง!$D$19</f>
        <v>5</v>
      </c>
      <c r="D48" s="94">
        <f>ROUND(B48*C48,0)</f>
        <v>0</v>
      </c>
      <c r="H48" s="161">
        <f>B3/(B5*100)</f>
        <v>1.5</v>
      </c>
    </row>
    <row r="49" spans="1:11">
      <c r="A49" s="26" t="s">
        <v>1153</v>
      </c>
      <c r="B49" s="223">
        <f>IF(H45=0,0,ROUND(H50*H48*H49,2))</f>
        <v>0</v>
      </c>
      <c r="C49" s="220">
        <f>IF(B44="มุ้งนิรภัย",650,IF(OR(B44="มุ้งเฟรมเล็ก",B44="มุ้งเฟรมใหญ่"),H47,IF(H44="ซื้อสำเร็จ",IFERROR(VLOOKUP(B44,ราคามุ้ง!$A$2:$K$15,2,0),0),0)))</f>
        <v>0</v>
      </c>
      <c r="D49" s="94">
        <f>ROUND(B49*C49,0)</f>
        <v>0</v>
      </c>
      <c r="H49" s="161">
        <f>B4/100</f>
        <v>2</v>
      </c>
    </row>
    <row r="50" spans="1:11">
      <c r="A50" s="26" t="s">
        <v>1154</v>
      </c>
      <c r="D50" s="94">
        <f>IF(H45=0,0,ROUND(H50*(VLOOKUP(B44,ค่าแรง!$A$12:$N$103,2,0)+VLOOKUP(B44,ค่าแรง!$A$12:$N$103,3,0)*H48*H49),0))</f>
        <v>0</v>
      </c>
      <c r="H50" s="161">
        <f>B5</f>
        <v>1</v>
      </c>
    </row>
    <row r="51" spans="1:11">
      <c r="A51" s="26" t="s">
        <v>1155</v>
      </c>
      <c r="D51" s="94">
        <f>IF(H45=0,0,ROUND(H50*(VLOOKUP(B44,ค่าแรง!$A$12:$N$103,4,0)+VLOOKUP(B44,ค่าแรง!$A$12:$N$103,5,0)*H48*H49),0))</f>
        <v>0</v>
      </c>
    </row>
    <row r="52" spans="1:11">
      <c r="A52" s="253" t="s">
        <v>1194</v>
      </c>
      <c r="D52" s="254">
        <f>SUM(D46:D51)</f>
        <v>0</v>
      </c>
    </row>
    <row r="53" spans="1:1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</row>
    <row r="54" spans="1:11">
      <c r="A54" s="289"/>
      <c r="B54" s="117"/>
      <c r="C54" s="117"/>
      <c r="D54" s="117"/>
      <c r="E54" s="117"/>
      <c r="F54" s="117"/>
      <c r="G54" s="117"/>
      <c r="H54" s="117"/>
      <c r="I54" s="117"/>
      <c r="J54" s="117"/>
      <c r="K54" s="117"/>
    </row>
    <row r="55" spans="1:11">
      <c r="A55" s="290"/>
      <c r="B55" s="291"/>
      <c r="C55" s="117"/>
      <c r="D55" s="117"/>
      <c r="E55" s="117"/>
      <c r="F55" s="117"/>
      <c r="G55" s="117"/>
      <c r="H55" s="117"/>
      <c r="I55" s="117"/>
      <c r="J55" s="117"/>
      <c r="K55" s="117"/>
    </row>
    <row r="56" spans="1:11">
      <c r="A56" s="290"/>
      <c r="B56" s="291"/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1">
      <c r="A57" s="290"/>
      <c r="B57" s="291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1">
      <c r="A58" s="290"/>
      <c r="B58" s="292"/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1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11">
      <c r="A60" s="283" t="s">
        <v>1138</v>
      </c>
    </row>
    <row r="61" spans="1:11">
      <c r="A61" s="284" t="s">
        <v>1139</v>
      </c>
      <c r="B61" s="285">
        <f>D12+D13+D14+D15+D16+D17+D18+D20+D21+D22+D25</f>
        <v>9658</v>
      </c>
    </row>
    <row r="62" spans="1:11">
      <c r="A62" s="286" t="s">
        <v>1141</v>
      </c>
      <c r="B62" s="287">
        <f>D24</f>
        <v>4320</v>
      </c>
    </row>
    <row r="63" spans="1:11">
      <c r="A63" s="286" t="s">
        <v>1142</v>
      </c>
      <c r="B63" s="287">
        <f>D19+D23+D26</f>
        <v>662</v>
      </c>
    </row>
    <row r="64" spans="1:11">
      <c r="A64" s="286" t="s">
        <v>1144</v>
      </c>
      <c r="B64" s="288">
        <f>SUM(B61:B63)</f>
        <v>14640</v>
      </c>
    </row>
    <row r="66" spans="1:6">
      <c r="A66" s="286" t="s">
        <v>3148</v>
      </c>
    </row>
    <row r="67" spans="1:6">
      <c r="A67" s="286" t="s">
        <v>1179</v>
      </c>
      <c r="B67" s="543">
        <f>ROUND(($B$74*$B$75-1)*100,0)</f>
        <v>61</v>
      </c>
      <c r="C67" s="286" t="s">
        <v>3149</v>
      </c>
    </row>
    <row r="68" spans="1:6">
      <c r="A68" s="286" t="s">
        <v>1180</v>
      </c>
      <c r="B68" s="543">
        <f>ROUND(($C$74*$B$75-1)*100,0)</f>
        <v>61</v>
      </c>
      <c r="C68" s="286" t="s">
        <v>3149</v>
      </c>
    </row>
    <row r="69" spans="1:6">
      <c r="A69" s="286" t="s">
        <v>1181</v>
      </c>
      <c r="B69" s="543">
        <f>ROUND(($D$74*$B$75-1)*100,0)</f>
        <v>102</v>
      </c>
      <c r="C69" s="286" t="s">
        <v>3149</v>
      </c>
    </row>
    <row r="70" spans="1:6">
      <c r="A70" s="286" t="s">
        <v>3122</v>
      </c>
      <c r="B70" s="539">
        <v>30</v>
      </c>
      <c r="C70" s="286" t="s">
        <v>3150</v>
      </c>
    </row>
    <row r="72" spans="1:6">
      <c r="A72" s="533" t="s">
        <v>3151</v>
      </c>
      <c r="B72" s="535"/>
      <c r="C72" s="533"/>
    </row>
    <row r="73" spans="1:6">
      <c r="A73" t="s">
        <v>3144</v>
      </c>
      <c r="B73" s="541">
        <v>30</v>
      </c>
      <c r="C73" t="s">
        <v>3152</v>
      </c>
    </row>
    <row r="74" spans="1:6">
      <c r="A74" t="s">
        <v>3153</v>
      </c>
      <c r="B74" s="542">
        <v>1.7230000000000001</v>
      </c>
      <c r="C74" s="542">
        <v>1.7230000000000001</v>
      </c>
      <c r="D74" s="542">
        <v>2.1539999999999999</v>
      </c>
      <c r="E74" s="542" t="s">
        <v>3154</v>
      </c>
      <c r="F74" s="542"/>
    </row>
    <row r="75" spans="1:6">
      <c r="A75" t="s">
        <v>3155</v>
      </c>
      <c r="B75" s="542">
        <f>IFERROR((((D27)+(D36+D50)+(D37+D51))/(100/(100+B70)-B73/100))/(((D27)*$B$74+(D36+D50)*$C$74+(D37+D51)*$D$74)*(1+B70/100)),1)</f>
        <v>0.93643853875291616</v>
      </c>
      <c r="C75" t="s">
        <v>3156</v>
      </c>
    </row>
    <row r="77" spans="1:6">
      <c r="A77" s="533" t="s">
        <v>3126</v>
      </c>
      <c r="B77" s="535"/>
      <c r="C77" s="533"/>
    </row>
    <row r="78" spans="1:6">
      <c r="A78" s="533" t="s">
        <v>3127</v>
      </c>
      <c r="B78" s="534">
        <f>IFERROR(ROUND(D40-D40/(1+B70/100),0),0)</f>
        <v>10408</v>
      </c>
      <c r="C78" s="533" t="s">
        <v>3128</v>
      </c>
    </row>
    <row r="79" spans="1:6">
      <c r="A79" s="533" t="s">
        <v>3129</v>
      </c>
      <c r="B79" s="534">
        <f>D27+D36+D50+D37+D51+B78</f>
        <v>31411</v>
      </c>
      <c r="C79" s="533" t="s">
        <v>3130</v>
      </c>
    </row>
    <row r="80" spans="1:6">
      <c r="A80" s="536" t="s">
        <v>3131</v>
      </c>
      <c r="B80" s="537">
        <f>IFERROR((D40-B79)/D40,"")</f>
        <v>0.30352549889135255</v>
      </c>
      <c r="C80" s="536" t="s">
        <v>3157</v>
      </c>
    </row>
  </sheetData>
  <sheetProtection sheet="1" objects="1" scenarios="1"/>
  <mergeCells count="1">
    <mergeCell ref="A1:D1"/>
  </mergeCells>
  <dataValidations count="6">
    <dataValidation type="list" sqref="B6" xr:uid="{00000000-0002-0000-4400-000000000000}">
      <formula1>"มี,ไม่มี"</formula1>
      <formula2>0</formula2>
    </dataValidation>
    <dataValidation type="list" sqref="F10" xr:uid="{00000000-0002-0000-4400-000001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44" xr:uid="{00000000-0002-0000-4400-000002000000}">
      <formula1>MungList</formula1>
    </dataValidation>
    <dataValidation type="list" allowBlank="1" sqref="B45" xr:uid="{00000000-0002-0000-4400-000003000000}">
      <formula1>ClothList</formula1>
    </dataValidation>
    <dataValidation type="list" allowBlank="1" sqref="C45" xr:uid="{00000000-0002-0000-4400-000004000000}">
      <formula1>"เทา,ดำ"</formula1>
    </dataValidation>
    <dataValidation type="list" allowBlank="1" showInputMessage="1" showErrorMessage="1" sqref="B10" xr:uid="{684C51E9-2F02-40D3-8C0B-029FB9F70E1A}">
      <formula1>"โซลิด1,โซลิด2"</formula1>
    </dataValidation>
  </dataValidations>
  <hyperlinks>
    <hyperlink ref="G1" location="'สารบัญ'!A1" display="🏠 สารบัญ" xr:uid="{00000000-0004-0000-4400-000000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5B9BD5"/>
  </sheetPr>
  <dimension ref="A1:H75"/>
  <sheetViews>
    <sheetView workbookViewId="0">
      <selection sqref="A1:D1"/>
    </sheetView>
  </sheetViews>
  <sheetFormatPr defaultRowHeight="14.4"/>
  <cols>
    <col min="1" max="1" width="24" customWidth="1"/>
    <col min="2" max="2" width="12.77734375" customWidth="1"/>
    <col min="3" max="3" width="42.6640625" customWidth="1"/>
    <col min="4" max="6" width="24" customWidth="1"/>
    <col min="7" max="7" width="8.5546875" customWidth="1"/>
    <col min="8" max="8" width="4.44140625" customWidth="1"/>
  </cols>
  <sheetData>
    <row r="1" spans="1:8" ht="15">
      <c r="A1" s="660" t="s">
        <v>2467</v>
      </c>
      <c r="B1" s="650"/>
      <c r="C1" s="650"/>
      <c r="D1" s="650"/>
      <c r="E1" s="243"/>
      <c r="G1" s="376" t="s">
        <v>68</v>
      </c>
      <c r="H1" s="294"/>
    </row>
    <row r="2" spans="1:8">
      <c r="A2" s="27" t="s">
        <v>1105</v>
      </c>
      <c r="B2" s="538">
        <v>600</v>
      </c>
      <c r="E2" s="30" t="s">
        <v>1106</v>
      </c>
      <c r="F2" s="49">
        <f>IF(B5="อิสระ",B4,IF(B5="ลากจูง",B4-1,B4-2))</f>
        <v>3</v>
      </c>
    </row>
    <row r="3" spans="1:8">
      <c r="A3" s="27" t="s">
        <v>1107</v>
      </c>
      <c r="B3" s="538">
        <v>300</v>
      </c>
      <c r="E3" s="30" t="s">
        <v>1108</v>
      </c>
      <c r="F3" s="49">
        <f>IF(B5="ลากจูง",1,2)</f>
        <v>2</v>
      </c>
    </row>
    <row r="4" spans="1:8">
      <c r="A4" s="27" t="s">
        <v>1109</v>
      </c>
      <c r="B4" s="538">
        <v>3</v>
      </c>
      <c r="E4" s="30" t="s">
        <v>1110</v>
      </c>
      <c r="F4" s="49">
        <f>IF(B5="อิสระ",2,1)</f>
        <v>2</v>
      </c>
    </row>
    <row r="5" spans="1:8">
      <c r="A5" s="27" t="s">
        <v>1111</v>
      </c>
      <c r="B5" s="539" t="s">
        <v>1112</v>
      </c>
      <c r="C5" s="390" t="str">
        <f>IF(B5="","⚠ ยังไม่เลือกรูปแบบ — จำนวนเสา/ราง จะขาด","")</f>
        <v/>
      </c>
      <c r="E5" s="30" t="s">
        <v>1113</v>
      </c>
      <c r="F5" s="49">
        <f>IF(B5="เปิดคู่กลาง",4,2)</f>
        <v>2</v>
      </c>
    </row>
    <row r="6" spans="1:8">
      <c r="A6" s="30" t="s">
        <v>1114</v>
      </c>
      <c r="B6" s="31">
        <f>(B2/100)*(B3/100)</f>
        <v>18</v>
      </c>
      <c r="E6" s="30" t="s">
        <v>1115</v>
      </c>
      <c r="F6" s="49">
        <f>IF(B5="เปิดคู่กลาง",B4-2,B4-1)</f>
        <v>2</v>
      </c>
    </row>
    <row r="7" spans="1:8">
      <c r="A7" s="27" t="s">
        <v>1116</v>
      </c>
      <c r="B7" s="383">
        <f>$B$62</f>
        <v>62</v>
      </c>
      <c r="C7" s="588" t="s">
        <v>2702</v>
      </c>
      <c r="E7" s="26" t="s">
        <v>1117</v>
      </c>
      <c r="F7" s="584" t="s">
        <v>1118</v>
      </c>
    </row>
    <row r="8" spans="1:8">
      <c r="A8" s="27" t="s">
        <v>1119</v>
      </c>
      <c r="B8" s="538">
        <v>90</v>
      </c>
    </row>
    <row r="9" spans="1:8">
      <c r="A9" s="26"/>
      <c r="B9" s="584"/>
      <c r="C9" s="32"/>
      <c r="D9" s="26"/>
      <c r="E9" s="26"/>
      <c r="F9" s="584" t="s">
        <v>1123</v>
      </c>
      <c r="G9" s="26"/>
    </row>
    <row r="10" spans="1:8">
      <c r="A10" s="33" t="s">
        <v>470</v>
      </c>
      <c r="B10" s="539" t="s">
        <v>1124</v>
      </c>
      <c r="C10" s="539" t="s">
        <v>1125</v>
      </c>
      <c r="D10" s="33" t="s">
        <v>1126</v>
      </c>
    </row>
    <row r="11" spans="1:8">
      <c r="A11" s="28" t="s">
        <v>1048</v>
      </c>
      <c r="B11" s="34">
        <f>((1)*(((B2/100)))/6.4)*buf_scrap</f>
        <v>1.21875</v>
      </c>
      <c r="C11" s="35">
        <f>IF(F9="สีอบขาว/ดำ",IFERROR(VLOOKUP("B22001",ราคาสี!$A:$D,4,0),1235),IF(OR(F9="เทาซาฮาร่า",F9="สีดำซาฮาร่า"),VLOOKUP("B22001",ราคาสี!$A:$F,5,0),IF(F9="ลายไม้ stock",(VLOOKUP("B22001",ราคาสี!$A:$H,8,0)*mult_wood/mult_sms),IFERROR(VLOOKUP("B22001",ราคาสี!$A:$D,4,0),1235)+IF(F9="สีอบพิเศษ",rate_special,rate_woodbake)*น้ำหนักโปรไฟล์!$C$254)))</f>
        <v>1465</v>
      </c>
      <c r="D11" s="29">
        <f t="shared" ref="D11:D19" si="0">B11*C11*mult_sms</f>
        <v>1785.46875</v>
      </c>
    </row>
    <row r="12" spans="1:8">
      <c r="A12" s="28" t="s">
        <v>1049</v>
      </c>
      <c r="B12" s="34">
        <f>((2)*(((B3/100)))/6.4)*buf_scrap</f>
        <v>1.21875</v>
      </c>
      <c r="C12" s="35">
        <f>IF(F9="สีอบขาว/ดำ",IFERROR(VLOOKUP("B22002",ราคาสี!$A:$D,4,0),1045),IF(OR(F9="เทาซาฮาร่า",F9="สีดำซาฮาร่า"),VLOOKUP("B22002",ราคาสี!$A:$F,5,0),IF(F9="ลายไม้ stock",(VLOOKUP("B22002",ราคาสี!$A:$H,8,0)*mult_wood/mult_sms),IFERROR(VLOOKUP("B22002",ราคาสี!$A:$D,4,0),1045)+IF(F9="สีอบพิเศษ",rate_special,rate_woodbake)*น้ำหนักโปรไฟล์!$C$255)))</f>
        <v>1030</v>
      </c>
      <c r="D12" s="29">
        <f t="shared" si="0"/>
        <v>1255.3125</v>
      </c>
    </row>
    <row r="13" spans="1:8">
      <c r="A13" s="28" t="s">
        <v>1050</v>
      </c>
      <c r="B13" s="34">
        <f>((1)*(((B2/100)))/6.4)*buf_scrap</f>
        <v>1.21875</v>
      </c>
      <c r="C13" s="3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>2070</v>
      </c>
      <c r="D13" s="29">
        <f t="shared" si="0"/>
        <v>2522.8125</v>
      </c>
    </row>
    <row r="14" spans="1:8">
      <c r="A14" s="28" t="s">
        <v>1051</v>
      </c>
      <c r="B14" s="34">
        <f>(($F$5)*(((B3/100)))/6.4)*buf_scrap</f>
        <v>1.21875</v>
      </c>
      <c r="C14" s="35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stock",(VLOOKUP("B20051",ราคาสี!$A:$H,8,0)*mult_wood/mult_sms),IFERROR(VLOOKUP("B20051",ราคาสี!$A:$D,4,0),885)+IF(F9="สีอบพิเศษ",rate_special,rate_woodbake)*น้ำหนักโปรไฟล์!$C$256)))</f>
        <v>885</v>
      </c>
      <c r="D14" s="29">
        <f t="shared" si="0"/>
        <v>1078.59375</v>
      </c>
    </row>
    <row r="15" spans="1:8">
      <c r="A15" s="28" t="s">
        <v>1052</v>
      </c>
      <c r="B15" s="34">
        <f>((IF((B3/100)&gt;2.4,$F$6,2*$F$6))*(((B3/100)))/6.4)*buf_scrap</f>
        <v>1.21875</v>
      </c>
      <c r="C15" s="35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stock",(VLOOKUP("B20009",ราคาสี!$A:$H,8,0)*mult_wood/mult_sms),IFERROR(VLOOKUP("B20009",ราคาสี!$A:$D,4,0),745)+IF(F9="สีอบพิเศษ",rate_special,rate_woodbake)*น้ำหนักโปรไฟล์!$C$257)))</f>
        <v>690</v>
      </c>
      <c r="D15" s="29">
        <f t="shared" si="0"/>
        <v>840.9375</v>
      </c>
    </row>
    <row r="16" spans="1:8">
      <c r="A16" s="28" t="s">
        <v>1053</v>
      </c>
      <c r="B16" s="34">
        <f>((IF((B3/100)&gt;2.4,$F$6,0))*(((B3/100)))/6.4)*buf_scrap</f>
        <v>1.21875</v>
      </c>
      <c r="C16" s="35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stock",(VLOOKUP("B20010",ราคาสี!$A:$H,8,0)*mult_wood/mult_sms),IFERROR(VLOOKUP("B20010",ราคาสี!$A:$D,4,0),1235)+IF(F9="สีอบพิเศษ",rate_special,rate_woodbake)*น้ำหนักโปรไฟล์!$C$258)))</f>
        <v>1235</v>
      </c>
      <c r="D16" s="29">
        <f t="shared" si="0"/>
        <v>1505.15625</v>
      </c>
    </row>
    <row r="17" spans="1:7">
      <c r="A17" s="28" t="s">
        <v>1054</v>
      </c>
      <c r="B17" s="34">
        <f>((2*B4)*(((B2/100)/B4))/6.4)*buf_scrap</f>
        <v>2.4375</v>
      </c>
      <c r="C17" s="35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stock",(VLOOKUP("B20054",ราคาสี!$A:$H,8,0)*mult_wood/mult_sms),IFERROR(VLOOKUP("B20054",ราคาสี!$A:$D,4,0),1060)+IF(F9="สีอบพิเศษ",rate_special,rate_woodbake)*น้ำหนักโปรไฟล์!$C$259)))</f>
        <v>1060</v>
      </c>
      <c r="D17" s="29">
        <f t="shared" si="0"/>
        <v>2583.75</v>
      </c>
    </row>
    <row r="18" spans="1:7">
      <c r="A18" s="28" t="s">
        <v>1055</v>
      </c>
      <c r="B18" s="34">
        <f>((4)*(((B3/100)))/6.4)*buf_scrap</f>
        <v>2.4375</v>
      </c>
      <c r="C18" s="35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stock",(VLOOKUP("B20019",ราคาสี!$A:$H,8,0)*mult_wood/mult_sms),IFERROR(VLOOKUP("B20019",ราคาสี!$A:$D,4,0),175)+IF(F9="สีอบพิเศษ",rate_special,rate_woodbake)*น้ำหนักโปรไฟล์!$C$260)))</f>
        <v>175</v>
      </c>
      <c r="D18" s="29">
        <f t="shared" si="0"/>
        <v>426.5625</v>
      </c>
    </row>
    <row r="19" spans="1:7">
      <c r="A19" s="28" t="s">
        <v>1127</v>
      </c>
      <c r="B19" s="34">
        <f>IF(F7="ภายใน",2*(B2/640)*buf_scrap,IF(FLOOR(6.4/((B2/100)),1)&gt;=1,ROUNDUP(($F$2)/FLOOR(6.4/((B2/100)),1),0),(((B2/100))/6.4)*buf_scrap*($F$2)))</f>
        <v>3</v>
      </c>
      <c r="C19" s="35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stock",(VLOOKUP("B20050",ราคาสี!$A:$H,8,0)*mult_wood/mult_sms),IFERROR(VLOOKUP("B20050",ราคาสี!$A:$D,4,0),145)+IF(F9="สีอบพิเศษ",rate_special,rate_woodbake)*น้ำหนักโปรไฟล์!$C$261))),150)</f>
        <v>150</v>
      </c>
      <c r="D19" s="29">
        <f t="shared" si="0"/>
        <v>450</v>
      </c>
    </row>
    <row r="20" spans="1:7">
      <c r="A20" s="28" t="s">
        <v>2468</v>
      </c>
      <c r="B20" s="34">
        <f>ROUNDUP(ROUNDUP(B2/10,0)/MAX(1,INT(600/B3)),0)</f>
        <v>30</v>
      </c>
      <c r="C20" s="35">
        <f>IF(F9="สีอบขาว/ดำ",ราคาสี!$D$156,IF(F9="ลายไม้ stock",ราคาสี!$H$156,ราคาสี!$E$156))</f>
        <v>432</v>
      </c>
      <c r="D20" s="29">
        <f>B20*C20*mult_mtong</f>
        <v>12960</v>
      </c>
    </row>
    <row r="21" spans="1:7">
      <c r="A21" s="28" t="s">
        <v>1129</v>
      </c>
      <c r="B21" s="34">
        <f>2*$F$2</f>
        <v>6</v>
      </c>
      <c r="C21" s="35">
        <v>80</v>
      </c>
      <c r="D21" s="29">
        <f t="shared" ref="D21:D27" si="1">B21*C21</f>
        <v>480</v>
      </c>
    </row>
    <row r="22" spans="1:7">
      <c r="A22" s="28" t="s">
        <v>1130</v>
      </c>
      <c r="B22" s="34">
        <f>2*$F$3</f>
        <v>4</v>
      </c>
      <c r="C22" s="35">
        <v>99</v>
      </c>
      <c r="D22" s="29">
        <f t="shared" si="1"/>
        <v>396</v>
      </c>
    </row>
    <row r="23" spans="1:7">
      <c r="A23" s="28" t="s">
        <v>1131</v>
      </c>
      <c r="B23" s="34">
        <f>$F$4</f>
        <v>2</v>
      </c>
      <c r="C23" s="35">
        <f>ชีทอุปกรณ์!$D$193</f>
        <v>189</v>
      </c>
      <c r="D23" s="29">
        <f t="shared" si="1"/>
        <v>378</v>
      </c>
    </row>
    <row r="24" spans="1:7">
      <c r="A24" s="28" t="s">
        <v>1132</v>
      </c>
      <c r="B24" s="34">
        <f>6*(B3/100)+9*(B2/100)+2*($F$5+$F$6)*(B3/100)</f>
        <v>96</v>
      </c>
      <c r="C24" s="35">
        <v>1.5</v>
      </c>
      <c r="D24" s="29">
        <f t="shared" si="1"/>
        <v>144</v>
      </c>
    </row>
    <row r="25" spans="1:7">
      <c r="A25" s="28" t="s">
        <v>1133</v>
      </c>
      <c r="B25" s="34">
        <f>8+4*B4</f>
        <v>20</v>
      </c>
      <c r="C25" s="35">
        <v>1</v>
      </c>
      <c r="D25" s="29">
        <f t="shared" si="1"/>
        <v>20</v>
      </c>
    </row>
    <row r="26" spans="1:7">
      <c r="A26" s="28" t="s">
        <v>1134</v>
      </c>
      <c r="B26" s="34">
        <f>ROUNDUP(2*((B2/100)+(B3/100))*2/12.5,0)</f>
        <v>3</v>
      </c>
      <c r="C26" s="35">
        <f>B8</f>
        <v>90</v>
      </c>
      <c r="D26" s="29">
        <f t="shared" si="1"/>
        <v>270</v>
      </c>
    </row>
    <row r="27" spans="1:7">
      <c r="A27" s="36" t="s">
        <v>1135</v>
      </c>
      <c r="B27" s="36">
        <f>IF(OR(F9="สีอบพิเศษ",F9="สีลายไม้อบพิเศษ"),1,0)</f>
        <v>0</v>
      </c>
      <c r="C27" s="32">
        <f>อัปเดตราคาอลู!$B$17</f>
        <v>2000</v>
      </c>
      <c r="D27" s="32">
        <f t="shared" si="1"/>
        <v>0</v>
      </c>
      <c r="E27" s="36" t="s">
        <v>1136</v>
      </c>
    </row>
    <row r="28" spans="1:7">
      <c r="A28" s="607" t="s">
        <v>1137</v>
      </c>
      <c r="D28" s="37">
        <f>SUM(D11:D27)+D57+D36+D37+D38+D39+D58+D59</f>
        <v>28136.59375</v>
      </c>
      <c r="F28" s="258" t="s">
        <v>1138</v>
      </c>
    </row>
    <row r="29" spans="1:7">
      <c r="A29" s="607" t="s">
        <v>1045</v>
      </c>
      <c r="D29" s="37">
        <f>IFERROR(D28/B6,0)</f>
        <v>1563.1440972222222</v>
      </c>
      <c r="F29" s="608" t="s">
        <v>1139</v>
      </c>
      <c r="G29" s="259">
        <f>SUM(D11:D19)</f>
        <v>12448.59375</v>
      </c>
    </row>
    <row r="30" spans="1:7">
      <c r="A30" s="38" t="s">
        <v>1140</v>
      </c>
      <c r="D30" s="39">
        <f>ROUNDUP(D28*(1+B7/100)/100,0)*100</f>
        <v>45600</v>
      </c>
      <c r="F30" s="119" t="s">
        <v>1141</v>
      </c>
      <c r="G30" s="260">
        <f>D20</f>
        <v>12960</v>
      </c>
    </row>
    <row r="31" spans="1:7">
      <c r="G31" s="260">
        <f>SUM(D21:D27)</f>
        <v>1688</v>
      </c>
    </row>
    <row r="32" spans="1:7">
      <c r="A32" s="45" t="s">
        <v>1143</v>
      </c>
      <c r="D32" s="24">
        <f>D30</f>
        <v>45600</v>
      </c>
      <c r="F32" s="119" t="s">
        <v>1144</v>
      </c>
      <c r="G32" s="260">
        <f>SUM(G29:G31)</f>
        <v>27096.59375</v>
      </c>
    </row>
    <row r="33" spans="1:8">
      <c r="A33" s="172" t="s">
        <v>1145</v>
      </c>
      <c r="F33" s="261" t="s">
        <v>1146</v>
      </c>
    </row>
    <row r="34" spans="1:8">
      <c r="A34" s="6" t="s">
        <v>1147</v>
      </c>
      <c r="B34" s="601" t="s">
        <v>674</v>
      </c>
      <c r="C34" t="str">
        <f>IF(B34="ไม่มีมุ้ง","—",IF(H35=1,"✓ ใช้ได้","⚠ ใช้กับบานนี้ไม่ได้(ทุน=0)"))</f>
        <v>—</v>
      </c>
      <c r="D34" t="str">
        <f>IF(B34="ไม่มีมุ้ง","",H40&amp;" บาน")</f>
        <v/>
      </c>
      <c r="H34" s="211" t="str">
        <f>IFERROR(VLOOKUP(B34,ราคามุ้ง!$A$2:$K$15,3,0),"")</f>
        <v/>
      </c>
    </row>
    <row r="35" spans="1:8">
      <c r="A35" s="1" t="s">
        <v>1148</v>
      </c>
      <c r="B35" s="601" t="s">
        <v>682</v>
      </c>
      <c r="C35" s="601" t="s">
        <v>1149</v>
      </c>
      <c r="D35" s="112"/>
      <c r="H35" s="211">
        <f>IF(B34="ไม่มีมุ้ง",0,IF(OR(IFERROR(VLOOKUP(B34,ราคามุ้ง!$A$2:$K$15,4,0),"ALL")="ALL",ISNUMBER(SEARCH("SMS",IFERROR(VLOOKUP(B34,ราคามุ้ง!$A$2:$K$15,4,0),"")))),1,0))</f>
        <v>0</v>
      </c>
    </row>
    <row r="36" spans="1:8">
      <c r="A36" s="1" t="s">
        <v>1150</v>
      </c>
      <c r="B36" s="213">
        <f>IF(AND(H35=1,H36=1),ROUND(H40*2*H39/6,2),0)</f>
        <v>0</v>
      </c>
      <c r="C36" s="21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6" s="112">
        <f>ROUND(B36*C36,0)</f>
        <v>0</v>
      </c>
      <c r="H36" s="211">
        <f>IF(OR(B34="มุ้งเฟรมเล็ก",B34="มุ้งเฟรมใหญ่",B34="มุ้งนิรภัย"),1,0)</f>
        <v>0</v>
      </c>
    </row>
    <row r="37" spans="1:8">
      <c r="A37" s="1" t="s">
        <v>1151</v>
      </c>
      <c r="B37" s="214">
        <f>IF(AND(H35=1,H36=1),ROUND(H40*2*H38/6,2),0)</f>
        <v>0</v>
      </c>
      <c r="C37" s="21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7" s="212">
        <f>ROUND(B37*C37,0)</f>
        <v>0</v>
      </c>
      <c r="H37" s="211">
        <f>IFERROR(VLOOKUP(B35,ราคามุ้ง!$I$2:$J$5,2,0),0)</f>
        <v>23</v>
      </c>
    </row>
    <row r="38" spans="1:8">
      <c r="A38" s="6" t="s">
        <v>1152</v>
      </c>
      <c r="B38" s="215">
        <f>IF(AND(H35=1,H36=1),ROUND(H40*2*(H38+H39),2),0)</f>
        <v>0</v>
      </c>
      <c r="C38" s="212">
        <f>ราคามุ้ง!$D$19</f>
        <v>5</v>
      </c>
      <c r="D38" s="113">
        <f>ROUND(B38*C38,0)</f>
        <v>0</v>
      </c>
      <c r="H38" s="216">
        <f>B2/(B4*100)</f>
        <v>2</v>
      </c>
    </row>
    <row r="39" spans="1:8">
      <c r="A39" s="6" t="s">
        <v>1153</v>
      </c>
      <c r="B39" s="215">
        <f>IF(H35=0,0,ROUND(H40*H38*H39,2))</f>
        <v>0</v>
      </c>
      <c r="C39" s="212">
        <f>IF(B34="มุ้งนิรภัย",650,IF(OR(B34="มุ้งเฟรมเล็ก",B34="มุ้งเฟรมใหญ่"),H37,IF(H34="ซื้อสำเร็จ",IFERROR(VLOOKUP(B34,ราคามุ้ง!$A$2:$K$15,2,0),0),0)))</f>
        <v>0</v>
      </c>
      <c r="D39" s="113">
        <f>ROUND(B39*C39,0)</f>
        <v>0</v>
      </c>
      <c r="H39" s="215">
        <f>B3/100</f>
        <v>3</v>
      </c>
    </row>
    <row r="40" spans="1:8">
      <c r="A40" s="6" t="s">
        <v>1154</v>
      </c>
      <c r="D40" s="113">
        <f>IF(H35=0,0,ROUND(H40*(VLOOKUP(B34,ค่าแรง!$A$12:$N$103,2,0)+VLOOKUP(B34,ค่าแรง!$A$12:$N$103,3,0)*H38*H39),0))</f>
        <v>0</v>
      </c>
      <c r="H40">
        <f>IF(AND(B5="อิสระ",B4=2),1,F2)</f>
        <v>3</v>
      </c>
    </row>
    <row r="41" spans="1:8">
      <c r="A41" t="s">
        <v>1155</v>
      </c>
      <c r="C41" s="212"/>
      <c r="D41" s="212">
        <f>IF(H35=0,0,ROUND(H40*(VLOOKUP(B34,ค่าแรง!$A$12:$N$103,4,0)+VLOOKUP(B34,ค่าแรง!$A$12:$N$103,5,0)*H38*H39),0))</f>
        <v>0</v>
      </c>
      <c r="E41" s="253" t="s">
        <v>1156</v>
      </c>
      <c r="F41" s="254">
        <f>SUM(D36:D41)</f>
        <v>0</v>
      </c>
    </row>
    <row r="42" spans="1:8">
      <c r="A42" s="21" t="s">
        <v>1157</v>
      </c>
    </row>
    <row r="43" spans="1:8">
      <c r="A43" s="40" t="s">
        <v>1158</v>
      </c>
      <c r="D43" s="22">
        <f>MAX(0,VLOOKUP("บานระแนงเลื่อน",ค่าแรง!$A$12:$N$117,2,0)+VLOOKUP("บานระแนงเลื่อน",ค่าแรง!$A$12:$N$117,3,0)*B6)</f>
        <v>3718.75</v>
      </c>
    </row>
    <row r="44" spans="1:8">
      <c r="A44" s="40" t="s">
        <v>1159</v>
      </c>
      <c r="D44" s="22">
        <f>MAX(0,VLOOKUP("บานระแนงเลื่อน",ค่าแรง!$A$12:$N$117,4,0)+VLOOKUP("บานระแนงเลื่อน",ค่าแรง!$A$12:$N$117,5,0)*B6)</f>
        <v>2012.5</v>
      </c>
    </row>
    <row r="46" spans="1:8">
      <c r="A46" s="21" t="s">
        <v>1160</v>
      </c>
      <c r="D46" s="24">
        <f>ROUNDUP((ROUNDUP((ROUNDUP(D28*(1+B7/100)/100,0)*100+ROUNDUP((D43+D40)*(1+B63/100)/100,0)*100)*(1+$B$65/100)/100,0)*100)*1/100,0)*100</f>
        <v>67300</v>
      </c>
    </row>
    <row r="47" spans="1:8">
      <c r="A47" s="21" t="s">
        <v>1161</v>
      </c>
      <c r="D47" s="24">
        <f>D46+ROUNDUP((ROUNDUP((ROUNDUP((D44+D41)*(1+B64/100)/100,0)*100)*(1+$B$65/100)/100,0)*100)*1/100,0)*100</f>
        <v>72700</v>
      </c>
    </row>
    <row r="50" spans="1:7">
      <c r="A50" s="118" t="s">
        <v>1162</v>
      </c>
      <c r="B50" s="119"/>
      <c r="C50" s="119"/>
      <c r="D50" s="119"/>
    </row>
    <row r="51" spans="1:7">
      <c r="A51" s="16" t="s">
        <v>1163</v>
      </c>
      <c r="B51" s="609" t="s">
        <v>1164</v>
      </c>
      <c r="C51" s="119"/>
      <c r="D51" s="119"/>
      <c r="F51" s="16" t="s">
        <v>1165</v>
      </c>
      <c r="G51" s="16">
        <f>INDEX(ราคาออโต้!$C:$C,MATCH("Evecca (จีน)",ราคาออโต้!$B:$B,0))</f>
        <v>13480</v>
      </c>
    </row>
    <row r="52" spans="1:7">
      <c r="A52" s="16" t="s">
        <v>1166</v>
      </c>
      <c r="B52" s="609" t="s">
        <v>548</v>
      </c>
      <c r="C52" s="119"/>
      <c r="D52" s="119"/>
      <c r="F52" s="16" t="s">
        <v>1167</v>
      </c>
      <c r="G52" s="16">
        <f>INDEX(ราคาออโต้!$C:$C,MATCH("สายพาน Evecca",ราคาออโต้!$B:$B,0))</f>
        <v>75</v>
      </c>
    </row>
    <row r="53" spans="1:7">
      <c r="A53" s="16" t="s">
        <v>1168</v>
      </c>
      <c r="B53" s="609" t="s">
        <v>1164</v>
      </c>
      <c r="C53" s="119"/>
      <c r="D53" s="119"/>
      <c r="F53" s="16" t="s">
        <v>1169</v>
      </c>
      <c r="G53" s="16">
        <f>INDEX(ราคาออโต้!$D:$D,MATCH("Evecca (จีน)",ราคาออโต้!$B:$B,0))</f>
        <v>1700</v>
      </c>
    </row>
    <row r="54" spans="1:7">
      <c r="A54" s="16" t="s">
        <v>1170</v>
      </c>
      <c r="B54" s="609" t="s">
        <v>1164</v>
      </c>
      <c r="C54" s="119"/>
      <c r="D54" s="119"/>
      <c r="F54" s="16" t="s">
        <v>1171</v>
      </c>
      <c r="G54" s="16">
        <f>INDEX(ราคาออโต้!$C:$C,MATCH("ออป Smart lock",ราคาออโต้!$B:$B,0))</f>
        <v>6500</v>
      </c>
    </row>
    <row r="55" spans="1:7">
      <c r="A55" s="16" t="s">
        <v>1172</v>
      </c>
      <c r="B55" s="609" t="s">
        <v>1164</v>
      </c>
      <c r="C55" s="119"/>
      <c r="D55" s="119"/>
      <c r="F55" s="16" t="s">
        <v>1173</v>
      </c>
      <c r="G55" s="16">
        <f>INDEX(ราคาออโต้!$C:$C,MATCH("ช่างแซก",ราคาออโต้!$B:$B,0))</f>
        <v>8000</v>
      </c>
    </row>
    <row r="56" spans="1:7">
      <c r="A56" s="119"/>
      <c r="B56" s="119"/>
      <c r="C56" s="119"/>
      <c r="D56" s="119"/>
      <c r="F56" s="16" t="s">
        <v>1174</v>
      </c>
      <c r="G56" s="16">
        <f>INDEX(ราคาออโต้!$C:$C,MATCH("เซฟตี้ตาแมว (บังคับช่างแซก)",ราคาออโต้!$B:$B,0))</f>
        <v>1000</v>
      </c>
    </row>
    <row r="57" spans="1:7">
      <c r="A57" s="120" t="s">
        <v>1175</v>
      </c>
      <c r="B57" s="119"/>
      <c r="C57" s="119"/>
      <c r="D57" s="121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16" t="s">
        <v>1176</v>
      </c>
      <c r="G57" s="16">
        <f>INDEX(ราคาออโต้!$C:$C,MATCH("ราง ช่างแซก",ราคาออโต้!$B:$B,0))</f>
        <v>950</v>
      </c>
    </row>
    <row r="58" spans="1:7">
      <c r="A58" s="28" t="s">
        <v>2469</v>
      </c>
      <c r="B58" s="34">
        <f>ROUNDUP(B2/10,0)</f>
        <v>60</v>
      </c>
      <c r="C58" s="35">
        <v>7</v>
      </c>
      <c r="D58" s="29">
        <f>B58*C58</f>
        <v>420</v>
      </c>
      <c r="F58" s="16" t="s">
        <v>1177</v>
      </c>
      <c r="G58" s="16">
        <f>INDEX(ราคาออโต้!$C:$C,MATCH("ออป Touch Switch (ช่างแซก)",ราคาออโต้!$B:$B,0))</f>
        <v>1000</v>
      </c>
    </row>
    <row r="59" spans="1:7">
      <c r="A59" s="28" t="s">
        <v>2470</v>
      </c>
      <c r="B59" s="34">
        <f>ROUND(2*B2/600,3)</f>
        <v>2</v>
      </c>
      <c r="C59" s="35">
        <f>ราคาสี!$D$195</f>
        <v>310</v>
      </c>
      <c r="D59" s="29">
        <f>B59*C59</f>
        <v>620</v>
      </c>
      <c r="F59" s="16" t="s">
        <v>1178</v>
      </c>
      <c r="G59" s="16">
        <f>INDEX(ราคาออโต้!$C:$C,MATCH("ออป Infrared (ช่างแซก)",ราคาออโต้!$B:$B,0))</f>
        <v>9000</v>
      </c>
    </row>
    <row r="61" spans="1:7">
      <c r="A61" s="28" t="s">
        <v>3148</v>
      </c>
    </row>
    <row r="62" spans="1:7">
      <c r="A62" s="28" t="s">
        <v>1179</v>
      </c>
      <c r="B62" s="543">
        <f>ROUND(($B$69*$B$70-1)*100,0)</f>
        <v>62</v>
      </c>
      <c r="C62" s="28" t="s">
        <v>3149</v>
      </c>
    </row>
    <row r="63" spans="1:7">
      <c r="A63" s="28" t="s">
        <v>1180</v>
      </c>
      <c r="B63" s="543">
        <f>ROUND(($C$69*$B$70-1)*100,0)</f>
        <v>62</v>
      </c>
      <c r="C63" s="28" t="s">
        <v>3149</v>
      </c>
    </row>
    <row r="64" spans="1:7">
      <c r="A64" s="28" t="s">
        <v>1181</v>
      </c>
      <c r="B64" s="543">
        <f>ROUND(($D$69*$B$70-1)*100,0)</f>
        <v>102</v>
      </c>
      <c r="C64" s="28" t="s">
        <v>3149</v>
      </c>
    </row>
    <row r="65" spans="1:6">
      <c r="A65" s="28" t="s">
        <v>3122</v>
      </c>
      <c r="B65" s="539">
        <v>30</v>
      </c>
      <c r="C65" s="28" t="s">
        <v>3150</v>
      </c>
    </row>
    <row r="67" spans="1:6">
      <c r="A67" s="533" t="s">
        <v>3151</v>
      </c>
      <c r="B67" s="535"/>
      <c r="C67" s="533"/>
    </row>
    <row r="68" spans="1:6">
      <c r="A68" t="s">
        <v>3144</v>
      </c>
      <c r="B68" s="541">
        <v>30</v>
      </c>
      <c r="C68" t="s">
        <v>3152</v>
      </c>
    </row>
    <row r="69" spans="1:6">
      <c r="A69" t="s">
        <v>3153</v>
      </c>
      <c r="B69" s="542">
        <v>1.7230000000000001</v>
      </c>
      <c r="C69" s="542">
        <v>1.7230000000000001</v>
      </c>
      <c r="D69" s="542">
        <v>2.1539999999999999</v>
      </c>
      <c r="E69" s="542" t="s">
        <v>3154</v>
      </c>
      <c r="F69" s="542"/>
    </row>
    <row r="70" spans="1:6">
      <c r="A70" t="s">
        <v>3155</v>
      </c>
      <c r="B70" s="542">
        <f>IFERROR((((D28)+(D43+D40)+(D44+D41))/(100/(100+B65)-B68/100))/(((D28)*$B$69+(D43+D40)*$C$69+(D44+D41)*$D$69)*(1+B65/100)),1)</f>
        <v>0.93751229598972741</v>
      </c>
      <c r="C70" t="s">
        <v>3156</v>
      </c>
    </row>
    <row r="72" spans="1:6">
      <c r="A72" s="533" t="s">
        <v>3126</v>
      </c>
      <c r="B72" s="535"/>
      <c r="C72" s="533"/>
    </row>
    <row r="73" spans="1:6">
      <c r="A73" s="533" t="s">
        <v>3127</v>
      </c>
      <c r="B73" s="534">
        <f>IFERROR(ROUND(D47-D47/(1+B65/100),0),0)</f>
        <v>16777</v>
      </c>
      <c r="C73" s="533" t="s">
        <v>3128</v>
      </c>
    </row>
    <row r="74" spans="1:6">
      <c r="A74" s="533" t="s">
        <v>3129</v>
      </c>
      <c r="B74" s="534">
        <f>D28+D43+D40+D44+D41+B73</f>
        <v>50644.84375</v>
      </c>
      <c r="C74" s="533" t="s">
        <v>3130</v>
      </c>
    </row>
    <row r="75" spans="1:6">
      <c r="A75" s="536" t="s">
        <v>3131</v>
      </c>
      <c r="B75" s="537">
        <f>IFERROR((D47-B74)/D47,"")</f>
        <v>0.30337216299862446</v>
      </c>
      <c r="C75" s="536" t="s">
        <v>3157</v>
      </c>
    </row>
  </sheetData>
  <sheetProtection sheet="1" objects="1" scenarios="1"/>
  <mergeCells count="1">
    <mergeCell ref="A1:D1"/>
  </mergeCells>
  <dataValidations count="8">
    <dataValidation type="list" sqref="B5" xr:uid="{00000000-0002-0000-4500-000000000000}">
      <formula1>"อิสระ,ลากจูง,เปิดคู่กลาง"</formula1>
      <formula2>0</formula2>
    </dataValidation>
    <dataValidation type="list" sqref="F9" xr:uid="{00000000-0002-0000-4500-000001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sqref="F7" xr:uid="{00000000-0002-0000-4500-000002000000}">
      <formula1>"ภายนอก,ภายใน"</formula1>
      <formula2>0</formula2>
    </dataValidation>
    <dataValidation type="list" allowBlank="1" sqref="B51 B53:B55" xr:uid="{00000000-0002-0000-4500-000003000000}">
      <formula1>"มี,ไม่มี"</formula1>
    </dataValidation>
    <dataValidation type="list" allowBlank="1" sqref="B52" xr:uid="{00000000-0002-0000-4500-000004000000}">
      <formula1>"Evecca (จีน),ช่างแซก"</formula1>
    </dataValidation>
    <dataValidation type="list" allowBlank="1" sqref="B34" xr:uid="{00000000-0002-0000-4500-000008000000}">
      <formula1>MungList</formula1>
    </dataValidation>
    <dataValidation type="list" allowBlank="1" sqref="B35" xr:uid="{00000000-0002-0000-4500-000009000000}">
      <formula1>ClothList</formula1>
    </dataValidation>
    <dataValidation type="list" allowBlank="1" sqref="C35" xr:uid="{00000000-0002-0000-4500-00000A000000}">
      <formula1>"เทา,ดำ"</formula1>
    </dataValidation>
  </dataValidations>
  <hyperlinks>
    <hyperlink ref="G1" location="'สารบัญ'!A1" display="🏠 สารบัญ" xr:uid="{00000000-0004-0000-4500-000000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5B9BD5"/>
  </sheetPr>
  <dimension ref="A1:J21"/>
  <sheetViews>
    <sheetView workbookViewId="0"/>
  </sheetViews>
  <sheetFormatPr defaultRowHeight="14.4"/>
  <cols>
    <col min="1" max="1" width="16" customWidth="1"/>
    <col min="2" max="4" width="11" customWidth="1"/>
    <col min="5" max="5" width="12" customWidth="1"/>
    <col min="6" max="6" width="9" customWidth="1"/>
    <col min="7" max="7" width="12" customWidth="1"/>
    <col min="8" max="8" width="11" customWidth="1"/>
    <col min="9" max="9" width="15" customWidth="1"/>
    <col min="10" max="10" width="12.77734375" customWidth="1"/>
  </cols>
  <sheetData>
    <row r="1" spans="1:10">
      <c r="A1" s="692" t="s">
        <v>3040</v>
      </c>
      <c r="B1" s="650"/>
      <c r="C1" s="650"/>
      <c r="D1" s="650"/>
      <c r="E1" s="650"/>
      <c r="F1" s="650"/>
      <c r="G1" s="650"/>
      <c r="H1" s="650"/>
      <c r="I1" s="650"/>
      <c r="J1" s="441" t="s">
        <v>68</v>
      </c>
    </row>
    <row r="3" spans="1:10">
      <c r="A3" s="335" t="s">
        <v>2471</v>
      </c>
      <c r="B3" s="595">
        <v>2000</v>
      </c>
    </row>
    <row r="5" spans="1:10">
      <c r="A5" s="693" t="s">
        <v>2472</v>
      </c>
      <c r="B5" s="650"/>
      <c r="C5" s="650"/>
      <c r="D5" s="650"/>
      <c r="E5" s="650"/>
      <c r="F5" s="650"/>
      <c r="G5" s="650"/>
      <c r="H5" s="650"/>
      <c r="I5" s="650"/>
    </row>
    <row r="6" spans="1:10" ht="27">
      <c r="A6" s="336" t="s">
        <v>800</v>
      </c>
      <c r="B6" s="336" t="s">
        <v>2473</v>
      </c>
      <c r="C6" s="336" t="s">
        <v>2474</v>
      </c>
      <c r="D6" s="336" t="s">
        <v>1606</v>
      </c>
      <c r="E6" s="336" t="s">
        <v>2475</v>
      </c>
      <c r="F6" s="336" t="s">
        <v>2476</v>
      </c>
      <c r="G6" s="336" t="s">
        <v>2424</v>
      </c>
      <c r="H6" s="336" t="s">
        <v>1045</v>
      </c>
      <c r="I6" s="336" t="s">
        <v>2477</v>
      </c>
    </row>
    <row r="7" spans="1:10">
      <c r="A7" s="337" t="s">
        <v>2478</v>
      </c>
      <c r="B7" s="338">
        <v>800</v>
      </c>
      <c r="C7" s="338">
        <v>2200</v>
      </c>
      <c r="D7" s="339">
        <f>ROUND(B7*C7/1000000,2)</f>
        <v>1.76</v>
      </c>
      <c r="E7" s="340">
        <v>25000</v>
      </c>
      <c r="F7" s="341">
        <f>$B$3</f>
        <v>2000</v>
      </c>
      <c r="G7" s="342">
        <f>E7+F7</f>
        <v>27000</v>
      </c>
      <c r="H7" s="341">
        <f>ROUND(G7/D7,0)</f>
        <v>15341</v>
      </c>
      <c r="I7" s="343">
        <f>ROUNDUP((ROUNDUP(G7*1.538462/100,0)*100)*(1+$B$21/100)/100,0)*100</f>
        <v>54100</v>
      </c>
    </row>
    <row r="8" spans="1:10">
      <c r="A8" s="337" t="s">
        <v>2479</v>
      </c>
      <c r="B8" s="338">
        <v>1100</v>
      </c>
      <c r="C8" s="338">
        <v>3000</v>
      </c>
      <c r="D8" s="339">
        <f>ROUND(B8*C8/1000000,2)</f>
        <v>3.3</v>
      </c>
      <c r="E8" s="340">
        <v>47000</v>
      </c>
      <c r="F8" s="341">
        <f>$B$3</f>
        <v>2000</v>
      </c>
      <c r="G8" s="342">
        <f>E8+F8</f>
        <v>49000</v>
      </c>
      <c r="H8" s="341">
        <f>ROUND(G8/D8,0)</f>
        <v>14848</v>
      </c>
      <c r="I8" s="343">
        <f>ROUNDUP((ROUNDUP(G8*1.538462/100,0)*100)*(1+$B$21/100)/100,0)*100</f>
        <v>98100</v>
      </c>
    </row>
    <row r="9" spans="1:10">
      <c r="A9" s="337" t="s">
        <v>2480</v>
      </c>
      <c r="B9" s="338">
        <v>1550</v>
      </c>
      <c r="C9" s="338">
        <v>2000</v>
      </c>
      <c r="D9" s="339">
        <f>ROUND(B9*C9/1000000,2)</f>
        <v>3.1</v>
      </c>
      <c r="E9" s="340">
        <v>48000</v>
      </c>
      <c r="F9" s="341">
        <f>$B$3</f>
        <v>2000</v>
      </c>
      <c r="G9" s="342">
        <f>E9+F9</f>
        <v>50000</v>
      </c>
      <c r="H9" s="341">
        <f>ROUND(G9/D9,0)</f>
        <v>16129</v>
      </c>
      <c r="I9" s="343">
        <f>ROUNDUP((ROUNDUP(G9*1.538462/100,0)*100)*(1+$B$21/100)/100,0)*100</f>
        <v>100100</v>
      </c>
    </row>
    <row r="10" spans="1:10">
      <c r="A10" s="337" t="s">
        <v>2481</v>
      </c>
      <c r="B10" s="338">
        <v>2150</v>
      </c>
      <c r="C10" s="338">
        <v>3000</v>
      </c>
      <c r="D10" s="339">
        <f>ROUND(B10*C10/1000000,2)</f>
        <v>6.45</v>
      </c>
      <c r="E10" s="340">
        <v>65000</v>
      </c>
      <c r="F10" s="341">
        <f>$B$3</f>
        <v>2000</v>
      </c>
      <c r="G10" s="342">
        <f>E10+F10</f>
        <v>67000</v>
      </c>
      <c r="H10" s="341">
        <f>ROUND(G10/D10,0)</f>
        <v>10388</v>
      </c>
      <c r="I10" s="343">
        <f>ROUNDUP((ROUNDUP(G10*1.538462/100,0)*100)*(1+$B$21/100)/100,0)*100</f>
        <v>134100</v>
      </c>
    </row>
    <row r="13" spans="1:10">
      <c r="A13" s="693" t="s">
        <v>2482</v>
      </c>
      <c r="B13" s="650"/>
      <c r="C13" s="650"/>
      <c r="D13" s="650"/>
      <c r="E13" s="650"/>
      <c r="F13" s="650"/>
      <c r="G13" s="650"/>
      <c r="H13" s="650"/>
      <c r="I13" s="650"/>
    </row>
    <row r="14" spans="1:10">
      <c r="A14" s="344" t="s">
        <v>800</v>
      </c>
      <c r="B14" s="344" t="s">
        <v>1045</v>
      </c>
      <c r="C14" s="344" t="s">
        <v>2483</v>
      </c>
      <c r="D14" s="344" t="s">
        <v>2484</v>
      </c>
      <c r="E14" s="344" t="s">
        <v>569</v>
      </c>
    </row>
    <row r="15" spans="1:10">
      <c r="A15" s="337" t="s">
        <v>2485</v>
      </c>
      <c r="B15" s="342">
        <v>11390</v>
      </c>
      <c r="C15" s="337" t="s">
        <v>2486</v>
      </c>
      <c r="D15" s="337" t="s">
        <v>2487</v>
      </c>
      <c r="E15" s="337" t="s">
        <v>2488</v>
      </c>
    </row>
    <row r="16" spans="1:10">
      <c r="A16" s="337" t="s">
        <v>2489</v>
      </c>
      <c r="B16" s="342">
        <v>9860</v>
      </c>
      <c r="C16" s="337" t="s">
        <v>2486</v>
      </c>
      <c r="D16" s="337" t="s">
        <v>2490</v>
      </c>
      <c r="E16" s="337" t="s">
        <v>2488</v>
      </c>
    </row>
    <row r="18" spans="1:9">
      <c r="A18" s="694" t="s">
        <v>2491</v>
      </c>
      <c r="B18" s="650"/>
      <c r="C18" s="650"/>
      <c r="D18" s="650"/>
      <c r="E18" s="650"/>
      <c r="F18" s="650"/>
      <c r="G18" s="650"/>
      <c r="H18" s="650"/>
      <c r="I18" s="650"/>
    </row>
    <row r="20" spans="1:9">
      <c r="A20" t="s">
        <v>3124</v>
      </c>
    </row>
    <row r="21" spans="1:9">
      <c r="A21" t="s">
        <v>3122</v>
      </c>
      <c r="B21">
        <v>30</v>
      </c>
      <c r="C21" t="s">
        <v>3123</v>
      </c>
    </row>
  </sheetData>
  <mergeCells count="4">
    <mergeCell ref="A1:I1"/>
    <mergeCell ref="A5:I5"/>
    <mergeCell ref="A18:I18"/>
    <mergeCell ref="A13:I13"/>
  </mergeCells>
  <hyperlinks>
    <hyperlink ref="J1" location="'สารบัญ'!A1" display="🏠 สารบัญ" xr:uid="{29D9830C-23C8-4732-A28D-493D9AE4FE82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5B9BD5"/>
  </sheetPr>
  <dimension ref="A1:G68"/>
  <sheetViews>
    <sheetView workbookViewId="0">
      <selection sqref="A1:E1"/>
    </sheetView>
  </sheetViews>
  <sheetFormatPr defaultRowHeight="14.4"/>
  <cols>
    <col min="1" max="1" width="32" customWidth="1"/>
    <col min="2" max="2" width="14" customWidth="1"/>
    <col min="3" max="3" width="42.6640625" customWidth="1"/>
    <col min="4" max="5" width="14" customWidth="1"/>
  </cols>
  <sheetData>
    <row r="1" spans="1:7">
      <c r="A1" s="696" t="s">
        <v>2492</v>
      </c>
      <c r="B1" s="677"/>
      <c r="C1" s="677"/>
      <c r="D1" s="677"/>
      <c r="E1" s="678"/>
      <c r="G1" s="375" t="s">
        <v>68</v>
      </c>
    </row>
    <row r="2" spans="1:7">
      <c r="A2" s="346" t="s">
        <v>2493</v>
      </c>
      <c r="B2" s="577">
        <v>200</v>
      </c>
    </row>
    <row r="3" spans="1:7">
      <c r="A3" s="346" t="s">
        <v>2494</v>
      </c>
      <c r="B3" s="577">
        <v>120</v>
      </c>
    </row>
    <row r="4" spans="1:7">
      <c r="A4" s="346" t="s">
        <v>2495</v>
      </c>
      <c r="B4" s="577">
        <v>2</v>
      </c>
    </row>
    <row r="5" spans="1:7">
      <c r="A5" s="346" t="s">
        <v>1114</v>
      </c>
      <c r="B5" s="347">
        <f>(B2/100)*(B3/100)</f>
        <v>2.4</v>
      </c>
    </row>
    <row r="6" spans="1:7">
      <c r="A6" s="346" t="s">
        <v>1116</v>
      </c>
      <c r="B6" s="388">
        <f>$B$55</f>
        <v>102</v>
      </c>
      <c r="C6" s="588" t="s">
        <v>2702</v>
      </c>
    </row>
    <row r="8" spans="1:7">
      <c r="A8" s="346" t="s">
        <v>1120</v>
      </c>
      <c r="B8" s="577" t="s">
        <v>733</v>
      </c>
      <c r="C8" s="348">
        <f>INDEX(ราคากระจก!$B$3:$B$206,MATCH(B8,ราคากระจก!$A$3:$A$206,0))</f>
        <v>264</v>
      </c>
      <c r="D8" s="349" t="s">
        <v>1538</v>
      </c>
      <c r="E8" s="346" t="s">
        <v>1122</v>
      </c>
      <c r="F8" s="596" t="s">
        <v>1123</v>
      </c>
    </row>
    <row r="10" spans="1:7">
      <c r="A10" s="345" t="s">
        <v>1539</v>
      </c>
      <c r="B10" s="578" t="s">
        <v>2496</v>
      </c>
      <c r="C10" s="578" t="s">
        <v>477</v>
      </c>
      <c r="D10" s="345" t="s">
        <v>1541</v>
      </c>
      <c r="E10" s="345" t="s">
        <v>1126</v>
      </c>
    </row>
    <row r="11" spans="1:7">
      <c r="A11" s="350" t="s">
        <v>2497</v>
      </c>
      <c r="B11" s="351">
        <f>(B3-2)*2</f>
        <v>236</v>
      </c>
      <c r="C11" s="348">
        <f t="shared" ref="C11:C17" si="0">ROUNDUP(B11/640,0)</f>
        <v>1</v>
      </c>
      <c r="D11" s="352">
        <f>IF(F8="สีอบขาว/ดำ",VLOOKUP("F7968",ราคาสี!$A:$F,4,0),IF(OR(F8="เทาซาฮาร่า",F8="สีดำซาฮาร่า"),VLOOKUP("F7968",ราคาสี!$A:$F,5,0),IF(F8="แอทแทคเกรย์",VLOOKUP("F7968",ราคาสี!$A:$J,7,0),IF(F8="ลายไม้สักทอง",(VLOOKUP("F7968",ราคาสี!$A:$H,8,0)*mult_wood/mult_euro),IF(F8="ลายไม้มะฮอกกานี",(VLOOKUP("F7968",ราคาสี!$A:$J,9,0)*mult_wood/mult_euro),IF(F8="ลายไม้ไวท์โอ๊ค",(VLOOKUP("F7968",ราคาสี!$A:$J,10,0)*mult_wood/mult_euro),IF(F8="สีอบพิเศษ",6076,6365)))))))</f>
        <v>3415</v>
      </c>
      <c r="E11" s="353">
        <f t="shared" ref="E11:E17" si="1">C11*D11*mult_euro</f>
        <v>3415</v>
      </c>
    </row>
    <row r="12" spans="1:7">
      <c r="A12" s="350" t="s">
        <v>1543</v>
      </c>
      <c r="B12" s="351">
        <f>(B2-11)</f>
        <v>189</v>
      </c>
      <c r="C12" s="348">
        <f t="shared" si="0"/>
        <v>1</v>
      </c>
      <c r="D12" s="352">
        <f>IF(F8="สีอบขาว/ดำ",VLOOKUP("F7969",ราคาสี!$A:$F,4,0),IF(OR(F8="เทาซาฮาร่า",F8="สีดำซาฮาร่า"),VLOOKUP("F7969",ราคาสี!$A:$F,5,0),IF(F8="แอทแทคเกรย์",VLOOKUP("F7969",ราคาสี!$A:$J,7,0),IF(F8="ลายไม้สักทอง",(VLOOKUP("F7969",ราคาสี!$A:$H,8,0)*mult_wood/mult_euro),IF(F8="ลายไม้มะฮอกกานี",(VLOOKUP("F7969",ราคาสี!$A:$J,9,0)*mult_wood/mult_euro),IF(F8="ลายไม้ไวท์โอ๊ค",(VLOOKUP("F7969",ราคาสี!$A:$J,10,0)*mult_wood/mult_euro),IF(F8="สีอบพิเศษ",3348,3507)))))))</f>
        <v>1895</v>
      </c>
      <c r="E12" s="353">
        <f t="shared" si="1"/>
        <v>1895</v>
      </c>
    </row>
    <row r="13" spans="1:7">
      <c r="A13" s="350" t="s">
        <v>2498</v>
      </c>
      <c r="B13" s="351">
        <f>B2</f>
        <v>200</v>
      </c>
      <c r="C13" s="348">
        <f t="shared" si="0"/>
        <v>1</v>
      </c>
      <c r="D13" s="352">
        <f>IF(F8="สีอบขาว/ดำ",VLOOKUP("F7970",ราคาสี!$A:$F,4,0),IF(OR(F8="เทาซาฮาร่า",F8="สีดำซาฮาร่า"),VLOOKUP("F7970",ราคาสี!$A:$F,5,0),IF(F8="แอทแทคเกรย์",VLOOKUP("F7970",ราคาสี!$A:$J,7,0),IF(F8="ลายไม้สักทอง",(VLOOKUP("F7970",ราคาสี!$A:$H,8,0)*mult_wood/mult_euro),IF(F8="ลายไม้มะฮอกกานี",(VLOOKUP("F7970",ราคาสี!$A:$J,9,0)*mult_wood/mult_euro),IF(F8="ลายไม้ไวท์โอ๊ค",(VLOOKUP("F7970",ราคาสี!$A:$J,10,0)*mult_wood/mult_euro),IF(F8="สีอบพิเศษ",2061,2159)))))))</f>
        <v>1120</v>
      </c>
      <c r="E13" s="353">
        <f t="shared" si="1"/>
        <v>1120</v>
      </c>
    </row>
    <row r="14" spans="1:7">
      <c r="A14" s="350" t="s">
        <v>2499</v>
      </c>
      <c r="B14" s="351">
        <f>(B2-15)</f>
        <v>185</v>
      </c>
      <c r="C14" s="348">
        <f t="shared" si="0"/>
        <v>1</v>
      </c>
      <c r="D14" s="352">
        <f>IF(F8="สีอบขาว/ดำ",VLOOKUP("F7971",ราคาสี!$A:$F,4,0),IF(OR(F8="เทาซาฮาร่า",F8="สีดำซาฮาร่า"),VLOOKUP("F7971",ราคาสี!$A:$F,5,0),IF(F8="แอทแทคเกรย์",VLOOKUP("F7971",ราคาสี!$A:$J,7,0),IF(F8="ลายไม้สักทอง",(VLOOKUP("F7971",ราคาสี!$A:$H,8,0)*mult_wood/mult_euro),IF(F8="ลายไม้มะฮอกกานี",(VLOOKUP("F7971",ราคาสี!$A:$J,9,0)*mult_wood/mult_euro),IF(F8="ลายไม้ไวท์โอ๊ค",(VLOOKUP("F7971",ราคาสี!$A:$J,10,0)*mult_wood/mult_euro),IF(F8="สีอบพิเศษ",919,963)))))))</f>
        <v>520</v>
      </c>
      <c r="E14" s="353">
        <f t="shared" si="1"/>
        <v>520</v>
      </c>
    </row>
    <row r="15" spans="1:7">
      <c r="A15" s="350" t="s">
        <v>2500</v>
      </c>
      <c r="B15" s="351">
        <f>(B3-6.5)*2+(B2-11)</f>
        <v>416</v>
      </c>
      <c r="C15" s="348">
        <f t="shared" si="0"/>
        <v>1</v>
      </c>
      <c r="D15" s="352">
        <f>IF(F8="สีอบขาว/ดำ",VLOOKUP("F7973",ราคาสี!$A:$F,4,0),IF(OR(F8="เทาซาฮาร่า",F8="สีดำซาฮาร่า"),VLOOKUP("F7973",ราคาสี!$A:$F,5,0),IF(F8="แอทแทคเกรย์",VLOOKUP("F7973",ราคาสี!$A:$J,7,0),IF(F8="ลายไม้สักทอง",(VLOOKUP("F7973",ราคาสี!$A:$H,8,0)*mult_wood/mult_euro),IF(F8="ลายไม้มะฮอกกานี",(VLOOKUP("F7973",ราคาสี!$A:$J,9,0)*mult_wood/mult_euro),IF(F8="ลายไม้ไวท์โอ๊ค",(VLOOKUP("F7973",ราคาสี!$A:$J,10,0)*mult_wood/mult_euro),IF(F8="สีอบพิเศษ",445,466)))))))</f>
        <v>245</v>
      </c>
      <c r="E15" s="353">
        <f t="shared" si="1"/>
        <v>245</v>
      </c>
    </row>
    <row r="16" spans="1:7">
      <c r="A16" s="350" t="s">
        <v>2501</v>
      </c>
      <c r="B16" s="351">
        <f>((B3-8.2)/2)*4+(B2-12.4)*4</f>
        <v>974</v>
      </c>
      <c r="C16" s="348">
        <f t="shared" si="0"/>
        <v>2</v>
      </c>
      <c r="D16" s="352">
        <f>IF(F8="สีอบขาว/ดำ",VLOOKUP("F7972",ราคาสี!$A:$F,4,0),IF(OR(F8="เทาซาฮาร่า",F8="สีดำซาฮาร่า"),VLOOKUP("F7972",ราคาสี!$A:$F,5,0),IF(F8="แอทแทคเกรย์",VLOOKUP("F7972",ราคาสี!$A:$J,7,0),IF(F8="ลายไม้สักทอง",(VLOOKUP("F7972",ราคาสี!$A:$H,8,0)*mult_wood/mult_euro),IF(F8="ลายไม้มะฮอกกานี",(VLOOKUP("F7972",ราคาสี!$A:$J,9,0)*mult_wood/mult_euro),IF(F8="ลายไม้ไวท์โอ๊ค",(VLOOKUP("F7972",ราคาสี!$A:$J,10,0)*mult_wood/mult_euro),IF(F8="สีอบพิเศษ",3232,3385)))))))</f>
        <v>1885</v>
      </c>
      <c r="E16" s="353">
        <f t="shared" si="1"/>
        <v>3770</v>
      </c>
    </row>
    <row r="17" spans="1:5">
      <c r="A17" s="350" t="s">
        <v>2502</v>
      </c>
      <c r="B17" s="351">
        <f>((B3-39.5)/2)*4+(B2-24)*4</f>
        <v>865</v>
      </c>
      <c r="C17" s="348">
        <f t="shared" si="0"/>
        <v>2</v>
      </c>
      <c r="D17" s="352">
        <f>IF(F8="สีอบขาว/ดำ",VLOOKUP("F7935",ราคาสี!$A:$F,4,0),IF(OR(F8="เทาซาฮาร่า",F8="สีดำซาฮาร่า"),VLOOKUP("F7935",ราคาสี!$A:$F,5,0),IF(F8="แอทแทคเกรย์",VLOOKUP("F7935",ราคาสี!$A:$J,7,0),IF(F8="ลายไม้สักทอง",(VLOOKUP("F7935",ราคาสี!$A:$H,8,0)*mult_wood/mult_euro),IF(F8="ลายไม้มะฮอกกานี",(VLOOKUP("F7935",ราคาสี!$A:$J,9,0)*mult_wood/mult_euro),IF(F8="ลายไม้ไวท์โอ๊ค",(VLOOKUP("F7935",ราคาสี!$A:$J,10,0)*mult_wood/mult_euro),IF(F8="สีอบพิเศษ",658,689)))))))</f>
        <v>380</v>
      </c>
      <c r="E17" s="353">
        <f t="shared" si="1"/>
        <v>760</v>
      </c>
    </row>
    <row r="18" spans="1:5">
      <c r="A18" s="695" t="s">
        <v>2503</v>
      </c>
      <c r="B18" s="677"/>
      <c r="C18" s="677"/>
      <c r="D18" s="677"/>
      <c r="E18" s="678"/>
    </row>
    <row r="19" spans="1:5">
      <c r="A19" s="350" t="s">
        <v>1552</v>
      </c>
      <c r="C19" s="348" t="s">
        <v>2504</v>
      </c>
      <c r="D19" s="348">
        <f>ชีทอุปกรณ์!$D$204</f>
        <v>299</v>
      </c>
      <c r="E19" s="353">
        <f t="shared" ref="E19:E27" si="2">C19*D19</f>
        <v>299</v>
      </c>
    </row>
    <row r="20" spans="1:5">
      <c r="A20" s="350" t="s">
        <v>2505</v>
      </c>
      <c r="C20" s="348">
        <f>IF(B2&lt;=270,7,10)</f>
        <v>7</v>
      </c>
      <c r="D20" s="348">
        <v>72</v>
      </c>
      <c r="E20" s="353">
        <f t="shared" si="2"/>
        <v>504</v>
      </c>
    </row>
    <row r="21" spans="1:5">
      <c r="A21" s="350" t="s">
        <v>1554</v>
      </c>
      <c r="C21" s="348" t="s">
        <v>2504</v>
      </c>
      <c r="D21" s="348">
        <f>ชีทอุปกรณ์!$D$205</f>
        <v>109</v>
      </c>
      <c r="E21" s="353">
        <f t="shared" si="2"/>
        <v>109</v>
      </c>
    </row>
    <row r="22" spans="1:5">
      <c r="A22" s="350" t="s">
        <v>1555</v>
      </c>
      <c r="C22" s="348" t="s">
        <v>2504</v>
      </c>
      <c r="D22" s="348">
        <f>ชีทอุปกรณ์!$D$206</f>
        <v>199</v>
      </c>
      <c r="E22" s="353">
        <f t="shared" si="2"/>
        <v>199</v>
      </c>
    </row>
    <row r="23" spans="1:5">
      <c r="A23" s="350" t="s">
        <v>1556</v>
      </c>
      <c r="C23" s="348" t="s">
        <v>2504</v>
      </c>
      <c r="D23" s="348">
        <v>85</v>
      </c>
      <c r="E23" s="353">
        <f t="shared" si="2"/>
        <v>85</v>
      </c>
    </row>
    <row r="24" spans="1:5">
      <c r="A24" s="350" t="s">
        <v>1557</v>
      </c>
      <c r="C24" s="348" t="s">
        <v>2504</v>
      </c>
      <c r="D24" s="348">
        <v>88</v>
      </c>
      <c r="E24" s="353">
        <f t="shared" si="2"/>
        <v>88</v>
      </c>
    </row>
    <row r="25" spans="1:5">
      <c r="A25" s="350" t="s">
        <v>1558</v>
      </c>
      <c r="C25" s="348" t="s">
        <v>5</v>
      </c>
      <c r="D25" s="348">
        <v>73</v>
      </c>
      <c r="E25" s="353">
        <f t="shared" si="2"/>
        <v>146</v>
      </c>
    </row>
    <row r="26" spans="1:5">
      <c r="A26" s="350" t="s">
        <v>1559</v>
      </c>
      <c r="C26" s="348">
        <f>4*B4</f>
        <v>8</v>
      </c>
      <c r="D26" s="348">
        <v>15</v>
      </c>
      <c r="E26" s="353">
        <f t="shared" si="2"/>
        <v>120</v>
      </c>
    </row>
    <row r="27" spans="1:5">
      <c r="A27" s="350" t="s">
        <v>1560</v>
      </c>
      <c r="C27" s="348">
        <f>12*B4</f>
        <v>24</v>
      </c>
      <c r="D27" s="348">
        <v>1.5</v>
      </c>
      <c r="E27" s="353">
        <f t="shared" si="2"/>
        <v>36</v>
      </c>
    </row>
    <row r="28" spans="1:5">
      <c r="A28" s="695" t="s">
        <v>2506</v>
      </c>
      <c r="B28" s="677"/>
      <c r="C28" s="677"/>
      <c r="D28" s="677"/>
      <c r="E28" s="678"/>
    </row>
    <row r="29" spans="1:5">
      <c r="A29" s="350" t="s">
        <v>2507</v>
      </c>
      <c r="B29" s="351">
        <f>2*((B2-25.4)+((B3-8.2)/2-13))*B4/100</f>
        <v>8.6999999999999993</v>
      </c>
      <c r="C29" s="351">
        <f>ROUND(B29,1)</f>
        <v>8.6999999999999993</v>
      </c>
      <c r="D29" s="348">
        <v>8</v>
      </c>
      <c r="E29" s="353">
        <f>C29*D29</f>
        <v>69.599999999999994</v>
      </c>
    </row>
    <row r="30" spans="1:5">
      <c r="A30" s="350" t="s">
        <v>2508</v>
      </c>
      <c r="B30" s="351">
        <f>2*((B2-25.4)+((B3-8.2)/2-13))*B4/100</f>
        <v>8.6999999999999993</v>
      </c>
      <c r="C30" s="351">
        <f>ROUND(B30,1)</f>
        <v>8.6999999999999993</v>
      </c>
      <c r="D30" s="348">
        <v>8</v>
      </c>
      <c r="E30" s="353">
        <f>C30*D30</f>
        <v>69.599999999999994</v>
      </c>
    </row>
    <row r="31" spans="1:5">
      <c r="A31" s="350" t="s">
        <v>2509</v>
      </c>
      <c r="B31" s="351">
        <f>2*((B2-12.4)+((B3-8.2)/2))*B4/100</f>
        <v>9.74</v>
      </c>
      <c r="C31" s="351">
        <f>ROUND(B31,1)</f>
        <v>9.6999999999999993</v>
      </c>
      <c r="D31" s="348">
        <v>7</v>
      </c>
      <c r="E31" s="353">
        <f>C31*D31</f>
        <v>67.899999999999991</v>
      </c>
    </row>
    <row r="32" spans="1:5">
      <c r="A32" s="695" t="s">
        <v>2510</v>
      </c>
      <c r="B32" s="677"/>
      <c r="C32" s="677"/>
      <c r="D32" s="677"/>
      <c r="E32" s="678"/>
    </row>
    <row r="33" spans="1:5">
      <c r="A33" s="346" t="s">
        <v>1128</v>
      </c>
      <c r="B33" s="354">
        <f>ROUND((B2-25.4)/100*((B3-8.2)/2-13)/100*B4,3)</f>
        <v>1.498</v>
      </c>
      <c r="D33" s="348">
        <f>C8</f>
        <v>264</v>
      </c>
      <c r="E33" s="355">
        <f>B33*C8</f>
        <v>395.47199999999998</v>
      </c>
    </row>
    <row r="34" spans="1:5">
      <c r="A34" s="350" t="s">
        <v>1250</v>
      </c>
      <c r="E34" s="353">
        <f>IF(OR(F8="สีอบพิเศษ",F8="สีลายไม้อบพิเศษ"),อัปเดตราคาอลู!$B$17,0)</f>
        <v>0</v>
      </c>
    </row>
    <row r="36" spans="1:5">
      <c r="A36" s="356" t="s">
        <v>1137</v>
      </c>
      <c r="E36" s="357">
        <f>SUM(E11:E34)</f>
        <v>13913.572</v>
      </c>
    </row>
    <row r="37" spans="1:5">
      <c r="A37" s="358" t="s">
        <v>1045</v>
      </c>
      <c r="E37" s="359">
        <f>E36/B5</f>
        <v>5797.3216666666667</v>
      </c>
    </row>
    <row r="38" spans="1:5">
      <c r="A38" s="358" t="s">
        <v>2511</v>
      </c>
      <c r="E38" s="359">
        <f>ROUNDUP(E37*(1+B6/100)/100,0)*100</f>
        <v>11800</v>
      </c>
    </row>
    <row r="39" spans="1:5">
      <c r="A39" s="356" t="s">
        <v>1143</v>
      </c>
      <c r="E39" s="357">
        <f>B5*E38</f>
        <v>28320</v>
      </c>
    </row>
    <row r="42" spans="1:5">
      <c r="A42" s="350" t="s">
        <v>2512</v>
      </c>
      <c r="E42" s="352">
        <f>MAX(0,VLOOKUP("บานเฟี้ยมยก",ค่าแรง!$A$12:$N$117,2,0)+VLOOKUP("บานเฟี้ยมยก",ค่าแรง!$A$12:$N$117,3,0)*B5)</f>
        <v>3214.75</v>
      </c>
    </row>
    <row r="43" spans="1:5">
      <c r="A43" s="350" t="s">
        <v>2513</v>
      </c>
      <c r="E43" s="352">
        <f>MAX(0,VLOOKUP("บานเฟี้ยมยก",ค่าแรง!$A$12:$N$117,4,0)+VLOOKUP("บานเฟี้ยมยก",ค่าแรง!$A$12:$N$117,5,0)*B5)</f>
        <v>2582.3000000000002</v>
      </c>
    </row>
    <row r="44" spans="1:5">
      <c r="A44" t="s">
        <v>2514</v>
      </c>
      <c r="E44" s="360">
        <f>ROUNDUP((ROUNDUP((ROUNDUP(E36*(1+B6/100)/100,0)*100+ROUNDUP(E42*(1+B56/100)/100,0)*100+ROUNDUP(E43*(1+B57/100)/100,0)*100)*(1+$B$58/100)/100,0)*100)*1/100,0)*100</f>
        <v>53700</v>
      </c>
    </row>
    <row r="45" spans="1:5">
      <c r="A45" s="695" t="s">
        <v>1138</v>
      </c>
      <c r="B45" s="677"/>
      <c r="C45" s="677"/>
      <c r="D45" s="677"/>
      <c r="E45" s="678"/>
    </row>
    <row r="46" spans="1:5">
      <c r="A46" s="346" t="s">
        <v>2515</v>
      </c>
      <c r="B46" s="361">
        <f>SUM(E11:E17)</f>
        <v>11725</v>
      </c>
    </row>
    <row r="47" spans="1:5">
      <c r="A47" s="346" t="s">
        <v>1141</v>
      </c>
      <c r="B47" s="361">
        <f>E33</f>
        <v>395.47199999999998</v>
      </c>
    </row>
    <row r="48" spans="1:5">
      <c r="A48" s="346" t="s">
        <v>2516</v>
      </c>
      <c r="B48" s="361">
        <f>SUM(E19:E31)+E34</f>
        <v>1793.1</v>
      </c>
    </row>
    <row r="49" spans="1:6">
      <c r="A49" s="358" t="s">
        <v>1144</v>
      </c>
      <c r="B49" s="359">
        <f>SUM(B46:B48)</f>
        <v>13913.572</v>
      </c>
    </row>
    <row r="51" spans="1:6" ht="18" customHeight="1">
      <c r="A51" t="s">
        <v>2517</v>
      </c>
    </row>
    <row r="52" spans="1:6" ht="18" customHeight="1">
      <c r="A52" t="s">
        <v>2518</v>
      </c>
      <c r="E52" s="360">
        <f>ROUNDUP((ROUNDUP((ROUNDUP(E36*(1+B6/100)/100,0)*100+ROUNDUP(E42*(1+B56/100)/100,0)*100)*(1+$B$58/100)/100,0)*100)*1/100,0)*100</f>
        <v>45200</v>
      </c>
    </row>
    <row r="54" spans="1:6">
      <c r="A54" t="s">
        <v>3148</v>
      </c>
    </row>
    <row r="55" spans="1:6">
      <c r="A55" t="s">
        <v>1179</v>
      </c>
      <c r="B55" s="579">
        <f>ROUND(($B$62*$B$63-1)*100,0)</f>
        <v>102</v>
      </c>
      <c r="C55" t="s">
        <v>3149</v>
      </c>
    </row>
    <row r="56" spans="1:6">
      <c r="A56" t="s">
        <v>1180</v>
      </c>
      <c r="B56" s="579">
        <f>ROUND(($C$62*$B$63-1)*100,0)</f>
        <v>102</v>
      </c>
      <c r="C56" t="s">
        <v>3149</v>
      </c>
    </row>
    <row r="57" spans="1:6">
      <c r="A57" t="s">
        <v>1181</v>
      </c>
      <c r="B57" s="579">
        <f>ROUND(($D$62*$B$63-1)*100,0)</f>
        <v>152</v>
      </c>
      <c r="C57" t="s">
        <v>3149</v>
      </c>
    </row>
    <row r="58" spans="1:6">
      <c r="A58" t="s">
        <v>3122</v>
      </c>
      <c r="B58" s="577">
        <v>30</v>
      </c>
      <c r="C58" t="s">
        <v>3150</v>
      </c>
    </row>
    <row r="60" spans="1:6">
      <c r="A60" s="533" t="s">
        <v>3151</v>
      </c>
      <c r="B60" s="535"/>
      <c r="C60" s="533"/>
    </row>
    <row r="61" spans="1:6">
      <c r="A61" t="s">
        <v>3144</v>
      </c>
      <c r="B61" s="541">
        <v>40</v>
      </c>
      <c r="C61" t="s">
        <v>3152</v>
      </c>
    </row>
    <row r="62" spans="1:6">
      <c r="A62" t="s">
        <v>3153</v>
      </c>
      <c r="B62" s="542">
        <v>1.7230000000000001</v>
      </c>
      <c r="C62" s="542">
        <v>1.7230000000000001</v>
      </c>
      <c r="D62" s="542">
        <v>2.1539999999999999</v>
      </c>
      <c r="E62" s="542" t="s">
        <v>3154</v>
      </c>
      <c r="F62" s="542"/>
    </row>
    <row r="63" spans="1:6">
      <c r="A63" t="s">
        <v>3155</v>
      </c>
      <c r="B63" s="542">
        <f>IFERROR((((E36)+(E42)+(E43))/(100/(100+B58)-B61/100))/(((E36)*$B$62+(E42)*$C$62+(E43)*$D$62)*(1+B58/100)),1)</f>
        <v>1.1707635037783497</v>
      </c>
      <c r="C63" t="s">
        <v>3156</v>
      </c>
    </row>
    <row r="65" spans="1:3">
      <c r="A65" s="533" t="s">
        <v>3126</v>
      </c>
      <c r="B65" s="535"/>
      <c r="C65" s="533"/>
    </row>
    <row r="66" spans="1:3">
      <c r="A66" s="533" t="s">
        <v>3127</v>
      </c>
      <c r="B66" s="534">
        <f>IFERROR(ROUND(E44-E44/(1+B58/100),0),0)</f>
        <v>12392</v>
      </c>
      <c r="C66" s="533" t="s">
        <v>3128</v>
      </c>
    </row>
    <row r="67" spans="1:3">
      <c r="A67" s="533" t="s">
        <v>3129</v>
      </c>
      <c r="B67" s="534">
        <f>E36+E42+E43+B66</f>
        <v>32102.621999999999</v>
      </c>
      <c r="C67" s="533" t="s">
        <v>3130</v>
      </c>
    </row>
    <row r="68" spans="1:3">
      <c r="A68" s="536" t="s">
        <v>3131</v>
      </c>
      <c r="B68" s="537">
        <f>IFERROR((E44-B67)/E44,"")</f>
        <v>0.40218581005586596</v>
      </c>
      <c r="C68" s="536" t="s">
        <v>3157</v>
      </c>
    </row>
  </sheetData>
  <sheetProtection sheet="1" objects="1" scenarios="1"/>
  <mergeCells count="5">
    <mergeCell ref="A28:E28"/>
    <mergeCell ref="A1:E1"/>
    <mergeCell ref="A45:E45"/>
    <mergeCell ref="A32:E32"/>
    <mergeCell ref="A18:E18"/>
  </mergeCells>
  <hyperlinks>
    <hyperlink ref="G1" location="'สารบัญ'!A1" display="🏠 สารบัญ" xr:uid="{00000000-0004-0000-4700-000000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5B9BD5"/>
  </sheetPr>
  <dimension ref="A1:H47"/>
  <sheetViews>
    <sheetView workbookViewId="0">
      <selection sqref="A1:E1"/>
    </sheetView>
  </sheetViews>
  <sheetFormatPr defaultRowHeight="14.4"/>
  <cols>
    <col min="1" max="1" width="22" customWidth="1"/>
    <col min="2" max="2" width="12.6640625" customWidth="1"/>
    <col min="3" max="3" width="42.6640625" customWidth="1"/>
    <col min="4" max="4" width="12" customWidth="1"/>
    <col min="5" max="5" width="11" customWidth="1"/>
    <col min="7" max="7" width="28" customWidth="1"/>
    <col min="8" max="8" width="10" customWidth="1"/>
  </cols>
  <sheetData>
    <row r="1" spans="1:8">
      <c r="A1" s="685" t="s">
        <v>2519</v>
      </c>
      <c r="B1" s="677"/>
      <c r="C1" s="677"/>
      <c r="D1" s="677"/>
      <c r="E1" s="678"/>
      <c r="G1" s="375" t="s">
        <v>68</v>
      </c>
    </row>
    <row r="3" spans="1:8">
      <c r="A3" s="181" t="s">
        <v>2520</v>
      </c>
      <c r="G3" s="181" t="s">
        <v>2521</v>
      </c>
    </row>
    <row r="4" spans="1:8">
      <c r="A4" s="362" t="s">
        <v>2522</v>
      </c>
      <c r="B4" s="539">
        <v>100</v>
      </c>
      <c r="G4" s="314" t="s">
        <v>2523</v>
      </c>
      <c r="H4" s="363">
        <f>IFERROR(INDEX(ราคากระจก!$B$3:$B$206,MATCH("เทมเปอร์ 10มม.",ราคากระจก!$A$3:$A$206,0)),"")</f>
        <v>848</v>
      </c>
    </row>
    <row r="5" spans="1:8">
      <c r="A5" s="362" t="s">
        <v>2524</v>
      </c>
      <c r="B5" s="539">
        <v>220</v>
      </c>
      <c r="G5" s="314" t="s">
        <v>2525</v>
      </c>
      <c r="H5" s="624">
        <v>3600</v>
      </c>
    </row>
    <row r="6" spans="1:8">
      <c r="A6" s="362" t="s">
        <v>2347</v>
      </c>
      <c r="B6" s="539">
        <v>1</v>
      </c>
      <c r="G6" s="314" t="s">
        <v>2526</v>
      </c>
      <c r="H6" s="624">
        <v>2330</v>
      </c>
    </row>
    <row r="7" spans="1:8">
      <c r="A7" s="362" t="s">
        <v>2527</v>
      </c>
      <c r="B7" s="364">
        <f>ROUND(B4*B5*B6/10000,2)</f>
        <v>2.2000000000000002</v>
      </c>
      <c r="G7" s="314"/>
      <c r="H7" s="624"/>
    </row>
    <row r="8" spans="1:8">
      <c r="A8" s="362" t="s">
        <v>2352</v>
      </c>
      <c r="B8" s="539" t="s">
        <v>2528</v>
      </c>
      <c r="C8" s="390" t="str">
        <f>IF(B8="","⚠ ยังไม่เลือกแบบ — ชุดล้อ/ราง จะไม่ถูกคิด","")</f>
        <v/>
      </c>
      <c r="G8" s="314" t="s">
        <v>2529</v>
      </c>
      <c r="H8" s="624">
        <v>1500</v>
      </c>
    </row>
    <row r="9" spans="1:8">
      <c r="A9" s="362"/>
      <c r="B9" s="625"/>
      <c r="G9" s="314" t="s">
        <v>2530</v>
      </c>
      <c r="H9" s="624">
        <v>1200</v>
      </c>
    </row>
    <row r="10" spans="1:8" ht="26.4">
      <c r="A10" s="362" t="s">
        <v>2356</v>
      </c>
      <c r="B10" s="383">
        <f>$B$29</f>
        <v>52</v>
      </c>
      <c r="C10" t="s">
        <v>2702</v>
      </c>
      <c r="G10" s="314" t="s">
        <v>2531</v>
      </c>
      <c r="H10" s="364">
        <f>ค่าแรง!$D$31+ค่าแรง!$E$31*(B4*B5/10000)</f>
        <v>3675</v>
      </c>
    </row>
    <row r="12" spans="1:8" ht="26.4">
      <c r="A12" s="181" t="s">
        <v>2532</v>
      </c>
    </row>
    <row r="13" spans="1:8">
      <c r="A13" s="311" t="s">
        <v>606</v>
      </c>
      <c r="B13" s="569" t="s">
        <v>471</v>
      </c>
      <c r="C13" s="569" t="s">
        <v>1124</v>
      </c>
      <c r="D13" s="311" t="s">
        <v>1125</v>
      </c>
      <c r="E13" s="311" t="s">
        <v>1873</v>
      </c>
    </row>
    <row r="14" spans="1:8">
      <c r="A14" s="314" t="s">
        <v>2533</v>
      </c>
      <c r="B14" s="570" t="s">
        <v>593</v>
      </c>
      <c r="C14" s="365">
        <f>B7</f>
        <v>2.2000000000000002</v>
      </c>
      <c r="D14" s="365">
        <f>H4</f>
        <v>848</v>
      </c>
      <c r="E14" s="364">
        <f t="shared" ref="E14:E19" si="0">ROUND(C14*D14,0)</f>
        <v>1866</v>
      </c>
    </row>
    <row r="15" spans="1:8">
      <c r="A15" s="314" t="s">
        <v>2534</v>
      </c>
      <c r="B15" s="570" t="s">
        <v>2375</v>
      </c>
      <c r="C15" s="365">
        <f>IF(B8="บานเลื่อน",B6,0)</f>
        <v>1</v>
      </c>
      <c r="D15" s="365">
        <f>H5</f>
        <v>3600</v>
      </c>
      <c r="E15" s="364">
        <f t="shared" si="0"/>
        <v>3600</v>
      </c>
    </row>
    <row r="16" spans="1:8">
      <c r="A16" s="314" t="s">
        <v>2535</v>
      </c>
      <c r="B16" s="570" t="s">
        <v>481</v>
      </c>
      <c r="C16" s="365">
        <f>IF(B8="บานสวิง",B6,0)</f>
        <v>0</v>
      </c>
      <c r="D16" s="365">
        <f>H6</f>
        <v>2330</v>
      </c>
      <c r="E16" s="364">
        <f t="shared" si="0"/>
        <v>0</v>
      </c>
    </row>
    <row r="17" spans="1:5">
      <c r="A17" s="314" t="s">
        <v>1213</v>
      </c>
      <c r="B17" s="313" t="s">
        <v>481</v>
      </c>
      <c r="C17" s="365">
        <f>B6</f>
        <v>1</v>
      </c>
      <c r="D17" s="365">
        <f>H8</f>
        <v>1500</v>
      </c>
      <c r="E17" s="364">
        <f t="shared" si="0"/>
        <v>1500</v>
      </c>
    </row>
    <row r="18" spans="1:5">
      <c r="A18" s="314" t="s">
        <v>2536</v>
      </c>
      <c r="B18" s="313" t="s">
        <v>2375</v>
      </c>
      <c r="C18" s="365">
        <f>B6</f>
        <v>1</v>
      </c>
      <c r="D18" s="365">
        <f>H9</f>
        <v>1200</v>
      </c>
      <c r="E18" s="364">
        <f t="shared" si="0"/>
        <v>1200</v>
      </c>
    </row>
    <row r="19" spans="1:5">
      <c r="A19" s="314" t="s">
        <v>647</v>
      </c>
      <c r="B19" s="313" t="s">
        <v>399</v>
      </c>
      <c r="C19" s="365">
        <f>B6</f>
        <v>1</v>
      </c>
      <c r="D19" s="365">
        <f>H10</f>
        <v>3675</v>
      </c>
      <c r="E19" s="364">
        <f t="shared" si="0"/>
        <v>3675</v>
      </c>
    </row>
    <row r="20" spans="1:5">
      <c r="A20" s="366" t="s">
        <v>1137</v>
      </c>
      <c r="E20" s="367">
        <f>SUM(E14:E19)</f>
        <v>11841</v>
      </c>
    </row>
    <row r="21" spans="1:5">
      <c r="A21" s="362" t="s">
        <v>1045</v>
      </c>
      <c r="B21" s="364">
        <f>IF(B7=0,0,ROUND(E20/B7,0))</f>
        <v>5382</v>
      </c>
    </row>
    <row r="22" spans="1:5" ht="26.4">
      <c r="A22" s="362" t="s">
        <v>2537</v>
      </c>
      <c r="B22" s="367">
        <f>ROUNDUP((ROUNDUP((ROUNDUP(SUM(E14:E18)*(1+B10/100)/100,0)*100+ROUNDUP(E19*(1+B31/100)/100,0)*100)*(1+$B$32/100)/100,0)*100)*1/100,0)*100</f>
        <v>25400</v>
      </c>
    </row>
    <row r="23" spans="1:5">
      <c r="A23" s="362" t="s">
        <v>2181</v>
      </c>
      <c r="B23" s="367">
        <f>IF(B7=0,0,ROUND(B22/B7,0))</f>
        <v>11545</v>
      </c>
    </row>
    <row r="24" spans="1:5" ht="45.6">
      <c r="A24" s="368" t="s">
        <v>2538</v>
      </c>
    </row>
    <row r="26" spans="1:5" ht="18" customHeight="1">
      <c r="A26" s="362" t="s">
        <v>2539</v>
      </c>
    </row>
    <row r="28" spans="1:5" ht="39.6">
      <c r="A28" s="362" t="s">
        <v>3148</v>
      </c>
    </row>
    <row r="29" spans="1:5">
      <c r="A29" s="362" t="s">
        <v>1179</v>
      </c>
      <c r="B29" s="543">
        <f>ROUND(($B$41*$B$42-1)*100,0)</f>
        <v>52</v>
      </c>
      <c r="C29" s="362" t="s">
        <v>3149</v>
      </c>
    </row>
    <row r="30" spans="1:5" ht="18" customHeight="1">
      <c r="A30" s="362" t="s">
        <v>1180</v>
      </c>
      <c r="B30" s="625" t="s">
        <v>7</v>
      </c>
      <c r="C30" s="362" t="s">
        <v>8</v>
      </c>
    </row>
    <row r="31" spans="1:5">
      <c r="A31" s="362" t="s">
        <v>1181</v>
      </c>
      <c r="B31" s="543">
        <f>ROUND(($D$41*$B$42-1)*100,0)</f>
        <v>90</v>
      </c>
      <c r="C31" s="362" t="s">
        <v>3149</v>
      </c>
    </row>
    <row r="32" spans="1:5">
      <c r="A32" s="362" t="s">
        <v>3122</v>
      </c>
      <c r="B32" s="539">
        <v>30</v>
      </c>
      <c r="C32" s="362" t="s">
        <v>3150</v>
      </c>
    </row>
    <row r="33" spans="1:6">
      <c r="A33" s="613" t="s">
        <v>1138</v>
      </c>
      <c r="B33" s="614"/>
    </row>
    <row r="34" spans="1:6">
      <c r="A34" s="489" t="s">
        <v>1141</v>
      </c>
      <c r="B34" s="492">
        <f>SUM(E14)</f>
        <v>1866</v>
      </c>
    </row>
    <row r="35" spans="1:6">
      <c r="A35" s="489" t="s">
        <v>3071</v>
      </c>
      <c r="B35" s="492">
        <f>SUM(E15,E16,E17,E18)</f>
        <v>6300</v>
      </c>
    </row>
    <row r="36" spans="1:6">
      <c r="A36" s="491" t="s">
        <v>1144</v>
      </c>
      <c r="B36" s="493">
        <f>SUM(B34:B35)</f>
        <v>8166</v>
      </c>
    </row>
    <row r="37" spans="1:6">
      <c r="A37" s="488" t="s">
        <v>3067</v>
      </c>
    </row>
    <row r="39" spans="1:6">
      <c r="A39" s="533" t="s">
        <v>3151</v>
      </c>
      <c r="B39" s="535"/>
      <c r="C39" s="533"/>
    </row>
    <row r="40" spans="1:6">
      <c r="A40" t="s">
        <v>3144</v>
      </c>
      <c r="B40" s="541">
        <v>30</v>
      </c>
      <c r="C40" t="s">
        <v>3152</v>
      </c>
    </row>
    <row r="41" spans="1:6">
      <c r="A41" t="s">
        <v>3153</v>
      </c>
      <c r="B41" s="542">
        <v>1.7230000000000001</v>
      </c>
      <c r="C41" s="542"/>
      <c r="D41" s="542">
        <v>2.1539999999999999</v>
      </c>
      <c r="E41" s="542" t="s">
        <v>3154</v>
      </c>
      <c r="F41" s="542"/>
    </row>
    <row r="42" spans="1:6">
      <c r="A42" t="s">
        <v>3155</v>
      </c>
      <c r="B42" s="542">
        <f>IFERROR((((SUM(E14:E18))+(E19))/(100/(100+B32)-B40/100))/(((SUM(E14:E18))*$B$41+(E19)*$D$41)*(1+B32/100)),1)</f>
        <v>0.88290292289318628</v>
      </c>
      <c r="C42" t="s">
        <v>3156</v>
      </c>
    </row>
    <row r="44" spans="1:6">
      <c r="A44" s="533" t="s">
        <v>3126</v>
      </c>
      <c r="B44" s="535"/>
      <c r="C44" s="533"/>
    </row>
    <row r="45" spans="1:6">
      <c r="A45" s="533" t="s">
        <v>3127</v>
      </c>
      <c r="B45" s="534">
        <f>IFERROR(ROUND(B22-B22/(1+B32/100),0),0)</f>
        <v>5862</v>
      </c>
      <c r="C45" s="533" t="s">
        <v>3128</v>
      </c>
    </row>
    <row r="46" spans="1:6">
      <c r="A46" s="533" t="s">
        <v>3129</v>
      </c>
      <c r="B46" s="534">
        <f>SUM(E14:E18)+E19+B45</f>
        <v>17703</v>
      </c>
      <c r="C46" s="533" t="s">
        <v>3130</v>
      </c>
    </row>
    <row r="47" spans="1:6">
      <c r="A47" s="536" t="s">
        <v>3131</v>
      </c>
      <c r="B47" s="537">
        <f>IFERROR((B22-B46)/B22,"")</f>
        <v>0.30303149606299212</v>
      </c>
      <c r="C47" s="536" t="s">
        <v>3157</v>
      </c>
    </row>
  </sheetData>
  <sheetProtection sheet="1" objects="1" scenarios="1"/>
  <mergeCells count="1">
    <mergeCell ref="A1:E1"/>
  </mergeCells>
  <dataValidations count="1">
    <dataValidation type="list" sqref="B8" xr:uid="{00000000-0002-0000-4800-000000000000}">
      <formula1>"บานเลื่อน,บานสวิง"</formula1>
    </dataValidation>
  </dataValidations>
  <hyperlinks>
    <hyperlink ref="G1" location="'สารบัญ'!A1" display="🏠 สารบัญ" xr:uid="{00000000-0004-0000-48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A6A6A6"/>
  </sheetPr>
  <dimension ref="A1:L89"/>
  <sheetViews>
    <sheetView workbookViewId="0"/>
  </sheetViews>
  <sheetFormatPr defaultRowHeight="14.4"/>
  <cols>
    <col min="1" max="1" width="4" customWidth="1"/>
    <col min="2" max="2" width="30" customWidth="1"/>
    <col min="3" max="3" width="18" customWidth="1"/>
    <col min="4" max="4" width="15" customWidth="1"/>
    <col min="5" max="5" width="11" customWidth="1"/>
    <col min="6" max="6" width="9" customWidth="1"/>
    <col min="7" max="7" width="8" customWidth="1"/>
    <col min="8" max="8" width="11" customWidth="1"/>
    <col min="9" max="9" width="9" customWidth="1"/>
    <col min="10" max="10" width="11" customWidth="1"/>
    <col min="11" max="11" width="30" customWidth="1"/>
    <col min="12" max="12" width="12.77734375" customWidth="1"/>
  </cols>
  <sheetData>
    <row r="1" spans="1:12">
      <c r="A1" s="650" t="s">
        <v>2540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441" t="s">
        <v>68</v>
      </c>
    </row>
    <row r="2" spans="1:12">
      <c r="A2" s="650"/>
      <c r="B2" s="650"/>
      <c r="C2" s="650"/>
      <c r="D2" s="650"/>
      <c r="E2" s="650"/>
      <c r="F2" s="650"/>
      <c r="G2" s="650"/>
      <c r="H2" s="650"/>
      <c r="I2" s="650"/>
      <c r="J2" s="650"/>
      <c r="K2" s="650"/>
    </row>
    <row r="3" spans="1:12">
      <c r="B3" s="650" t="s">
        <v>2541</v>
      </c>
      <c r="C3" s="650"/>
    </row>
    <row r="4" spans="1:12">
      <c r="B4" t="s">
        <v>2542</v>
      </c>
      <c r="C4">
        <f>'คิดทุน SlimLux'!B4</f>
        <v>200</v>
      </c>
    </row>
    <row r="5" spans="1:12">
      <c r="B5" t="s">
        <v>2543</v>
      </c>
      <c r="C5">
        <f>'คิดทุน SlimLux'!B5</f>
        <v>200</v>
      </c>
    </row>
    <row r="6" spans="1:12">
      <c r="B6" t="s">
        <v>2347</v>
      </c>
      <c r="C6">
        <f>'คิดทุน SlimLux'!B3</f>
        <v>2</v>
      </c>
    </row>
    <row r="7" spans="1:12">
      <c r="B7" t="s">
        <v>2544</v>
      </c>
      <c r="C7" t="s">
        <v>2545</v>
      </c>
    </row>
    <row r="8" spans="1:12">
      <c r="B8" t="s">
        <v>2546</v>
      </c>
      <c r="C8" t="s">
        <v>2547</v>
      </c>
    </row>
    <row r="9" spans="1:12">
      <c r="B9" t="s">
        <v>2548</v>
      </c>
      <c r="C9" t="str">
        <f>'คิดทุน SlimLux'!B2</f>
        <v>อิสระ</v>
      </c>
    </row>
    <row r="10" spans="1:12">
      <c r="B10" t="s">
        <v>1213</v>
      </c>
      <c r="C10" t="str">
        <f>'คิดทุน SlimLux'!B7</f>
        <v>มือจับล็อค</v>
      </c>
    </row>
    <row r="11" spans="1:12">
      <c r="B11" s="650" t="s">
        <v>2549</v>
      </c>
      <c r="C11" s="650"/>
    </row>
    <row r="12" spans="1:12">
      <c r="B12" t="s">
        <v>2550</v>
      </c>
      <c r="C12" s="215">
        <f>VLOOKUP($C$7,$B$77:$C$83,2,FALSE())</f>
        <v>2.5</v>
      </c>
    </row>
    <row r="13" spans="1:12">
      <c r="B13" t="s">
        <v>2403</v>
      </c>
      <c r="C13">
        <f>IF($C$9="อิสระ",0,IF($C$9="ลากจูง",1,2))</f>
        <v>0</v>
      </c>
    </row>
    <row r="14" spans="1:12">
      <c r="B14" t="s">
        <v>2528</v>
      </c>
      <c r="C14">
        <f>$C$6-$C$13</f>
        <v>2</v>
      </c>
    </row>
    <row r="15" spans="1:12">
      <c r="B15" t="s">
        <v>2551</v>
      </c>
      <c r="C15">
        <f>IF($C$8="แปะนอก",1,2)</f>
        <v>2</v>
      </c>
    </row>
    <row r="16" spans="1:12">
      <c r="B16" t="s">
        <v>2552</v>
      </c>
      <c r="C16" t="s">
        <v>2553</v>
      </c>
      <c r="D16" t="s">
        <v>2554</v>
      </c>
    </row>
    <row r="17" spans="1:7">
      <c r="A17" t="s">
        <v>2038</v>
      </c>
      <c r="B17" t="s">
        <v>2555</v>
      </c>
      <c r="C17" t="s">
        <v>97</v>
      </c>
      <c r="D17" t="s">
        <v>2556</v>
      </c>
      <c r="E17" t="s">
        <v>2557</v>
      </c>
      <c r="F17" t="s">
        <v>1124</v>
      </c>
      <c r="G17" t="s">
        <v>569</v>
      </c>
    </row>
    <row r="18" spans="1:7">
      <c r="A18">
        <v>1</v>
      </c>
      <c r="B18" t="s">
        <v>2558</v>
      </c>
      <c r="C18" t="s">
        <v>2559</v>
      </c>
      <c r="E18" s="215">
        <f>IF($C$8="ยัดในช่อง",$C$4,$C$4*$I$43)</f>
        <v>200</v>
      </c>
      <c r="F18">
        <f>$F$60</f>
        <v>1</v>
      </c>
      <c r="G18" t="s">
        <v>2560</v>
      </c>
    </row>
    <row r="19" spans="1:7">
      <c r="A19">
        <v>2</v>
      </c>
      <c r="B19" t="s">
        <v>2561</v>
      </c>
      <c r="C19" t="s">
        <v>2562</v>
      </c>
      <c r="E19" s="215">
        <f>IF($C$8="ยัดในช่อง",$C$4-$F$44,$C$4*$I$44)</f>
        <v>195</v>
      </c>
      <c r="F19">
        <f>$C$14</f>
        <v>2</v>
      </c>
      <c r="G19" t="s">
        <v>2563</v>
      </c>
    </row>
    <row r="20" spans="1:7">
      <c r="A20">
        <v>3</v>
      </c>
      <c r="B20" t="s">
        <v>2564</v>
      </c>
      <c r="C20" t="str">
        <f>$C$16</f>
        <v>1×4+1×4</v>
      </c>
      <c r="E20" s="215">
        <f>$C$5-$C$12</f>
        <v>197.5</v>
      </c>
      <c r="F20">
        <f>((LEN($C$16)-LEN(SUBSTITUTE($C$16,"+","")))+1)*$C$15</f>
        <v>4</v>
      </c>
      <c r="G20" t="s">
        <v>2565</v>
      </c>
    </row>
    <row r="21" spans="1:7">
      <c r="A21">
        <v>4</v>
      </c>
      <c r="B21" t="s">
        <v>2566</v>
      </c>
      <c r="C21" t="s">
        <v>7</v>
      </c>
      <c r="E21" s="215">
        <f>($C$5-$C$12)-$F$46</f>
        <v>193.9</v>
      </c>
      <c r="F21">
        <f>$F$61</f>
        <v>2</v>
      </c>
      <c r="G21" t="s">
        <v>2567</v>
      </c>
    </row>
    <row r="22" spans="1:7">
      <c r="A22">
        <v>5</v>
      </c>
      <c r="B22" t="s">
        <v>2568</v>
      </c>
      <c r="C22" t="s">
        <v>2569</v>
      </c>
      <c r="E22" s="215">
        <f>IF($C$8="ยัดในช่อง",($C$4-$F$47)/$C$6+$C$6*$I$47,(($C$4+$G$48-$F$48)/$C$6)+$C$6*$I$48)</f>
        <v>97.9</v>
      </c>
      <c r="F22">
        <f>$F$62*$C$6</f>
        <v>4</v>
      </c>
      <c r="G22" t="s">
        <v>2570</v>
      </c>
    </row>
    <row r="23" spans="1:7">
      <c r="A23">
        <v>6</v>
      </c>
      <c r="B23" t="s">
        <v>2037</v>
      </c>
      <c r="C23" t="s">
        <v>2571</v>
      </c>
      <c r="E23" s="215">
        <f>($C$5-$C$12)-$F$49</f>
        <v>185.4</v>
      </c>
      <c r="F23">
        <f>$F$63*$C$6</f>
        <v>4</v>
      </c>
      <c r="G23" t="s">
        <v>2572</v>
      </c>
    </row>
    <row r="24" spans="1:7">
      <c r="A24">
        <v>7</v>
      </c>
      <c r="B24" t="s">
        <v>2573</v>
      </c>
      <c r="C24" t="s">
        <v>2574</v>
      </c>
      <c r="E24" s="215">
        <f>($C$5-$C$12)-$F$50</f>
        <v>192.4</v>
      </c>
      <c r="F24">
        <f>IF($C$8="แปะนอก",$F$65,$F$64)</f>
        <v>2</v>
      </c>
      <c r="G24" t="s">
        <v>2575</v>
      </c>
    </row>
    <row r="25" spans="1:7">
      <c r="A25">
        <v>8</v>
      </c>
      <c r="B25" t="s">
        <v>2576</v>
      </c>
      <c r="C25" t="s">
        <v>2574</v>
      </c>
      <c r="E25" s="215">
        <f>($C$5-$C$12)</f>
        <v>197.5</v>
      </c>
      <c r="F25">
        <f>$F$66</f>
        <v>0</v>
      </c>
      <c r="G25" t="s">
        <v>2577</v>
      </c>
    </row>
    <row r="26" spans="1:7">
      <c r="A26">
        <v>9</v>
      </c>
      <c r="B26" t="s">
        <v>2578</v>
      </c>
      <c r="C26" t="s">
        <v>2579</v>
      </c>
      <c r="E26" s="215">
        <f>($C$5-$C$12)-$F$52</f>
        <v>192.4</v>
      </c>
      <c r="F26">
        <f>$C$14+$F$67+IF($C$8="แปะนอก",$F$68,0)</f>
        <v>3</v>
      </c>
      <c r="G26" t="s">
        <v>2580</v>
      </c>
    </row>
    <row r="27" spans="1:7">
      <c r="A27">
        <v>10</v>
      </c>
      <c r="B27" t="s">
        <v>2581</v>
      </c>
      <c r="C27" t="str">
        <f>IF($C$10="X-J","เสามือจับ","")</f>
        <v/>
      </c>
      <c r="E27" s="215" t="str">
        <f>IF($C$10="X-J",$E$23,"")</f>
        <v/>
      </c>
      <c r="F27" t="str">
        <f>IF($C$10="X-J",IF($C$9="เปิดคู่กลาง",$F$70,$F$69),"")</f>
        <v/>
      </c>
      <c r="G27" t="s">
        <v>2582</v>
      </c>
    </row>
    <row r="28" spans="1:7">
      <c r="A28">
        <v>11</v>
      </c>
      <c r="B28" t="s">
        <v>2583</v>
      </c>
      <c r="C28" t="s">
        <v>1206</v>
      </c>
      <c r="E28" s="215">
        <f>$C$4</f>
        <v>200</v>
      </c>
      <c r="F28">
        <f>$F$71</f>
        <v>2</v>
      </c>
      <c r="G28" t="s">
        <v>2584</v>
      </c>
    </row>
    <row r="29" spans="1:7">
      <c r="A29">
        <v>12</v>
      </c>
      <c r="B29" t="s">
        <v>2585</v>
      </c>
      <c r="C29" t="s">
        <v>391</v>
      </c>
      <c r="E29" s="215">
        <f>$E$19</f>
        <v>195</v>
      </c>
      <c r="F29">
        <f>$F$72</f>
        <v>2</v>
      </c>
      <c r="G29" t="s">
        <v>2586</v>
      </c>
    </row>
    <row r="30" spans="1:7">
      <c r="A30">
        <v>13</v>
      </c>
      <c r="B30" t="s">
        <v>2587</v>
      </c>
      <c r="C30" t="s">
        <v>391</v>
      </c>
      <c r="E30" s="215">
        <f>$E$19</f>
        <v>195</v>
      </c>
      <c r="F30">
        <f>$C$14-$F$73</f>
        <v>1</v>
      </c>
      <c r="G30" t="s">
        <v>2588</v>
      </c>
    </row>
    <row r="32" spans="1:7">
      <c r="B32" t="s">
        <v>2589</v>
      </c>
    </row>
    <row r="33" spans="1:11">
      <c r="B33" t="s">
        <v>2590</v>
      </c>
      <c r="C33" t="s">
        <v>2591</v>
      </c>
      <c r="D33" t="s">
        <v>2592</v>
      </c>
    </row>
    <row r="34" spans="1:11">
      <c r="A34" t="s">
        <v>2038</v>
      </c>
      <c r="B34" t="s">
        <v>1320</v>
      </c>
      <c r="C34" t="s">
        <v>2593</v>
      </c>
      <c r="D34" t="s">
        <v>1124</v>
      </c>
      <c r="E34" s="215" t="s">
        <v>471</v>
      </c>
      <c r="F34" t="s">
        <v>569</v>
      </c>
    </row>
    <row r="35" spans="1:11">
      <c r="A35">
        <v>1</v>
      </c>
      <c r="B35" t="s">
        <v>2594</v>
      </c>
      <c r="C35" t="s">
        <v>2595</v>
      </c>
      <c r="D35">
        <f>IF($C$6&lt;=1,1,2)</f>
        <v>2</v>
      </c>
      <c r="E35" s="215" t="s">
        <v>496</v>
      </c>
      <c r="F35" t="s">
        <v>2596</v>
      </c>
    </row>
    <row r="36" spans="1:11">
      <c r="A36">
        <v>2</v>
      </c>
      <c r="B36" t="s">
        <v>2597</v>
      </c>
      <c r="C36" t="s">
        <v>2598</v>
      </c>
      <c r="D36">
        <f>IF($C$33="ซ้าย",MAX($C$6-2,0),0)</f>
        <v>0</v>
      </c>
      <c r="E36" s="215" t="s">
        <v>496</v>
      </c>
      <c r="F36" t="s">
        <v>2599</v>
      </c>
    </row>
    <row r="37" spans="1:11">
      <c r="A37">
        <v>3</v>
      </c>
      <c r="B37" t="s">
        <v>2600</v>
      </c>
      <c r="C37" t="s">
        <v>2601</v>
      </c>
      <c r="D37">
        <f>IF($C$33="ขวา",MAX($C$6-2,0),0)</f>
        <v>0</v>
      </c>
      <c r="E37" s="215" t="s">
        <v>496</v>
      </c>
      <c r="F37" t="s">
        <v>2602</v>
      </c>
    </row>
    <row r="38" spans="1:11">
      <c r="A38">
        <v>4</v>
      </c>
      <c r="B38" t="s">
        <v>2603</v>
      </c>
      <c r="C38" t="s">
        <v>2604</v>
      </c>
      <c r="D38">
        <f>2*$C$14</f>
        <v>4</v>
      </c>
      <c r="E38" s="215" t="s">
        <v>481</v>
      </c>
      <c r="F38" t="s">
        <v>2605</v>
      </c>
    </row>
    <row r="41" spans="1:11">
      <c r="B41" s="650" t="s">
        <v>2606</v>
      </c>
      <c r="C41" s="650"/>
      <c r="D41" s="650"/>
      <c r="E41" s="650"/>
      <c r="F41" s="650"/>
      <c r="G41" s="650"/>
      <c r="H41" s="650"/>
      <c r="I41" s="650"/>
      <c r="J41" s="650"/>
      <c r="K41" s="650"/>
    </row>
    <row r="42" spans="1:11">
      <c r="B42" t="s">
        <v>2555</v>
      </c>
      <c r="C42" t="s">
        <v>2607</v>
      </c>
      <c r="D42" t="s">
        <v>2608</v>
      </c>
      <c r="E42" t="s">
        <v>2609</v>
      </c>
      <c r="F42" t="s">
        <v>2610</v>
      </c>
      <c r="G42" t="s">
        <v>2611</v>
      </c>
      <c r="H42" t="s">
        <v>2612</v>
      </c>
      <c r="I42" t="s">
        <v>2613</v>
      </c>
      <c r="J42" t="s">
        <v>2557</v>
      </c>
      <c r="K42" t="s">
        <v>2614</v>
      </c>
    </row>
    <row r="43" spans="1:11">
      <c r="B43" t="s">
        <v>2558</v>
      </c>
      <c r="C43" t="s">
        <v>2615</v>
      </c>
      <c r="D43" s="215">
        <f>$C$4</f>
        <v>200</v>
      </c>
      <c r="I43" s="215">
        <v>2</v>
      </c>
      <c r="J43" s="215">
        <f>$E$18</f>
        <v>200</v>
      </c>
      <c r="K43" t="s">
        <v>2616</v>
      </c>
    </row>
    <row r="44" spans="1:11">
      <c r="B44" t="s">
        <v>2561</v>
      </c>
      <c r="C44" t="s">
        <v>2615</v>
      </c>
      <c r="D44" s="215">
        <f>$C$4</f>
        <v>200</v>
      </c>
      <c r="F44" s="215">
        <v>5</v>
      </c>
      <c r="I44" s="215">
        <v>2</v>
      </c>
      <c r="J44" s="215">
        <f>$E$19</f>
        <v>195</v>
      </c>
      <c r="K44" t="s">
        <v>2617</v>
      </c>
    </row>
    <row r="45" spans="1:11">
      <c r="B45" t="s">
        <v>2564</v>
      </c>
      <c r="C45" t="s">
        <v>2618</v>
      </c>
      <c r="D45" s="215">
        <f>$C$5</f>
        <v>200</v>
      </c>
      <c r="E45" s="215">
        <f>$C$12</f>
        <v>2.5</v>
      </c>
      <c r="J45" s="215">
        <f>$E$20</f>
        <v>197.5</v>
      </c>
      <c r="K45" t="s">
        <v>2619</v>
      </c>
    </row>
    <row r="46" spans="1:11">
      <c r="B46" t="s">
        <v>2566</v>
      </c>
      <c r="C46" t="s">
        <v>2620</v>
      </c>
      <c r="D46" s="215">
        <f>$E$20</f>
        <v>197.5</v>
      </c>
      <c r="F46" s="215">
        <v>3.6</v>
      </c>
      <c r="J46" s="215">
        <f>$E$21</f>
        <v>193.9</v>
      </c>
      <c r="K46" t="s">
        <v>2621</v>
      </c>
    </row>
    <row r="47" spans="1:11">
      <c r="B47" t="s">
        <v>2622</v>
      </c>
      <c r="C47" t="s">
        <v>2615</v>
      </c>
      <c r="D47" s="215">
        <f>$C$4</f>
        <v>200</v>
      </c>
      <c r="F47" s="215">
        <v>5</v>
      </c>
      <c r="H47" s="382">
        <f>$C$6</f>
        <v>2</v>
      </c>
      <c r="I47" s="215">
        <v>0.2</v>
      </c>
      <c r="J47" s="215">
        <f>$E$22</f>
        <v>97.9</v>
      </c>
      <c r="K47" t="s">
        <v>2623</v>
      </c>
    </row>
    <row r="48" spans="1:11">
      <c r="B48" t="s">
        <v>2624</v>
      </c>
      <c r="C48" t="s">
        <v>2615</v>
      </c>
      <c r="D48" s="215">
        <f>$C$4</f>
        <v>200</v>
      </c>
      <c r="F48" s="215">
        <v>2.5</v>
      </c>
      <c r="G48" s="215">
        <v>1.7</v>
      </c>
      <c r="H48" s="382">
        <f>$C$6</f>
        <v>2</v>
      </c>
      <c r="I48" s="215">
        <v>0.2</v>
      </c>
      <c r="J48" s="215">
        <f>$E$22</f>
        <v>97.9</v>
      </c>
      <c r="K48" t="s">
        <v>2625</v>
      </c>
    </row>
    <row r="49" spans="2:11">
      <c r="B49" t="s">
        <v>2037</v>
      </c>
      <c r="C49" t="s">
        <v>2618</v>
      </c>
      <c r="D49" s="215">
        <f>$C$5</f>
        <v>200</v>
      </c>
      <c r="E49" s="215">
        <f>$C$12</f>
        <v>2.5</v>
      </c>
      <c r="F49" s="215">
        <v>12.1</v>
      </c>
      <c r="J49" s="215">
        <f>$E$23</f>
        <v>185.4</v>
      </c>
      <c r="K49" t="s">
        <v>2572</v>
      </c>
    </row>
    <row r="50" spans="2:11">
      <c r="B50" t="s">
        <v>2626</v>
      </c>
      <c r="C50" t="s">
        <v>2618</v>
      </c>
      <c r="D50" s="215">
        <f>$C$5</f>
        <v>200</v>
      </c>
      <c r="E50" s="215">
        <f>$C$12</f>
        <v>2.5</v>
      </c>
      <c r="F50" s="215">
        <v>5.0999999999999996</v>
      </c>
      <c r="J50" s="215">
        <f>$E$24</f>
        <v>192.4</v>
      </c>
    </row>
    <row r="51" spans="2:11">
      <c r="B51" t="s">
        <v>2627</v>
      </c>
      <c r="C51" t="s">
        <v>2618</v>
      </c>
      <c r="D51" s="215">
        <f>$C$5</f>
        <v>200</v>
      </c>
      <c r="E51" s="215">
        <f>$C$12</f>
        <v>2.5</v>
      </c>
      <c r="J51" s="215">
        <f>$E$25</f>
        <v>197.5</v>
      </c>
      <c r="K51" t="s">
        <v>2628</v>
      </c>
    </row>
    <row r="52" spans="2:11">
      <c r="B52" t="s">
        <v>2629</v>
      </c>
      <c r="C52" t="s">
        <v>2618</v>
      </c>
      <c r="D52" s="215">
        <f>$C$5</f>
        <v>200</v>
      </c>
      <c r="E52" s="215">
        <f>$C$12</f>
        <v>2.5</v>
      </c>
      <c r="F52" s="215">
        <v>5.0999999999999996</v>
      </c>
      <c r="J52" s="215">
        <f>$E$26</f>
        <v>192.4</v>
      </c>
      <c r="K52" t="s">
        <v>2630</v>
      </c>
    </row>
    <row r="53" spans="2:11">
      <c r="B53" t="s">
        <v>2581</v>
      </c>
      <c r="C53" t="s">
        <v>2582</v>
      </c>
      <c r="D53" s="215">
        <f>$E$23</f>
        <v>185.4</v>
      </c>
      <c r="J53" s="215" t="str">
        <f>$E$27</f>
        <v/>
      </c>
      <c r="K53" t="s">
        <v>2631</v>
      </c>
    </row>
    <row r="54" spans="2:11">
      <c r="B54" t="s">
        <v>2583</v>
      </c>
      <c r="C54" t="s">
        <v>2632</v>
      </c>
      <c r="D54" s="215">
        <f>$C$4</f>
        <v>200</v>
      </c>
      <c r="J54" s="215">
        <f>$E$28</f>
        <v>200</v>
      </c>
      <c r="K54" t="s">
        <v>2633</v>
      </c>
    </row>
    <row r="55" spans="2:11">
      <c r="B55" t="s">
        <v>2585</v>
      </c>
      <c r="C55" t="s">
        <v>2586</v>
      </c>
      <c r="D55" s="215">
        <f>$E$19</f>
        <v>195</v>
      </c>
      <c r="J55" s="215">
        <f>$E$29</f>
        <v>195</v>
      </c>
      <c r="K55" t="s">
        <v>2633</v>
      </c>
    </row>
    <row r="56" spans="2:11">
      <c r="B56" t="s">
        <v>2587</v>
      </c>
      <c r="C56" t="s">
        <v>2586</v>
      </c>
      <c r="D56" s="215">
        <f>$E$19</f>
        <v>195</v>
      </c>
      <c r="J56" s="215">
        <f>$E$30</f>
        <v>195</v>
      </c>
      <c r="K56" t="s">
        <v>2634</v>
      </c>
    </row>
    <row r="58" spans="2:11">
      <c r="B58" s="650" t="s">
        <v>2635</v>
      </c>
      <c r="C58" s="650"/>
      <c r="D58" s="650"/>
      <c r="E58" s="650"/>
      <c r="F58" s="650"/>
      <c r="G58" s="650"/>
      <c r="H58" s="650"/>
      <c r="I58" s="650"/>
      <c r="J58" s="650"/>
      <c r="K58" s="650"/>
    </row>
    <row r="59" spans="2:11">
      <c r="B59" s="650" t="s">
        <v>2636</v>
      </c>
      <c r="C59" s="650"/>
      <c r="D59" s="650"/>
      <c r="E59" s="650"/>
      <c r="F59" s="650" t="s">
        <v>2608</v>
      </c>
      <c r="G59" s="650"/>
      <c r="H59" s="650"/>
      <c r="I59" s="650"/>
      <c r="J59" s="650"/>
      <c r="K59" s="650"/>
    </row>
    <row r="60" spans="2:11">
      <c r="B60" s="650" t="s">
        <v>2637</v>
      </c>
      <c r="C60" s="650"/>
      <c r="D60" s="650"/>
      <c r="E60" s="650"/>
      <c r="F60" s="650">
        <v>1</v>
      </c>
      <c r="G60" s="650"/>
      <c r="H60" s="650"/>
      <c r="I60" s="650"/>
      <c r="J60" s="650"/>
      <c r="K60" s="650"/>
    </row>
    <row r="61" spans="2:11">
      <c r="B61" s="650" t="s">
        <v>2638</v>
      </c>
      <c r="C61" s="650"/>
      <c r="D61" s="650"/>
      <c r="E61" s="650"/>
      <c r="F61" s="650">
        <v>2</v>
      </c>
      <c r="G61" s="650"/>
      <c r="H61" s="650"/>
      <c r="I61" s="650"/>
      <c r="J61" s="650"/>
      <c r="K61" s="650"/>
    </row>
    <row r="62" spans="2:11">
      <c r="B62" s="650" t="s">
        <v>2639</v>
      </c>
      <c r="C62" s="650"/>
      <c r="D62" s="650"/>
      <c r="E62" s="650"/>
      <c r="F62" s="650">
        <v>2</v>
      </c>
      <c r="G62" s="650"/>
      <c r="H62" s="650"/>
      <c r="I62" s="650"/>
      <c r="J62" s="650"/>
      <c r="K62" s="650"/>
    </row>
    <row r="63" spans="2:11">
      <c r="B63" s="650" t="s">
        <v>2640</v>
      </c>
      <c r="C63" s="650"/>
      <c r="D63" s="650"/>
      <c r="E63" s="650"/>
      <c r="F63" s="650">
        <v>2</v>
      </c>
      <c r="G63" s="650"/>
      <c r="H63" s="650"/>
      <c r="I63" s="650"/>
      <c r="J63" s="650"/>
      <c r="K63" s="650"/>
    </row>
    <row r="64" spans="2:11">
      <c r="B64" s="650" t="s">
        <v>2641</v>
      </c>
      <c r="C64" s="650"/>
      <c r="D64" s="650"/>
      <c r="E64" s="650"/>
      <c r="F64" s="650">
        <v>2</v>
      </c>
      <c r="G64" s="650"/>
      <c r="H64" s="650"/>
      <c r="I64" s="650"/>
      <c r="J64" s="650"/>
      <c r="K64" s="650"/>
    </row>
    <row r="65" spans="2:11">
      <c r="B65" s="650" t="s">
        <v>2642</v>
      </c>
      <c r="C65" s="650"/>
      <c r="D65" s="650"/>
      <c r="E65" s="650"/>
      <c r="F65" s="650">
        <v>1</v>
      </c>
      <c r="G65" s="650"/>
      <c r="H65" s="650"/>
      <c r="I65" s="650"/>
      <c r="J65" s="650"/>
      <c r="K65" s="650"/>
    </row>
    <row r="66" spans="2:11">
      <c r="B66" s="650" t="s">
        <v>2643</v>
      </c>
      <c r="C66" s="650"/>
      <c r="D66" s="650"/>
      <c r="E66" s="650"/>
      <c r="F66" s="650">
        <v>0</v>
      </c>
      <c r="G66" s="650"/>
      <c r="H66" s="650"/>
      <c r="I66" s="650"/>
      <c r="J66" s="650"/>
      <c r="K66" s="650"/>
    </row>
    <row r="67" spans="2:11">
      <c r="B67" s="650" t="s">
        <v>2644</v>
      </c>
      <c r="C67" s="650"/>
      <c r="D67" s="650"/>
      <c r="E67" s="650"/>
      <c r="F67" s="650">
        <v>1</v>
      </c>
      <c r="G67" s="650"/>
      <c r="H67" s="650"/>
      <c r="I67" s="650"/>
      <c r="J67" s="650"/>
      <c r="K67" s="650"/>
    </row>
    <row r="68" spans="2:11">
      <c r="B68" s="650" t="s">
        <v>2645</v>
      </c>
      <c r="C68" s="650"/>
      <c r="D68" s="650"/>
      <c r="E68" s="650"/>
      <c r="F68" s="650">
        <v>1</v>
      </c>
      <c r="G68" s="650"/>
      <c r="H68" s="650"/>
      <c r="I68" s="650"/>
      <c r="J68" s="650"/>
      <c r="K68" s="650"/>
    </row>
    <row r="69" spans="2:11">
      <c r="B69" s="650" t="s">
        <v>2646</v>
      </c>
      <c r="C69" s="650"/>
      <c r="D69" s="650"/>
      <c r="E69" s="650"/>
      <c r="F69" s="650">
        <v>2</v>
      </c>
      <c r="G69" s="650"/>
      <c r="H69" s="650"/>
      <c r="I69" s="650"/>
      <c r="J69" s="650"/>
      <c r="K69" s="650"/>
    </row>
    <row r="70" spans="2:11">
      <c r="B70" s="650" t="s">
        <v>2647</v>
      </c>
      <c r="C70" s="650"/>
      <c r="D70" s="650"/>
      <c r="E70" s="650"/>
      <c r="F70" s="650">
        <v>4</v>
      </c>
      <c r="G70" s="650"/>
      <c r="H70" s="650"/>
      <c r="I70" s="650"/>
      <c r="J70" s="650"/>
      <c r="K70" s="650"/>
    </row>
    <row r="71" spans="2:11">
      <c r="B71" s="650" t="s">
        <v>2648</v>
      </c>
      <c r="C71" s="650"/>
      <c r="D71" s="650"/>
      <c r="E71" s="650"/>
      <c r="F71" s="650">
        <v>2</v>
      </c>
      <c r="G71" s="650"/>
      <c r="H71" s="650"/>
      <c r="I71" s="650"/>
      <c r="J71" s="650"/>
      <c r="K71" s="650"/>
    </row>
    <row r="72" spans="2:11">
      <c r="B72" s="650" t="s">
        <v>2649</v>
      </c>
      <c r="C72" s="650"/>
      <c r="D72" s="650"/>
      <c r="E72" s="650"/>
      <c r="F72" s="650">
        <v>2</v>
      </c>
      <c r="G72" s="650"/>
      <c r="H72" s="650"/>
      <c r="I72" s="650"/>
      <c r="J72" s="650"/>
      <c r="K72" s="650"/>
    </row>
    <row r="73" spans="2:11">
      <c r="B73" s="650" t="s">
        <v>2650</v>
      </c>
      <c r="C73" s="650"/>
      <c r="D73" s="650"/>
      <c r="E73" s="650"/>
      <c r="F73" s="650">
        <v>1</v>
      </c>
      <c r="G73" s="650"/>
      <c r="H73" s="650"/>
      <c r="I73" s="650"/>
      <c r="J73" s="650"/>
      <c r="K73" s="650"/>
    </row>
    <row r="75" spans="2:11">
      <c r="B75" s="650" t="s">
        <v>2651</v>
      </c>
      <c r="C75" s="650"/>
    </row>
    <row r="76" spans="2:11">
      <c r="B76" t="s">
        <v>2558</v>
      </c>
      <c r="C76" t="s">
        <v>2652</v>
      </c>
    </row>
    <row r="77" spans="2:11">
      <c r="B77" t="s">
        <v>2653</v>
      </c>
      <c r="C77" s="215">
        <v>2.5</v>
      </c>
    </row>
    <row r="78" spans="2:11">
      <c r="B78" t="s">
        <v>2654</v>
      </c>
      <c r="C78" s="215">
        <v>5</v>
      </c>
    </row>
    <row r="79" spans="2:11">
      <c r="B79" t="s">
        <v>2545</v>
      </c>
      <c r="C79" s="215">
        <v>2.5</v>
      </c>
    </row>
    <row r="80" spans="2:11">
      <c r="B80" t="s">
        <v>2655</v>
      </c>
      <c r="C80" s="215">
        <v>5</v>
      </c>
    </row>
    <row r="81" spans="1:7">
      <c r="B81" t="s">
        <v>2656</v>
      </c>
      <c r="C81" s="215">
        <v>2.5</v>
      </c>
    </row>
    <row r="82" spans="1:7">
      <c r="B82" t="s">
        <v>2657</v>
      </c>
      <c r="C82" s="215">
        <v>10.199999999999999</v>
      </c>
    </row>
    <row r="83" spans="1:7">
      <c r="B83" t="s">
        <v>2658</v>
      </c>
      <c r="C83" s="215">
        <v>10.199999999999999</v>
      </c>
    </row>
    <row r="85" spans="1:7">
      <c r="B85" s="650" t="s">
        <v>2659</v>
      </c>
      <c r="C85" s="650"/>
      <c r="D85" s="650"/>
      <c r="E85" s="650"/>
      <c r="F85" s="650"/>
      <c r="G85" s="650"/>
    </row>
    <row r="86" spans="1:7">
      <c r="A86" t="s">
        <v>2038</v>
      </c>
      <c r="B86" t="s">
        <v>496</v>
      </c>
      <c r="C86" t="s">
        <v>2593</v>
      </c>
      <c r="D86" t="s">
        <v>2557</v>
      </c>
      <c r="E86" s="215" t="s">
        <v>2660</v>
      </c>
      <c r="F86" t="s">
        <v>471</v>
      </c>
      <c r="G86" t="s">
        <v>569</v>
      </c>
    </row>
    <row r="87" spans="1:7">
      <c r="A87">
        <v>1</v>
      </c>
      <c r="B87" t="s">
        <v>2661</v>
      </c>
      <c r="D87">
        <f>$E$20</f>
        <v>197.5</v>
      </c>
      <c r="E87">
        <f>((LEN($C$16)-LEN(SUBSTITUTE($C$16,"1×1.6","")))/5)*$C$15</f>
        <v>0</v>
      </c>
      <c r="F87" t="s">
        <v>2662</v>
      </c>
      <c r="G87" t="s">
        <v>2663</v>
      </c>
    </row>
    <row r="88" spans="1:7">
      <c r="A88">
        <v>2</v>
      </c>
      <c r="B88" t="s">
        <v>2664</v>
      </c>
      <c r="D88">
        <f>$E$20</f>
        <v>197.5</v>
      </c>
      <c r="E88">
        <f>((LEN($C$16)-LEN(SUBSTITUTE($C$16,"1×4","")))/3)*$C$15</f>
        <v>4</v>
      </c>
      <c r="F88" t="s">
        <v>2662</v>
      </c>
      <c r="G88" t="s">
        <v>2663</v>
      </c>
    </row>
    <row r="89" spans="1:7">
      <c r="A89">
        <v>3</v>
      </c>
      <c r="B89" t="s">
        <v>2665</v>
      </c>
      <c r="D89">
        <f>$E$20</f>
        <v>197.5</v>
      </c>
      <c r="E89">
        <f>((LEN($C$16)-LEN(SUBSTITUTE($C$16,"1×3","")))/3)*$C$15</f>
        <v>0</v>
      </c>
      <c r="F89" t="s">
        <v>2662</v>
      </c>
      <c r="G89" t="s">
        <v>2663</v>
      </c>
    </row>
  </sheetData>
  <mergeCells count="37">
    <mergeCell ref="A1:K2"/>
    <mergeCell ref="B60:E60"/>
    <mergeCell ref="B67:E67"/>
    <mergeCell ref="B61:E61"/>
    <mergeCell ref="F63:K63"/>
    <mergeCell ref="F65:K65"/>
    <mergeCell ref="F59:K59"/>
    <mergeCell ref="B3:C3"/>
    <mergeCell ref="B85:G85"/>
    <mergeCell ref="B58:K58"/>
    <mergeCell ref="F60:K60"/>
    <mergeCell ref="B70:E70"/>
    <mergeCell ref="F73:K73"/>
    <mergeCell ref="F69:K69"/>
    <mergeCell ref="F64:K64"/>
    <mergeCell ref="F68:K68"/>
    <mergeCell ref="B73:E73"/>
    <mergeCell ref="B69:E69"/>
    <mergeCell ref="B75:C75"/>
    <mergeCell ref="B72:E72"/>
    <mergeCell ref="F67:K67"/>
    <mergeCell ref="B59:E59"/>
    <mergeCell ref="F61:K61"/>
    <mergeCell ref="B66:E66"/>
    <mergeCell ref="B71:E71"/>
    <mergeCell ref="F72:K72"/>
    <mergeCell ref="B63:E63"/>
    <mergeCell ref="B41:K41"/>
    <mergeCell ref="B11:C11"/>
    <mergeCell ref="B62:E62"/>
    <mergeCell ref="F71:K71"/>
    <mergeCell ref="B65:E65"/>
    <mergeCell ref="B68:E68"/>
    <mergeCell ref="B64:E64"/>
    <mergeCell ref="F70:K70"/>
    <mergeCell ref="F66:K66"/>
    <mergeCell ref="F62:K62"/>
  </mergeCells>
  <hyperlinks>
    <hyperlink ref="L1" location="'สารบัญ'!A1" display="🏠 สารบัญ" xr:uid="{284E3C3E-EF99-4E17-994F-92A4A9B9F9CD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A6A6A6"/>
  </sheetPr>
  <dimension ref="A1:I37"/>
  <sheetViews>
    <sheetView workbookViewId="0"/>
  </sheetViews>
  <sheetFormatPr defaultRowHeight="14.4"/>
  <cols>
    <col min="1" max="1" width="4" customWidth="1"/>
    <col min="2" max="2" width="30" customWidth="1"/>
    <col min="3" max="3" width="18" customWidth="1"/>
    <col min="4" max="4" width="12" customWidth="1"/>
    <col min="5" max="6" width="20" customWidth="1"/>
    <col min="7" max="7" width="12" customWidth="1"/>
    <col min="8" max="8" width="34" customWidth="1"/>
    <col min="9" max="9" width="12.77734375" customWidth="1"/>
  </cols>
  <sheetData>
    <row r="1" spans="1:9">
      <c r="A1" s="650" t="s">
        <v>2666</v>
      </c>
      <c r="B1" s="650"/>
      <c r="C1" s="650"/>
      <c r="D1" s="650"/>
      <c r="E1" s="650"/>
      <c r="F1" s="650"/>
      <c r="G1" s="650"/>
      <c r="H1" s="650"/>
      <c r="I1" s="441" t="s">
        <v>68</v>
      </c>
    </row>
    <row r="2" spans="1:9">
      <c r="A2" s="650"/>
      <c r="B2" s="650"/>
      <c r="C2" s="650"/>
      <c r="D2" s="650"/>
      <c r="E2" s="650"/>
      <c r="F2" s="650"/>
      <c r="G2" s="650"/>
      <c r="H2" s="650"/>
    </row>
    <row r="3" spans="1:9">
      <c r="B3" s="650" t="s">
        <v>2541</v>
      </c>
      <c r="C3" s="650"/>
    </row>
    <row r="4" spans="1:9">
      <c r="B4" t="s">
        <v>2542</v>
      </c>
      <c r="C4">
        <f>'คิดทุน Velora'!B2</f>
        <v>220</v>
      </c>
    </row>
    <row r="5" spans="1:9">
      <c r="B5" t="s">
        <v>2543</v>
      </c>
      <c r="C5">
        <f>'คิดทุน Velora'!B3</f>
        <v>200</v>
      </c>
    </row>
    <row r="6" spans="1:9">
      <c r="B6" t="s">
        <v>2667</v>
      </c>
      <c r="C6" t="s">
        <v>2547</v>
      </c>
    </row>
    <row r="8" spans="1:9">
      <c r="A8" t="s">
        <v>2038</v>
      </c>
      <c r="B8" t="s">
        <v>2555</v>
      </c>
      <c r="C8" t="s">
        <v>97</v>
      </c>
      <c r="D8" t="s">
        <v>2556</v>
      </c>
      <c r="E8" t="s">
        <v>2557</v>
      </c>
      <c r="F8" t="s">
        <v>1124</v>
      </c>
      <c r="G8" t="s">
        <v>569</v>
      </c>
    </row>
    <row r="9" spans="1:9">
      <c r="A9">
        <v>1</v>
      </c>
      <c r="B9" t="s">
        <v>2668</v>
      </c>
      <c r="C9" t="s">
        <v>7</v>
      </c>
      <c r="E9" s="215">
        <f>$C$4+IF($C$6="ยัดในช่อง",$E$18,$F$18)</f>
        <v>220</v>
      </c>
      <c r="F9" s="382">
        <f>$F$27</f>
        <v>1</v>
      </c>
      <c r="G9" t="s">
        <v>2669</v>
      </c>
    </row>
    <row r="10" spans="1:9">
      <c r="A10">
        <v>2</v>
      </c>
      <c r="B10" t="s">
        <v>2670</v>
      </c>
      <c r="C10" t="s">
        <v>7</v>
      </c>
      <c r="E10" s="215">
        <f>$C$5+IF($C$6="ยัดในช่อง",$E$19,$F$19)</f>
        <v>200</v>
      </c>
      <c r="F10" s="382">
        <f>$F$28</f>
        <v>2</v>
      </c>
      <c r="G10" t="s">
        <v>2671</v>
      </c>
    </row>
    <row r="11" spans="1:9">
      <c r="A11">
        <v>3</v>
      </c>
      <c r="B11" t="s">
        <v>2672</v>
      </c>
      <c r="C11" t="s">
        <v>7</v>
      </c>
      <c r="E11" s="215">
        <f>$C$4-IF($C$6="ยัดในช่อง",$E$20,$F$20)</f>
        <v>214.3</v>
      </c>
      <c r="F11" s="382">
        <f>$F$29</f>
        <v>2</v>
      </c>
      <c r="G11" t="s">
        <v>2673</v>
      </c>
    </row>
    <row r="12" spans="1:9">
      <c r="A12">
        <v>4</v>
      </c>
      <c r="B12" t="s">
        <v>2674</v>
      </c>
      <c r="C12" t="s">
        <v>7</v>
      </c>
      <c r="E12" s="215">
        <f>$C$5-IF($C$6="ยัดในช่อง",$E$21,$F$21)</f>
        <v>196.7</v>
      </c>
      <c r="F12" s="382">
        <f>$F$30</f>
        <v>2</v>
      </c>
      <c r="G12" t="s">
        <v>2675</v>
      </c>
    </row>
    <row r="13" spans="1:9">
      <c r="A13">
        <v>5</v>
      </c>
      <c r="B13" t="s">
        <v>2676</v>
      </c>
      <c r="C13" t="s">
        <v>7</v>
      </c>
      <c r="E13" s="215">
        <f>$E$10</f>
        <v>200</v>
      </c>
      <c r="F13" s="382">
        <f>IF($C$6="ยัดในช่อง",$F$31,0)</f>
        <v>2</v>
      </c>
      <c r="G13" t="s">
        <v>2677</v>
      </c>
    </row>
    <row r="14" spans="1:9">
      <c r="A14">
        <v>6</v>
      </c>
      <c r="B14" t="s">
        <v>2678</v>
      </c>
      <c r="C14" t="s">
        <v>7</v>
      </c>
      <c r="E14" s="215">
        <f>$E$9</f>
        <v>220</v>
      </c>
      <c r="F14" s="382">
        <f>IF($C$6="ยัดในช่อง",$F$32,0)</f>
        <v>1</v>
      </c>
      <c r="G14" t="s">
        <v>2679</v>
      </c>
    </row>
    <row r="16" spans="1:9">
      <c r="B16" s="650" t="s">
        <v>2680</v>
      </c>
      <c r="C16" s="650"/>
      <c r="D16" s="650"/>
      <c r="E16" s="650"/>
      <c r="F16" s="650"/>
      <c r="G16" s="650"/>
      <c r="H16" s="650"/>
    </row>
    <row r="17" spans="2:8">
      <c r="B17" t="s">
        <v>2555</v>
      </c>
      <c r="C17" t="s">
        <v>2607</v>
      </c>
      <c r="D17" t="s">
        <v>2608</v>
      </c>
      <c r="E17" t="s">
        <v>2681</v>
      </c>
      <c r="F17" t="s">
        <v>2682</v>
      </c>
      <c r="G17" t="s">
        <v>2683</v>
      </c>
      <c r="H17" t="s">
        <v>2684</v>
      </c>
    </row>
    <row r="18" spans="2:8">
      <c r="B18" t="s">
        <v>2668</v>
      </c>
      <c r="C18" t="s">
        <v>2615</v>
      </c>
      <c r="D18" s="215">
        <f>$C$4</f>
        <v>220</v>
      </c>
      <c r="E18" s="215">
        <v>0</v>
      </c>
      <c r="F18" s="215">
        <v>2</v>
      </c>
      <c r="G18" s="215">
        <f>$E$9</f>
        <v>220</v>
      </c>
      <c r="H18" t="s">
        <v>2685</v>
      </c>
    </row>
    <row r="19" spans="2:8">
      <c r="B19" t="s">
        <v>2670</v>
      </c>
      <c r="C19" t="s">
        <v>2618</v>
      </c>
      <c r="D19" s="215">
        <f>$C$5</f>
        <v>200</v>
      </c>
      <c r="E19" s="215">
        <v>0</v>
      </c>
      <c r="F19" s="215">
        <v>1</v>
      </c>
      <c r="G19" s="215">
        <f>$E$10</f>
        <v>200</v>
      </c>
      <c r="H19" t="s">
        <v>2686</v>
      </c>
    </row>
    <row r="20" spans="2:8">
      <c r="B20" t="s">
        <v>2672</v>
      </c>
      <c r="C20" t="s">
        <v>2615</v>
      </c>
      <c r="D20" s="215">
        <f>$C$4</f>
        <v>220</v>
      </c>
      <c r="E20" s="215">
        <v>5.7</v>
      </c>
      <c r="F20" s="215">
        <v>3.5</v>
      </c>
      <c r="G20" s="215">
        <f>$E$11</f>
        <v>214.3</v>
      </c>
      <c r="H20" t="s">
        <v>2687</v>
      </c>
    </row>
    <row r="21" spans="2:8">
      <c r="B21" t="s">
        <v>2674</v>
      </c>
      <c r="C21" t="s">
        <v>2618</v>
      </c>
      <c r="D21" s="215">
        <f>$C$5</f>
        <v>200</v>
      </c>
      <c r="E21" s="215">
        <v>3.3</v>
      </c>
      <c r="F21" s="215">
        <v>2.2000000000000002</v>
      </c>
      <c r="G21" s="215">
        <f>$E$12</f>
        <v>196.7</v>
      </c>
      <c r="H21" t="s">
        <v>2688</v>
      </c>
    </row>
    <row r="22" spans="2:8">
      <c r="B22" t="s">
        <v>2676</v>
      </c>
      <c r="C22" t="s">
        <v>2689</v>
      </c>
      <c r="D22" s="215">
        <f>$E$10</f>
        <v>200</v>
      </c>
      <c r="G22" s="215">
        <f>$E$13</f>
        <v>200</v>
      </c>
      <c r="H22" t="s">
        <v>2690</v>
      </c>
    </row>
    <row r="23" spans="2:8">
      <c r="B23" t="s">
        <v>2678</v>
      </c>
      <c r="C23" t="s">
        <v>2691</v>
      </c>
      <c r="D23" s="215">
        <f>$E$9</f>
        <v>220</v>
      </c>
      <c r="G23" s="215">
        <f>$E$14</f>
        <v>220</v>
      </c>
      <c r="H23" t="s">
        <v>2692</v>
      </c>
    </row>
    <row r="25" spans="2:8">
      <c r="B25" s="650" t="s">
        <v>2693</v>
      </c>
      <c r="C25" s="650"/>
      <c r="D25" s="650"/>
      <c r="E25" s="650"/>
      <c r="F25" s="650"/>
      <c r="G25" s="650"/>
      <c r="H25" s="650"/>
    </row>
    <row r="27" spans="2:8">
      <c r="B27" s="650" t="s">
        <v>2694</v>
      </c>
      <c r="C27" s="650"/>
      <c r="D27" s="650"/>
      <c r="E27" s="650"/>
      <c r="F27" s="650">
        <v>1</v>
      </c>
      <c r="G27" s="650"/>
      <c r="H27" s="650"/>
    </row>
    <row r="28" spans="2:8">
      <c r="B28" s="650" t="s">
        <v>2695</v>
      </c>
      <c r="C28" s="650"/>
      <c r="D28" s="650"/>
      <c r="E28" s="650"/>
      <c r="F28" s="650">
        <v>2</v>
      </c>
      <c r="G28" s="650"/>
      <c r="H28" s="650"/>
    </row>
    <row r="29" spans="2:8">
      <c r="B29" s="650" t="s">
        <v>2696</v>
      </c>
      <c r="C29" s="650"/>
      <c r="D29" s="650"/>
      <c r="E29" s="650"/>
      <c r="F29" s="650">
        <v>2</v>
      </c>
      <c r="G29" s="650"/>
      <c r="H29" s="650"/>
    </row>
    <row r="30" spans="2:8">
      <c r="B30" s="650" t="s">
        <v>2697</v>
      </c>
      <c r="C30" s="650"/>
      <c r="D30" s="650"/>
      <c r="E30" s="650"/>
      <c r="F30" s="650">
        <v>2</v>
      </c>
      <c r="G30" s="650"/>
      <c r="H30" s="650"/>
    </row>
    <row r="31" spans="2:8">
      <c r="B31" s="650" t="s">
        <v>2698</v>
      </c>
      <c r="C31" s="650"/>
      <c r="D31" s="650"/>
      <c r="E31" s="650"/>
      <c r="F31" s="650">
        <v>2</v>
      </c>
      <c r="G31" s="650"/>
      <c r="H31" s="650"/>
    </row>
    <row r="32" spans="2:8">
      <c r="B32" s="650" t="s">
        <v>2699</v>
      </c>
      <c r="C32" s="650"/>
      <c r="D32" s="650"/>
      <c r="E32" s="650"/>
      <c r="F32" s="650">
        <v>1</v>
      </c>
      <c r="G32" s="650"/>
      <c r="H32" s="650"/>
    </row>
    <row r="34" spans="1:6">
      <c r="B34" s="650" t="s">
        <v>2700</v>
      </c>
      <c r="C34" s="650"/>
      <c r="D34" s="650"/>
      <c r="E34" s="650"/>
      <c r="F34" t="s">
        <v>1124</v>
      </c>
    </row>
    <row r="35" spans="1:6">
      <c r="A35">
        <v>1</v>
      </c>
      <c r="B35" s="650" t="s">
        <v>1451</v>
      </c>
      <c r="C35" s="650"/>
      <c r="D35" s="650"/>
      <c r="E35" s="650"/>
      <c r="F35" s="215">
        <f>4</f>
        <v>4</v>
      </c>
    </row>
    <row r="36" spans="1:6">
      <c r="A36">
        <v>2</v>
      </c>
      <c r="B36" s="650" t="s">
        <v>2701</v>
      </c>
      <c r="C36" s="650"/>
      <c r="D36" s="650"/>
      <c r="E36" s="650"/>
      <c r="F36" s="215">
        <v>1</v>
      </c>
    </row>
    <row r="37" spans="1:6">
      <c r="A37">
        <v>3</v>
      </c>
      <c r="B37" s="650" t="s">
        <v>1504</v>
      </c>
      <c r="C37" s="650"/>
      <c r="D37" s="650"/>
      <c r="E37" s="650"/>
      <c r="F37" s="215">
        <f>ROUNDUP(2*(C4+C5)/100*2/12.5,0)</f>
        <v>2</v>
      </c>
    </row>
  </sheetData>
  <mergeCells count="20">
    <mergeCell ref="A1:H2"/>
    <mergeCell ref="F29:H29"/>
    <mergeCell ref="B29:E29"/>
    <mergeCell ref="B34:E34"/>
    <mergeCell ref="B28:E28"/>
    <mergeCell ref="B3:C3"/>
    <mergeCell ref="F28:H28"/>
    <mergeCell ref="F27:H27"/>
    <mergeCell ref="B16:H16"/>
    <mergeCell ref="B25:H25"/>
    <mergeCell ref="B27:E27"/>
    <mergeCell ref="B37:E37"/>
    <mergeCell ref="B30:E30"/>
    <mergeCell ref="F32:H32"/>
    <mergeCell ref="B36:E36"/>
    <mergeCell ref="B32:E32"/>
    <mergeCell ref="B35:E35"/>
    <mergeCell ref="F31:H31"/>
    <mergeCell ref="F30:H30"/>
    <mergeCell ref="B31:E31"/>
  </mergeCells>
  <hyperlinks>
    <hyperlink ref="I1" location="'สารบัญ'!A1" display="🏠 สารบัญ" xr:uid="{FF3F464C-DD16-42DE-973B-3F47C720CFD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61</vt:i4>
      </vt:variant>
      <vt:variant>
        <vt:lpstr>ช่วงที่มีชื่อ</vt:lpstr>
      </vt:variant>
      <vt:variant>
        <vt:i4>19</vt:i4>
      </vt:variant>
    </vt:vector>
  </HeadingPairs>
  <TitlesOfParts>
    <vt:vector size="80" baseType="lpstr">
      <vt:lpstr>สารบัญ</vt:lpstr>
      <vt:lpstr>อัปเดตราคาอลู</vt:lpstr>
      <vt:lpstr>ราคาสี</vt:lpstr>
      <vt:lpstr>บันทึกราคาขึ้น</vt:lpstr>
      <vt:lpstr>ราคางานเสริม</vt:lpstr>
      <vt:lpstr>ราคาออโต้</vt:lpstr>
      <vt:lpstr>ราคาหลังคา</vt:lpstr>
      <vt:lpstr>ราคาเหล็ก</vt:lpstr>
      <vt:lpstr>ค่าแรง</vt:lpstr>
      <vt:lpstr>ราคามุ้ง</vt:lpstr>
      <vt:lpstr>ราคาฝ้าไม้เทียม</vt:lpstr>
      <vt:lpstr>น้ำหนักโปรไฟล์</vt:lpstr>
      <vt:lpstr>ราคากระจก</vt:lpstr>
      <vt:lpstr>คิดทุน SMS</vt:lpstr>
      <vt:lpstr>คิดทุน ยูโร</vt:lpstr>
      <vt:lpstr>คิดทุน SlimLux</vt:lpstr>
      <vt:lpstr>คิดทุน บานเลื่อนรางบน</vt:lpstr>
      <vt:lpstr>คิดทุน บานเปิด</vt:lpstr>
      <vt:lpstr>คิดทุน บานหมุน</vt:lpstr>
      <vt:lpstr>คิดทุน กระทุ้ง</vt:lpstr>
      <vt:lpstr>คิดทุน เฟี้ยม</vt:lpstr>
      <vt:lpstr>คิดทุน ติดตาย</vt:lpstr>
      <vt:lpstr>คิดทุน Velora</vt:lpstr>
      <vt:lpstr>คิดทุน E-series</vt:lpstr>
      <vt:lpstr>คิดทุน PC Door</vt:lpstr>
      <vt:lpstr>คิดทุน บานยก</vt:lpstr>
      <vt:lpstr>คิดทุน เฟี้ยมยูโร</vt:lpstr>
      <vt:lpstr>คิดทุน ตายดัดโค้ง</vt:lpstr>
      <vt:lpstr>คิดทุน เปิดดัดโค้ง</vt:lpstr>
      <vt:lpstr>คิดทุน ระแนง</vt:lpstr>
      <vt:lpstr>คิดทุน ระแนงสลับ</vt:lpstr>
      <vt:lpstr>คิดทุน ประตูรั้ว</vt:lpstr>
      <vt:lpstr>คิดทุน บานเกล็ด</vt:lpstr>
      <vt:lpstr>คิดทุน ระแนงหมุน</vt:lpstr>
      <vt:lpstr>คิดทุน หลังคา (รวม)</vt:lpstr>
      <vt:lpstr>ฝ้ายิปซัม</vt:lpstr>
      <vt:lpstr>งานไฟ</vt:lpstr>
      <vt:lpstr>สมาร์ทบอร์ด</vt:lpstr>
      <vt:lpstr>ไอโซวอล</vt:lpstr>
      <vt:lpstr>คิดทุนฝ้าไม้เทียม</vt:lpstr>
      <vt:lpstr>หน้าตารางรวม</vt:lpstr>
      <vt:lpstr>สรุปค่าแรง</vt:lpstr>
      <vt:lpstr>สรุปงานเสริม</vt:lpstr>
      <vt:lpstr>สีฝ้าไม้เทียม</vt:lpstr>
      <vt:lpstr>เช็กขนาดกระจก</vt:lpstr>
      <vt:lpstr>คิดทุน หลังคา</vt:lpstr>
      <vt:lpstr>คิดทุน หลังคาจั่ว</vt:lpstr>
      <vt:lpstr>คิดทุน หลังคาเลื่อน</vt:lpstr>
      <vt:lpstr>ระแนงสลับ_ประตู</vt:lpstr>
      <vt:lpstr>คิดทุน สมาร์ทบอร์ดพื้น</vt:lpstr>
      <vt:lpstr>ชีทอุปกรณ์</vt:lpstr>
      <vt:lpstr>คิดทุน บานตู้ Futuretech</vt:lpstr>
      <vt:lpstr>คิดทุน ชุด Shower</vt:lpstr>
      <vt:lpstr>คิดทุน ราวกันตก</vt:lpstr>
      <vt:lpstr>คิดทุน บานโซลิด</vt:lpstr>
      <vt:lpstr>คิดทุน บานระแนงเลื่อน</vt:lpstr>
      <vt:lpstr>คิดทุน YKK</vt:lpstr>
      <vt:lpstr>คิดทุน เฟี้ยมยก</vt:lpstr>
      <vt:lpstr>คิดทุน บานเปลือย</vt:lpstr>
      <vt:lpstr>SlimLux_ตัด</vt:lpstr>
      <vt:lpstr>Velora_ตัด</vt:lpstr>
      <vt:lpstr>buf_roof</vt:lpstr>
      <vt:lpstr>buf_scrap</vt:lpstr>
      <vt:lpstr>ClothList</vt:lpstr>
      <vt:lpstr>GlassNames</vt:lpstr>
      <vt:lpstr>mult_euro</vt:lpstr>
      <vt:lpstr>mult_mtong</vt:lpstr>
      <vt:lpstr>mult_slim</vt:lpstr>
      <vt:lpstr>mult_sms</vt:lpstr>
      <vt:lpstr>mult_velora</vt:lpstr>
      <vt:lpstr>mult_wood</vt:lpstr>
      <vt:lpstr>MungList</vt:lpstr>
      <vt:lpstr>MungReady</vt:lpstr>
      <vt:lpstr>ราคากระจก!Print_Titles</vt:lpstr>
      <vt:lpstr>rate_anodize</vt:lpstr>
      <vt:lpstr>rate_grey</vt:lpstr>
      <vt:lpstr>rate_special</vt:lpstr>
      <vt:lpstr>rate_woodbake</vt:lpstr>
      <vt:lpstr>rate_woodstock</vt:lpstr>
      <vt:lpstr>SlimLuxGlass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Aluminium</cp:lastModifiedBy>
  <cp:revision>0</cp:revision>
  <cp:lastPrinted>2026-08-24T04:28:00Z</cp:lastPrinted>
  <dcterms:created xsi:type="dcterms:W3CDTF">2026-06-09T08:50:21Z</dcterms:created>
  <dcterms:modified xsi:type="dcterms:W3CDTF">2026-08-31T02:08:39Z</dcterms:modified>
  <dc:language>en-US</dc:language>
</cp:coreProperties>
</file>